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3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8850047\Desktop\"/>
    </mc:Choice>
  </mc:AlternateContent>
  <xr:revisionPtr revIDLastSave="0" documentId="8_{3E2A4967-2490-4037-B86E-50726E8F81BD}" xr6:coauthVersionLast="36" xr6:coauthVersionMax="36" xr10:uidLastSave="{00000000-0000-0000-0000-000000000000}"/>
  <bookViews>
    <workbookView xWindow="0" yWindow="0" windowWidth="25200" windowHeight="11730" xr2:uid="{AEE0DA75-B7D3-4BA0-8013-DBA3B9099B7B}"/>
  </bookViews>
  <sheets>
    <sheet name="Input" sheetId="1" r:id="rId1"/>
    <sheet name="Intrim" sheetId="4" state="hidden" r:id="rId2"/>
    <sheet name="intrim2" sheetId="2" state="hidden" r:id="rId3"/>
    <sheet name="intrim3" sheetId="5" state="hidden" r:id="rId4"/>
    <sheet name="Output (Per facility)" sheetId="6" r:id="rId5"/>
    <sheet name="Output All" sheetId="7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4" l="1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U205" i="4"/>
  <c r="U206" i="4"/>
  <c r="U207" i="4"/>
  <c r="U208" i="4"/>
  <c r="U209" i="4"/>
  <c r="U204" i="4"/>
  <c r="S207" i="4"/>
  <c r="S208" i="4"/>
  <c r="S209" i="4"/>
  <c r="S205" i="4"/>
  <c r="S206" i="4"/>
  <c r="S204" i="4"/>
  <c r="Z17" i="1" l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6" i="1"/>
  <c r="Z15" i="1" l="1"/>
  <c r="Z13" i="1"/>
  <c r="Z12" i="1"/>
  <c r="Z16" i="1"/>
  <c r="Z14" i="1"/>
  <c r="Z7" i="1"/>
  <c r="Z6" i="1"/>
  <c r="Z10" i="1"/>
  <c r="Z9" i="1"/>
  <c r="Z8" i="1"/>
  <c r="Z11" i="1"/>
  <c r="B1" i="2"/>
  <c r="C5" i="6" l="1"/>
  <c r="O5" i="6"/>
  <c r="N5" i="6"/>
  <c r="L5" i="6"/>
  <c r="K5" i="6"/>
  <c r="I5" i="6"/>
  <c r="H5" i="6"/>
  <c r="F5" i="6"/>
  <c r="E5" i="6"/>
  <c r="B5" i="6"/>
  <c r="AC2" i="5"/>
  <c r="AB2" i="5"/>
  <c r="X10" i="1"/>
  <c r="F6" i="1"/>
  <c r="Q5" i="6" l="1"/>
  <c r="R5" i="6" s="1"/>
  <c r="X7" i="1"/>
  <c r="X11" i="1"/>
  <c r="X8" i="1"/>
  <c r="X6" i="1"/>
  <c r="X9" i="1"/>
  <c r="R5" i="4"/>
  <c r="S5" i="4"/>
  <c r="R6" i="4"/>
  <c r="S6" i="4"/>
  <c r="R7" i="4"/>
  <c r="S7" i="4"/>
  <c r="R8" i="4"/>
  <c r="S8" i="4"/>
  <c r="R9" i="4"/>
  <c r="S9" i="4"/>
  <c r="R10" i="4"/>
  <c r="S10" i="4"/>
  <c r="R11" i="4"/>
  <c r="S11" i="4"/>
  <c r="S211" i="4" s="1"/>
  <c r="U211" i="4" s="1"/>
  <c r="R12" i="4"/>
  <c r="S12" i="4"/>
  <c r="R13" i="4"/>
  <c r="S13" i="4"/>
  <c r="S213" i="4" s="1"/>
  <c r="U213" i="4" s="1"/>
  <c r="R14" i="4"/>
  <c r="S14" i="4"/>
  <c r="R15" i="4"/>
  <c r="S15" i="4"/>
  <c r="R16" i="4"/>
  <c r="S16" i="4"/>
  <c r="R17" i="4"/>
  <c r="S17" i="4"/>
  <c r="R18" i="4"/>
  <c r="S18" i="4"/>
  <c r="R19" i="4"/>
  <c r="S19" i="4"/>
  <c r="R20" i="4"/>
  <c r="S20" i="4"/>
  <c r="R21" i="4"/>
  <c r="S21" i="4"/>
  <c r="R22" i="4"/>
  <c r="S22" i="4"/>
  <c r="R23" i="4"/>
  <c r="S23" i="4"/>
  <c r="R24" i="4"/>
  <c r="S24" i="4"/>
  <c r="R25" i="4"/>
  <c r="S25" i="4"/>
  <c r="R26" i="4"/>
  <c r="S26" i="4"/>
  <c r="R27" i="4"/>
  <c r="S27" i="4"/>
  <c r="R28" i="4"/>
  <c r="S28" i="4"/>
  <c r="R29" i="4"/>
  <c r="S29" i="4"/>
  <c r="R30" i="4"/>
  <c r="S30" i="4"/>
  <c r="R31" i="4"/>
  <c r="S31" i="4"/>
  <c r="R32" i="4"/>
  <c r="S32" i="4"/>
  <c r="R33" i="4"/>
  <c r="S33" i="4"/>
  <c r="R34" i="4"/>
  <c r="S34" i="4"/>
  <c r="R35" i="4"/>
  <c r="S35" i="4"/>
  <c r="R36" i="4"/>
  <c r="S36" i="4"/>
  <c r="R37" i="4"/>
  <c r="S37" i="4"/>
  <c r="R38" i="4"/>
  <c r="S38" i="4"/>
  <c r="R39" i="4"/>
  <c r="S39" i="4"/>
  <c r="R40" i="4"/>
  <c r="S40" i="4"/>
  <c r="R41" i="4"/>
  <c r="S41" i="4"/>
  <c r="R42" i="4"/>
  <c r="S42" i="4"/>
  <c r="R43" i="4"/>
  <c r="S43" i="4"/>
  <c r="R44" i="4"/>
  <c r="S44" i="4"/>
  <c r="R45" i="4"/>
  <c r="S45" i="4"/>
  <c r="R46" i="4"/>
  <c r="S46" i="4"/>
  <c r="R47" i="4"/>
  <c r="S47" i="4"/>
  <c r="R48" i="4"/>
  <c r="S48" i="4"/>
  <c r="R49" i="4"/>
  <c r="S49" i="4"/>
  <c r="R50" i="4"/>
  <c r="S50" i="4"/>
  <c r="R51" i="4"/>
  <c r="S51" i="4"/>
  <c r="R52" i="4"/>
  <c r="S52" i="4"/>
  <c r="R53" i="4"/>
  <c r="S53" i="4"/>
  <c r="R54" i="4"/>
  <c r="S54" i="4"/>
  <c r="R55" i="4"/>
  <c r="S55" i="4"/>
  <c r="R56" i="4"/>
  <c r="S56" i="4"/>
  <c r="R57" i="4"/>
  <c r="S57" i="4"/>
  <c r="R58" i="4"/>
  <c r="S58" i="4"/>
  <c r="R59" i="4"/>
  <c r="S59" i="4"/>
  <c r="R60" i="4"/>
  <c r="S60" i="4"/>
  <c r="R61" i="4"/>
  <c r="S61" i="4"/>
  <c r="R62" i="4"/>
  <c r="S62" i="4"/>
  <c r="R63" i="4"/>
  <c r="S63" i="4"/>
  <c r="R64" i="4"/>
  <c r="S64" i="4"/>
  <c r="R65" i="4"/>
  <c r="S65" i="4"/>
  <c r="R66" i="4"/>
  <c r="S66" i="4"/>
  <c r="R67" i="4"/>
  <c r="S67" i="4"/>
  <c r="R68" i="4"/>
  <c r="S68" i="4"/>
  <c r="R69" i="4"/>
  <c r="S69" i="4"/>
  <c r="R70" i="4"/>
  <c r="S70" i="4"/>
  <c r="R71" i="4"/>
  <c r="S71" i="4"/>
  <c r="R72" i="4"/>
  <c r="S72" i="4"/>
  <c r="R73" i="4"/>
  <c r="S73" i="4"/>
  <c r="R74" i="4"/>
  <c r="S74" i="4"/>
  <c r="R75" i="4"/>
  <c r="S75" i="4"/>
  <c r="R76" i="4"/>
  <c r="S76" i="4"/>
  <c r="R77" i="4"/>
  <c r="S77" i="4"/>
  <c r="R78" i="4"/>
  <c r="S78" i="4"/>
  <c r="R79" i="4"/>
  <c r="S79" i="4"/>
  <c r="R80" i="4"/>
  <c r="S80" i="4"/>
  <c r="R81" i="4"/>
  <c r="S81" i="4"/>
  <c r="R82" i="4"/>
  <c r="S82" i="4"/>
  <c r="R83" i="4"/>
  <c r="S83" i="4"/>
  <c r="R84" i="4"/>
  <c r="S84" i="4"/>
  <c r="R85" i="4"/>
  <c r="S85" i="4"/>
  <c r="R86" i="4"/>
  <c r="S86" i="4"/>
  <c r="R87" i="4"/>
  <c r="S87" i="4"/>
  <c r="R88" i="4"/>
  <c r="S88" i="4"/>
  <c r="R89" i="4"/>
  <c r="S89" i="4"/>
  <c r="R90" i="4"/>
  <c r="S90" i="4"/>
  <c r="R91" i="4"/>
  <c r="S91" i="4"/>
  <c r="R92" i="4"/>
  <c r="S92" i="4"/>
  <c r="R93" i="4"/>
  <c r="S93" i="4"/>
  <c r="R94" i="4"/>
  <c r="S94" i="4"/>
  <c r="R95" i="4"/>
  <c r="S95" i="4"/>
  <c r="R96" i="4"/>
  <c r="S96" i="4"/>
  <c r="R97" i="4"/>
  <c r="S97" i="4"/>
  <c r="R98" i="4"/>
  <c r="S98" i="4"/>
  <c r="R99" i="4"/>
  <c r="S99" i="4"/>
  <c r="R100" i="4"/>
  <c r="S100" i="4"/>
  <c r="R101" i="4"/>
  <c r="S101" i="4"/>
  <c r="R102" i="4"/>
  <c r="S102" i="4"/>
  <c r="R103" i="4"/>
  <c r="S103" i="4"/>
  <c r="R104" i="4"/>
  <c r="S104" i="4"/>
  <c r="R105" i="4"/>
  <c r="S105" i="4"/>
  <c r="R106" i="4"/>
  <c r="S106" i="4"/>
  <c r="R107" i="4"/>
  <c r="S107" i="4"/>
  <c r="R108" i="4"/>
  <c r="S108" i="4"/>
  <c r="R109" i="4"/>
  <c r="S109" i="4"/>
  <c r="R110" i="4"/>
  <c r="S110" i="4"/>
  <c r="R111" i="4"/>
  <c r="S111" i="4"/>
  <c r="R112" i="4"/>
  <c r="S112" i="4"/>
  <c r="R113" i="4"/>
  <c r="S113" i="4"/>
  <c r="R114" i="4"/>
  <c r="S114" i="4"/>
  <c r="R115" i="4"/>
  <c r="S115" i="4"/>
  <c r="R116" i="4"/>
  <c r="S116" i="4"/>
  <c r="R117" i="4"/>
  <c r="S117" i="4"/>
  <c r="R118" i="4"/>
  <c r="S118" i="4"/>
  <c r="R119" i="4"/>
  <c r="S119" i="4"/>
  <c r="R120" i="4"/>
  <c r="S120" i="4"/>
  <c r="R121" i="4"/>
  <c r="S121" i="4"/>
  <c r="R122" i="4"/>
  <c r="S122" i="4"/>
  <c r="R123" i="4"/>
  <c r="S123" i="4"/>
  <c r="R124" i="4"/>
  <c r="S124" i="4"/>
  <c r="R125" i="4"/>
  <c r="S125" i="4"/>
  <c r="R126" i="4"/>
  <c r="S126" i="4"/>
  <c r="R127" i="4"/>
  <c r="S127" i="4"/>
  <c r="R128" i="4"/>
  <c r="S128" i="4"/>
  <c r="R129" i="4"/>
  <c r="S129" i="4"/>
  <c r="R130" i="4"/>
  <c r="S130" i="4"/>
  <c r="R131" i="4"/>
  <c r="S131" i="4"/>
  <c r="R132" i="4"/>
  <c r="S132" i="4"/>
  <c r="R133" i="4"/>
  <c r="S133" i="4"/>
  <c r="R134" i="4"/>
  <c r="S134" i="4"/>
  <c r="R135" i="4"/>
  <c r="S135" i="4"/>
  <c r="R136" i="4"/>
  <c r="S136" i="4"/>
  <c r="R137" i="4"/>
  <c r="S137" i="4"/>
  <c r="R138" i="4"/>
  <c r="S138" i="4"/>
  <c r="R139" i="4"/>
  <c r="S139" i="4"/>
  <c r="R140" i="4"/>
  <c r="S140" i="4"/>
  <c r="R141" i="4"/>
  <c r="S141" i="4"/>
  <c r="R142" i="4"/>
  <c r="S142" i="4"/>
  <c r="R143" i="4"/>
  <c r="S143" i="4"/>
  <c r="R144" i="4"/>
  <c r="S144" i="4"/>
  <c r="R145" i="4"/>
  <c r="S145" i="4"/>
  <c r="R146" i="4"/>
  <c r="S146" i="4"/>
  <c r="R147" i="4"/>
  <c r="S147" i="4"/>
  <c r="R148" i="4"/>
  <c r="S148" i="4"/>
  <c r="R149" i="4"/>
  <c r="S149" i="4"/>
  <c r="R150" i="4"/>
  <c r="S150" i="4"/>
  <c r="R151" i="4"/>
  <c r="S151" i="4"/>
  <c r="R152" i="4"/>
  <c r="S152" i="4"/>
  <c r="R153" i="4"/>
  <c r="S153" i="4"/>
  <c r="R154" i="4"/>
  <c r="S154" i="4"/>
  <c r="R155" i="4"/>
  <c r="S155" i="4"/>
  <c r="R156" i="4"/>
  <c r="S156" i="4"/>
  <c r="R157" i="4"/>
  <c r="S157" i="4"/>
  <c r="R158" i="4"/>
  <c r="S158" i="4"/>
  <c r="R159" i="4"/>
  <c r="S159" i="4"/>
  <c r="R160" i="4"/>
  <c r="S160" i="4"/>
  <c r="R161" i="4"/>
  <c r="S161" i="4"/>
  <c r="R162" i="4"/>
  <c r="S162" i="4"/>
  <c r="R163" i="4"/>
  <c r="S163" i="4"/>
  <c r="R164" i="4"/>
  <c r="S164" i="4"/>
  <c r="R165" i="4"/>
  <c r="S165" i="4"/>
  <c r="R166" i="4"/>
  <c r="S166" i="4"/>
  <c r="R167" i="4"/>
  <c r="S167" i="4"/>
  <c r="R168" i="4"/>
  <c r="S168" i="4"/>
  <c r="R169" i="4"/>
  <c r="S169" i="4"/>
  <c r="R170" i="4"/>
  <c r="S170" i="4"/>
  <c r="R171" i="4"/>
  <c r="S171" i="4"/>
  <c r="R172" i="4"/>
  <c r="S172" i="4"/>
  <c r="R173" i="4"/>
  <c r="S173" i="4"/>
  <c r="R174" i="4"/>
  <c r="S174" i="4"/>
  <c r="R175" i="4"/>
  <c r="S175" i="4"/>
  <c r="R176" i="4"/>
  <c r="S176" i="4"/>
  <c r="R177" i="4"/>
  <c r="S177" i="4"/>
  <c r="R178" i="4"/>
  <c r="S178" i="4"/>
  <c r="R179" i="4"/>
  <c r="S179" i="4"/>
  <c r="R180" i="4"/>
  <c r="S180" i="4"/>
  <c r="R181" i="4"/>
  <c r="S181" i="4"/>
  <c r="R182" i="4"/>
  <c r="S182" i="4"/>
  <c r="R183" i="4"/>
  <c r="S183" i="4"/>
  <c r="R184" i="4"/>
  <c r="S184" i="4"/>
  <c r="R185" i="4"/>
  <c r="S185" i="4"/>
  <c r="R186" i="4"/>
  <c r="S186" i="4"/>
  <c r="R187" i="4"/>
  <c r="S187" i="4"/>
  <c r="R188" i="4"/>
  <c r="S188" i="4"/>
  <c r="R189" i="4"/>
  <c r="S189" i="4"/>
  <c r="R190" i="4"/>
  <c r="S190" i="4"/>
  <c r="R191" i="4"/>
  <c r="S191" i="4"/>
  <c r="R192" i="4"/>
  <c r="S192" i="4"/>
  <c r="R193" i="4"/>
  <c r="S193" i="4"/>
  <c r="R194" i="4"/>
  <c r="S194" i="4"/>
  <c r="R195" i="4"/>
  <c r="S195" i="4"/>
  <c r="R196" i="4"/>
  <c r="S196" i="4"/>
  <c r="R197" i="4"/>
  <c r="S197" i="4"/>
  <c r="R198" i="4"/>
  <c r="S198" i="4"/>
  <c r="R199" i="4"/>
  <c r="S199" i="4"/>
  <c r="R200" i="4"/>
  <c r="S200" i="4"/>
  <c r="R201" i="4"/>
  <c r="S201" i="4"/>
  <c r="S4" i="4"/>
  <c r="R4" i="4"/>
  <c r="P4" i="4"/>
  <c r="P201" i="4"/>
  <c r="O201" i="4"/>
  <c r="N201" i="4"/>
  <c r="I201" i="4"/>
  <c r="G201" i="4"/>
  <c r="F201" i="4"/>
  <c r="P200" i="4"/>
  <c r="O200" i="4"/>
  <c r="N200" i="4"/>
  <c r="I200" i="4"/>
  <c r="G200" i="4"/>
  <c r="F200" i="4"/>
  <c r="P199" i="4"/>
  <c r="O199" i="4"/>
  <c r="N199" i="4"/>
  <c r="I199" i="4"/>
  <c r="G199" i="4"/>
  <c r="F199" i="4"/>
  <c r="P198" i="4"/>
  <c r="O198" i="4"/>
  <c r="N198" i="4"/>
  <c r="I198" i="4"/>
  <c r="G198" i="4"/>
  <c r="F198" i="4"/>
  <c r="P197" i="4"/>
  <c r="O197" i="4"/>
  <c r="N197" i="4"/>
  <c r="I197" i="4"/>
  <c r="G197" i="4"/>
  <c r="F197" i="4"/>
  <c r="P196" i="4"/>
  <c r="O196" i="4"/>
  <c r="N196" i="4"/>
  <c r="I196" i="4"/>
  <c r="G196" i="4"/>
  <c r="F196" i="4"/>
  <c r="P195" i="4"/>
  <c r="O195" i="4"/>
  <c r="N195" i="4"/>
  <c r="I195" i="4"/>
  <c r="G195" i="4"/>
  <c r="F195" i="4"/>
  <c r="P194" i="4"/>
  <c r="O194" i="4"/>
  <c r="N194" i="4"/>
  <c r="I194" i="4"/>
  <c r="G194" i="4"/>
  <c r="F194" i="4"/>
  <c r="P193" i="4"/>
  <c r="O193" i="4"/>
  <c r="N193" i="4"/>
  <c r="I193" i="4"/>
  <c r="G193" i="4"/>
  <c r="F193" i="4"/>
  <c r="P192" i="4"/>
  <c r="O192" i="4"/>
  <c r="N192" i="4"/>
  <c r="I192" i="4"/>
  <c r="G192" i="4"/>
  <c r="F192" i="4"/>
  <c r="P191" i="4"/>
  <c r="O191" i="4"/>
  <c r="N191" i="4"/>
  <c r="I191" i="4"/>
  <c r="G191" i="4"/>
  <c r="F191" i="4"/>
  <c r="P190" i="4"/>
  <c r="O190" i="4"/>
  <c r="N190" i="4"/>
  <c r="I190" i="4"/>
  <c r="G190" i="4"/>
  <c r="F190" i="4"/>
  <c r="P189" i="4"/>
  <c r="O189" i="4"/>
  <c r="N189" i="4"/>
  <c r="I189" i="4"/>
  <c r="G189" i="4"/>
  <c r="F189" i="4"/>
  <c r="P188" i="4"/>
  <c r="O188" i="4"/>
  <c r="N188" i="4"/>
  <c r="I188" i="4"/>
  <c r="G188" i="4"/>
  <c r="F188" i="4"/>
  <c r="P187" i="4"/>
  <c r="O187" i="4"/>
  <c r="N187" i="4"/>
  <c r="I187" i="4"/>
  <c r="G187" i="4"/>
  <c r="F187" i="4"/>
  <c r="P186" i="4"/>
  <c r="O186" i="4"/>
  <c r="N186" i="4"/>
  <c r="I186" i="4"/>
  <c r="G186" i="4"/>
  <c r="F186" i="4"/>
  <c r="P185" i="4"/>
  <c r="O185" i="4"/>
  <c r="N185" i="4"/>
  <c r="I185" i="4"/>
  <c r="G185" i="4"/>
  <c r="F185" i="4"/>
  <c r="P184" i="4"/>
  <c r="O184" i="4"/>
  <c r="N184" i="4"/>
  <c r="I184" i="4"/>
  <c r="G184" i="4"/>
  <c r="F184" i="4"/>
  <c r="P183" i="4"/>
  <c r="O183" i="4"/>
  <c r="N183" i="4"/>
  <c r="I183" i="4"/>
  <c r="G183" i="4"/>
  <c r="F183" i="4"/>
  <c r="P182" i="4"/>
  <c r="O182" i="4"/>
  <c r="N182" i="4"/>
  <c r="I182" i="4"/>
  <c r="G182" i="4"/>
  <c r="F182" i="4"/>
  <c r="P181" i="4"/>
  <c r="O181" i="4"/>
  <c r="N181" i="4"/>
  <c r="I181" i="4"/>
  <c r="G181" i="4"/>
  <c r="F181" i="4"/>
  <c r="P180" i="4"/>
  <c r="O180" i="4"/>
  <c r="N180" i="4"/>
  <c r="I180" i="4"/>
  <c r="G180" i="4"/>
  <c r="F180" i="4"/>
  <c r="P179" i="4"/>
  <c r="O179" i="4"/>
  <c r="N179" i="4"/>
  <c r="I179" i="4"/>
  <c r="G179" i="4"/>
  <c r="F179" i="4"/>
  <c r="P178" i="4"/>
  <c r="O178" i="4"/>
  <c r="N178" i="4"/>
  <c r="I178" i="4"/>
  <c r="G178" i="4"/>
  <c r="F178" i="4"/>
  <c r="P177" i="4"/>
  <c r="O177" i="4"/>
  <c r="N177" i="4"/>
  <c r="I177" i="4"/>
  <c r="G177" i="4"/>
  <c r="F177" i="4"/>
  <c r="P176" i="4"/>
  <c r="O176" i="4"/>
  <c r="N176" i="4"/>
  <c r="I176" i="4"/>
  <c r="G176" i="4"/>
  <c r="F176" i="4"/>
  <c r="P175" i="4"/>
  <c r="O175" i="4"/>
  <c r="N175" i="4"/>
  <c r="I175" i="4"/>
  <c r="G175" i="4"/>
  <c r="F175" i="4"/>
  <c r="P174" i="4"/>
  <c r="O174" i="4"/>
  <c r="N174" i="4"/>
  <c r="I174" i="4"/>
  <c r="G174" i="4"/>
  <c r="F174" i="4"/>
  <c r="P173" i="4"/>
  <c r="O173" i="4"/>
  <c r="N173" i="4"/>
  <c r="I173" i="4"/>
  <c r="G173" i="4"/>
  <c r="F173" i="4"/>
  <c r="P172" i="4"/>
  <c r="O172" i="4"/>
  <c r="N172" i="4"/>
  <c r="I172" i="4"/>
  <c r="G172" i="4"/>
  <c r="F172" i="4"/>
  <c r="P171" i="4"/>
  <c r="O171" i="4"/>
  <c r="N171" i="4"/>
  <c r="I171" i="4"/>
  <c r="G171" i="4"/>
  <c r="F171" i="4"/>
  <c r="P170" i="4"/>
  <c r="O170" i="4"/>
  <c r="N170" i="4"/>
  <c r="I170" i="4"/>
  <c r="G170" i="4"/>
  <c r="F170" i="4"/>
  <c r="P169" i="4"/>
  <c r="O169" i="4"/>
  <c r="N169" i="4"/>
  <c r="I169" i="4"/>
  <c r="G169" i="4"/>
  <c r="F169" i="4"/>
  <c r="P168" i="4"/>
  <c r="O168" i="4"/>
  <c r="N168" i="4"/>
  <c r="I168" i="4"/>
  <c r="G168" i="4"/>
  <c r="F168" i="4"/>
  <c r="P167" i="4"/>
  <c r="O167" i="4"/>
  <c r="N167" i="4"/>
  <c r="I167" i="4"/>
  <c r="G167" i="4"/>
  <c r="F167" i="4"/>
  <c r="P166" i="4"/>
  <c r="O166" i="4"/>
  <c r="N166" i="4"/>
  <c r="I166" i="4"/>
  <c r="G166" i="4"/>
  <c r="F166" i="4"/>
  <c r="P165" i="4"/>
  <c r="O165" i="4"/>
  <c r="N165" i="4"/>
  <c r="I165" i="4"/>
  <c r="G165" i="4"/>
  <c r="F165" i="4"/>
  <c r="P164" i="4"/>
  <c r="O164" i="4"/>
  <c r="N164" i="4"/>
  <c r="I164" i="4"/>
  <c r="G164" i="4"/>
  <c r="F164" i="4"/>
  <c r="P163" i="4"/>
  <c r="O163" i="4"/>
  <c r="N163" i="4"/>
  <c r="I163" i="4"/>
  <c r="G163" i="4"/>
  <c r="F163" i="4"/>
  <c r="P162" i="4"/>
  <c r="O162" i="4"/>
  <c r="N162" i="4"/>
  <c r="I162" i="4"/>
  <c r="G162" i="4"/>
  <c r="F162" i="4"/>
  <c r="P161" i="4"/>
  <c r="O161" i="4"/>
  <c r="N161" i="4"/>
  <c r="I161" i="4"/>
  <c r="G161" i="4"/>
  <c r="F161" i="4"/>
  <c r="P160" i="4"/>
  <c r="O160" i="4"/>
  <c r="N160" i="4"/>
  <c r="I160" i="4"/>
  <c r="G160" i="4"/>
  <c r="F160" i="4"/>
  <c r="P159" i="4"/>
  <c r="O159" i="4"/>
  <c r="N159" i="4"/>
  <c r="I159" i="4"/>
  <c r="G159" i="4"/>
  <c r="F159" i="4"/>
  <c r="P158" i="4"/>
  <c r="O158" i="4"/>
  <c r="N158" i="4"/>
  <c r="I158" i="4"/>
  <c r="G158" i="4"/>
  <c r="F158" i="4"/>
  <c r="P157" i="4"/>
  <c r="O157" i="4"/>
  <c r="N157" i="4"/>
  <c r="I157" i="4"/>
  <c r="G157" i="4"/>
  <c r="F157" i="4"/>
  <c r="P156" i="4"/>
  <c r="O156" i="4"/>
  <c r="N156" i="4"/>
  <c r="I156" i="4"/>
  <c r="G156" i="4"/>
  <c r="F156" i="4"/>
  <c r="P155" i="4"/>
  <c r="O155" i="4"/>
  <c r="N155" i="4"/>
  <c r="I155" i="4"/>
  <c r="G155" i="4"/>
  <c r="F155" i="4"/>
  <c r="P154" i="4"/>
  <c r="O154" i="4"/>
  <c r="N154" i="4"/>
  <c r="I154" i="4"/>
  <c r="G154" i="4"/>
  <c r="F154" i="4"/>
  <c r="P153" i="4"/>
  <c r="O153" i="4"/>
  <c r="N153" i="4"/>
  <c r="I153" i="4"/>
  <c r="G153" i="4"/>
  <c r="F153" i="4"/>
  <c r="P152" i="4"/>
  <c r="O152" i="4"/>
  <c r="N152" i="4"/>
  <c r="I152" i="4"/>
  <c r="G152" i="4"/>
  <c r="F152" i="4"/>
  <c r="P151" i="4"/>
  <c r="O151" i="4"/>
  <c r="N151" i="4"/>
  <c r="I151" i="4"/>
  <c r="G151" i="4"/>
  <c r="F151" i="4"/>
  <c r="P150" i="4"/>
  <c r="O150" i="4"/>
  <c r="N150" i="4"/>
  <c r="I150" i="4"/>
  <c r="G150" i="4"/>
  <c r="F150" i="4"/>
  <c r="P149" i="4"/>
  <c r="O149" i="4"/>
  <c r="N149" i="4"/>
  <c r="I149" i="4"/>
  <c r="G149" i="4"/>
  <c r="F149" i="4"/>
  <c r="P148" i="4"/>
  <c r="O148" i="4"/>
  <c r="N148" i="4"/>
  <c r="I148" i="4"/>
  <c r="G148" i="4"/>
  <c r="F148" i="4"/>
  <c r="P147" i="4"/>
  <c r="O147" i="4"/>
  <c r="N147" i="4"/>
  <c r="I147" i="4"/>
  <c r="G147" i="4"/>
  <c r="F147" i="4"/>
  <c r="P146" i="4"/>
  <c r="O146" i="4"/>
  <c r="N146" i="4"/>
  <c r="I146" i="4"/>
  <c r="G146" i="4"/>
  <c r="F146" i="4"/>
  <c r="P145" i="4"/>
  <c r="O145" i="4"/>
  <c r="N145" i="4"/>
  <c r="I145" i="4"/>
  <c r="G145" i="4"/>
  <c r="F145" i="4"/>
  <c r="P144" i="4"/>
  <c r="O144" i="4"/>
  <c r="N144" i="4"/>
  <c r="I144" i="4"/>
  <c r="G144" i="4"/>
  <c r="F144" i="4"/>
  <c r="P143" i="4"/>
  <c r="O143" i="4"/>
  <c r="N143" i="4"/>
  <c r="I143" i="4"/>
  <c r="G143" i="4"/>
  <c r="F143" i="4"/>
  <c r="P142" i="4"/>
  <c r="O142" i="4"/>
  <c r="N142" i="4"/>
  <c r="I142" i="4"/>
  <c r="G142" i="4"/>
  <c r="F142" i="4"/>
  <c r="P141" i="4"/>
  <c r="O141" i="4"/>
  <c r="N141" i="4"/>
  <c r="I141" i="4"/>
  <c r="G141" i="4"/>
  <c r="F141" i="4"/>
  <c r="P140" i="4"/>
  <c r="O140" i="4"/>
  <c r="N140" i="4"/>
  <c r="I140" i="4"/>
  <c r="G140" i="4"/>
  <c r="F140" i="4"/>
  <c r="P139" i="4"/>
  <c r="O139" i="4"/>
  <c r="N139" i="4"/>
  <c r="I139" i="4"/>
  <c r="G139" i="4"/>
  <c r="F139" i="4"/>
  <c r="P138" i="4"/>
  <c r="O138" i="4"/>
  <c r="N138" i="4"/>
  <c r="I138" i="4"/>
  <c r="G138" i="4"/>
  <c r="F138" i="4"/>
  <c r="P137" i="4"/>
  <c r="O137" i="4"/>
  <c r="N137" i="4"/>
  <c r="I137" i="4"/>
  <c r="G137" i="4"/>
  <c r="F137" i="4"/>
  <c r="P136" i="4"/>
  <c r="O136" i="4"/>
  <c r="N136" i="4"/>
  <c r="I136" i="4"/>
  <c r="G136" i="4"/>
  <c r="F136" i="4"/>
  <c r="P135" i="4"/>
  <c r="O135" i="4"/>
  <c r="N135" i="4"/>
  <c r="I135" i="4"/>
  <c r="G135" i="4"/>
  <c r="F135" i="4"/>
  <c r="P134" i="4"/>
  <c r="O134" i="4"/>
  <c r="N134" i="4"/>
  <c r="I134" i="4"/>
  <c r="G134" i="4"/>
  <c r="F134" i="4"/>
  <c r="P133" i="4"/>
  <c r="O133" i="4"/>
  <c r="N133" i="4"/>
  <c r="I133" i="4"/>
  <c r="G133" i="4"/>
  <c r="F133" i="4"/>
  <c r="P132" i="4"/>
  <c r="O132" i="4"/>
  <c r="N132" i="4"/>
  <c r="I132" i="4"/>
  <c r="G132" i="4"/>
  <c r="F132" i="4"/>
  <c r="P131" i="4"/>
  <c r="O131" i="4"/>
  <c r="N131" i="4"/>
  <c r="I131" i="4"/>
  <c r="G131" i="4"/>
  <c r="F131" i="4"/>
  <c r="P130" i="4"/>
  <c r="O130" i="4"/>
  <c r="N130" i="4"/>
  <c r="I130" i="4"/>
  <c r="G130" i="4"/>
  <c r="F130" i="4"/>
  <c r="P129" i="4"/>
  <c r="O129" i="4"/>
  <c r="N129" i="4"/>
  <c r="I129" i="4"/>
  <c r="G129" i="4"/>
  <c r="F129" i="4"/>
  <c r="P128" i="4"/>
  <c r="O128" i="4"/>
  <c r="N128" i="4"/>
  <c r="I128" i="4"/>
  <c r="G128" i="4"/>
  <c r="F128" i="4"/>
  <c r="P127" i="4"/>
  <c r="O127" i="4"/>
  <c r="N127" i="4"/>
  <c r="I127" i="4"/>
  <c r="G127" i="4"/>
  <c r="F127" i="4"/>
  <c r="P126" i="4"/>
  <c r="O126" i="4"/>
  <c r="N126" i="4"/>
  <c r="I126" i="4"/>
  <c r="G126" i="4"/>
  <c r="F126" i="4"/>
  <c r="P125" i="4"/>
  <c r="O125" i="4"/>
  <c r="N125" i="4"/>
  <c r="I125" i="4"/>
  <c r="G125" i="4"/>
  <c r="F125" i="4"/>
  <c r="P124" i="4"/>
  <c r="O124" i="4"/>
  <c r="N124" i="4"/>
  <c r="I124" i="4"/>
  <c r="G124" i="4"/>
  <c r="F124" i="4"/>
  <c r="P123" i="4"/>
  <c r="O123" i="4"/>
  <c r="N123" i="4"/>
  <c r="I123" i="4"/>
  <c r="G123" i="4"/>
  <c r="F123" i="4"/>
  <c r="P122" i="4"/>
  <c r="O122" i="4"/>
  <c r="N122" i="4"/>
  <c r="I122" i="4"/>
  <c r="G122" i="4"/>
  <c r="F122" i="4"/>
  <c r="P121" i="4"/>
  <c r="O121" i="4"/>
  <c r="N121" i="4"/>
  <c r="I121" i="4"/>
  <c r="G121" i="4"/>
  <c r="F121" i="4"/>
  <c r="P120" i="4"/>
  <c r="O120" i="4"/>
  <c r="N120" i="4"/>
  <c r="I120" i="4"/>
  <c r="G120" i="4"/>
  <c r="F120" i="4"/>
  <c r="P119" i="4"/>
  <c r="O119" i="4"/>
  <c r="N119" i="4"/>
  <c r="I119" i="4"/>
  <c r="G119" i="4"/>
  <c r="F119" i="4"/>
  <c r="P118" i="4"/>
  <c r="O118" i="4"/>
  <c r="N118" i="4"/>
  <c r="I118" i="4"/>
  <c r="G118" i="4"/>
  <c r="F118" i="4"/>
  <c r="P117" i="4"/>
  <c r="O117" i="4"/>
  <c r="N117" i="4"/>
  <c r="I117" i="4"/>
  <c r="G117" i="4"/>
  <c r="F117" i="4"/>
  <c r="P116" i="4"/>
  <c r="O116" i="4"/>
  <c r="N116" i="4"/>
  <c r="I116" i="4"/>
  <c r="G116" i="4"/>
  <c r="F116" i="4"/>
  <c r="P115" i="4"/>
  <c r="O115" i="4"/>
  <c r="N115" i="4"/>
  <c r="I115" i="4"/>
  <c r="G115" i="4"/>
  <c r="F115" i="4"/>
  <c r="P114" i="4"/>
  <c r="O114" i="4"/>
  <c r="N114" i="4"/>
  <c r="I114" i="4"/>
  <c r="G114" i="4"/>
  <c r="F114" i="4"/>
  <c r="P113" i="4"/>
  <c r="O113" i="4"/>
  <c r="N113" i="4"/>
  <c r="I113" i="4"/>
  <c r="G113" i="4"/>
  <c r="F113" i="4"/>
  <c r="P112" i="4"/>
  <c r="O112" i="4"/>
  <c r="N112" i="4"/>
  <c r="I112" i="4"/>
  <c r="G112" i="4"/>
  <c r="F112" i="4"/>
  <c r="P111" i="4"/>
  <c r="O111" i="4"/>
  <c r="N111" i="4"/>
  <c r="I111" i="4"/>
  <c r="G111" i="4"/>
  <c r="F111" i="4"/>
  <c r="P110" i="4"/>
  <c r="O110" i="4"/>
  <c r="N110" i="4"/>
  <c r="I110" i="4"/>
  <c r="G110" i="4"/>
  <c r="F110" i="4"/>
  <c r="P109" i="4"/>
  <c r="O109" i="4"/>
  <c r="N109" i="4"/>
  <c r="I109" i="4"/>
  <c r="G109" i="4"/>
  <c r="F109" i="4"/>
  <c r="P108" i="4"/>
  <c r="O108" i="4"/>
  <c r="N108" i="4"/>
  <c r="I108" i="4"/>
  <c r="G108" i="4"/>
  <c r="F108" i="4"/>
  <c r="P107" i="4"/>
  <c r="O107" i="4"/>
  <c r="N107" i="4"/>
  <c r="I107" i="4"/>
  <c r="G107" i="4"/>
  <c r="F107" i="4"/>
  <c r="P106" i="4"/>
  <c r="O106" i="4"/>
  <c r="N106" i="4"/>
  <c r="I106" i="4"/>
  <c r="G106" i="4"/>
  <c r="F106" i="4"/>
  <c r="P105" i="4"/>
  <c r="O105" i="4"/>
  <c r="N105" i="4"/>
  <c r="I105" i="4"/>
  <c r="G105" i="4"/>
  <c r="F105" i="4"/>
  <c r="P104" i="4"/>
  <c r="O104" i="4"/>
  <c r="N104" i="4"/>
  <c r="I104" i="4"/>
  <c r="G104" i="4"/>
  <c r="F104" i="4"/>
  <c r="P103" i="4"/>
  <c r="O103" i="4"/>
  <c r="N103" i="4"/>
  <c r="I103" i="4"/>
  <c r="G103" i="4"/>
  <c r="F103" i="4"/>
  <c r="P102" i="4"/>
  <c r="O102" i="4"/>
  <c r="N102" i="4"/>
  <c r="I102" i="4"/>
  <c r="G102" i="4"/>
  <c r="F102" i="4"/>
  <c r="P101" i="4"/>
  <c r="O101" i="4"/>
  <c r="N101" i="4"/>
  <c r="I101" i="4"/>
  <c r="G101" i="4"/>
  <c r="F101" i="4"/>
  <c r="P100" i="4"/>
  <c r="O100" i="4"/>
  <c r="N100" i="4"/>
  <c r="I100" i="4"/>
  <c r="G100" i="4"/>
  <c r="F100" i="4"/>
  <c r="P99" i="4"/>
  <c r="O99" i="4"/>
  <c r="N99" i="4"/>
  <c r="I99" i="4"/>
  <c r="G99" i="4"/>
  <c r="F99" i="4"/>
  <c r="P98" i="4"/>
  <c r="O98" i="4"/>
  <c r="N98" i="4"/>
  <c r="I98" i="4"/>
  <c r="G98" i="4"/>
  <c r="F98" i="4"/>
  <c r="P97" i="4"/>
  <c r="O97" i="4"/>
  <c r="N97" i="4"/>
  <c r="I97" i="4"/>
  <c r="G97" i="4"/>
  <c r="F97" i="4"/>
  <c r="P96" i="4"/>
  <c r="O96" i="4"/>
  <c r="N96" i="4"/>
  <c r="I96" i="4"/>
  <c r="G96" i="4"/>
  <c r="F96" i="4"/>
  <c r="P95" i="4"/>
  <c r="O95" i="4"/>
  <c r="N95" i="4"/>
  <c r="I95" i="4"/>
  <c r="G95" i="4"/>
  <c r="F95" i="4"/>
  <c r="P94" i="4"/>
  <c r="O94" i="4"/>
  <c r="N94" i="4"/>
  <c r="I94" i="4"/>
  <c r="G94" i="4"/>
  <c r="F94" i="4"/>
  <c r="P93" i="4"/>
  <c r="O93" i="4"/>
  <c r="N93" i="4"/>
  <c r="I93" i="4"/>
  <c r="G93" i="4"/>
  <c r="F93" i="4"/>
  <c r="P92" i="4"/>
  <c r="O92" i="4"/>
  <c r="N92" i="4"/>
  <c r="I92" i="4"/>
  <c r="G92" i="4"/>
  <c r="F92" i="4"/>
  <c r="P91" i="4"/>
  <c r="O91" i="4"/>
  <c r="N91" i="4"/>
  <c r="I91" i="4"/>
  <c r="G91" i="4"/>
  <c r="F91" i="4"/>
  <c r="P90" i="4"/>
  <c r="O90" i="4"/>
  <c r="N90" i="4"/>
  <c r="I90" i="4"/>
  <c r="G90" i="4"/>
  <c r="F90" i="4"/>
  <c r="P89" i="4"/>
  <c r="O89" i="4"/>
  <c r="N89" i="4"/>
  <c r="I89" i="4"/>
  <c r="G89" i="4"/>
  <c r="F89" i="4"/>
  <c r="P88" i="4"/>
  <c r="O88" i="4"/>
  <c r="N88" i="4"/>
  <c r="I88" i="4"/>
  <c r="G88" i="4"/>
  <c r="F88" i="4"/>
  <c r="P87" i="4"/>
  <c r="O87" i="4"/>
  <c r="N87" i="4"/>
  <c r="I87" i="4"/>
  <c r="G87" i="4"/>
  <c r="F87" i="4"/>
  <c r="P86" i="4"/>
  <c r="O86" i="4"/>
  <c r="N86" i="4"/>
  <c r="I86" i="4"/>
  <c r="G86" i="4"/>
  <c r="F86" i="4"/>
  <c r="P85" i="4"/>
  <c r="O85" i="4"/>
  <c r="N85" i="4"/>
  <c r="I85" i="4"/>
  <c r="G85" i="4"/>
  <c r="F85" i="4"/>
  <c r="P84" i="4"/>
  <c r="O84" i="4"/>
  <c r="N84" i="4"/>
  <c r="I84" i="4"/>
  <c r="G84" i="4"/>
  <c r="F84" i="4"/>
  <c r="P83" i="4"/>
  <c r="O83" i="4"/>
  <c r="N83" i="4"/>
  <c r="I83" i="4"/>
  <c r="G83" i="4"/>
  <c r="F83" i="4"/>
  <c r="P82" i="4"/>
  <c r="O82" i="4"/>
  <c r="N82" i="4"/>
  <c r="I82" i="4"/>
  <c r="G82" i="4"/>
  <c r="F82" i="4"/>
  <c r="P81" i="4"/>
  <c r="O81" i="4"/>
  <c r="N81" i="4"/>
  <c r="I81" i="4"/>
  <c r="G81" i="4"/>
  <c r="F81" i="4"/>
  <c r="P80" i="4"/>
  <c r="O80" i="4"/>
  <c r="N80" i="4"/>
  <c r="I80" i="4"/>
  <c r="G80" i="4"/>
  <c r="F80" i="4"/>
  <c r="P79" i="4"/>
  <c r="O79" i="4"/>
  <c r="N79" i="4"/>
  <c r="I79" i="4"/>
  <c r="G79" i="4"/>
  <c r="F79" i="4"/>
  <c r="P78" i="4"/>
  <c r="O78" i="4"/>
  <c r="N78" i="4"/>
  <c r="I78" i="4"/>
  <c r="G78" i="4"/>
  <c r="F78" i="4"/>
  <c r="P77" i="4"/>
  <c r="O77" i="4"/>
  <c r="N77" i="4"/>
  <c r="I77" i="4"/>
  <c r="G77" i="4"/>
  <c r="F77" i="4"/>
  <c r="P76" i="4"/>
  <c r="O76" i="4"/>
  <c r="N76" i="4"/>
  <c r="I76" i="4"/>
  <c r="G76" i="4"/>
  <c r="F76" i="4"/>
  <c r="P75" i="4"/>
  <c r="O75" i="4"/>
  <c r="N75" i="4"/>
  <c r="I75" i="4"/>
  <c r="G75" i="4"/>
  <c r="F75" i="4"/>
  <c r="P74" i="4"/>
  <c r="O74" i="4"/>
  <c r="N74" i="4"/>
  <c r="I74" i="4"/>
  <c r="G74" i="4"/>
  <c r="F74" i="4"/>
  <c r="P73" i="4"/>
  <c r="O73" i="4"/>
  <c r="N73" i="4"/>
  <c r="I73" i="4"/>
  <c r="G73" i="4"/>
  <c r="F73" i="4"/>
  <c r="P72" i="4"/>
  <c r="O72" i="4"/>
  <c r="N72" i="4"/>
  <c r="I72" i="4"/>
  <c r="G72" i="4"/>
  <c r="F72" i="4"/>
  <c r="P71" i="4"/>
  <c r="O71" i="4"/>
  <c r="N71" i="4"/>
  <c r="I71" i="4"/>
  <c r="G71" i="4"/>
  <c r="F71" i="4"/>
  <c r="P70" i="4"/>
  <c r="O70" i="4"/>
  <c r="N70" i="4"/>
  <c r="I70" i="4"/>
  <c r="G70" i="4"/>
  <c r="F70" i="4"/>
  <c r="P69" i="4"/>
  <c r="O69" i="4"/>
  <c r="N69" i="4"/>
  <c r="I69" i="4"/>
  <c r="G69" i="4"/>
  <c r="F69" i="4"/>
  <c r="P68" i="4"/>
  <c r="O68" i="4"/>
  <c r="N68" i="4"/>
  <c r="I68" i="4"/>
  <c r="G68" i="4"/>
  <c r="F68" i="4"/>
  <c r="P67" i="4"/>
  <c r="O67" i="4"/>
  <c r="N67" i="4"/>
  <c r="I67" i="4"/>
  <c r="G67" i="4"/>
  <c r="F67" i="4"/>
  <c r="P66" i="4"/>
  <c r="O66" i="4"/>
  <c r="N66" i="4"/>
  <c r="I66" i="4"/>
  <c r="G66" i="4"/>
  <c r="F66" i="4"/>
  <c r="P65" i="4"/>
  <c r="O65" i="4"/>
  <c r="N65" i="4"/>
  <c r="I65" i="4"/>
  <c r="G65" i="4"/>
  <c r="F65" i="4"/>
  <c r="P64" i="4"/>
  <c r="O64" i="4"/>
  <c r="N64" i="4"/>
  <c r="I64" i="4"/>
  <c r="G64" i="4"/>
  <c r="F64" i="4"/>
  <c r="P63" i="4"/>
  <c r="O63" i="4"/>
  <c r="N63" i="4"/>
  <c r="I63" i="4"/>
  <c r="G63" i="4"/>
  <c r="F63" i="4"/>
  <c r="P62" i="4"/>
  <c r="O62" i="4"/>
  <c r="N62" i="4"/>
  <c r="I62" i="4"/>
  <c r="G62" i="4"/>
  <c r="F62" i="4"/>
  <c r="P61" i="4"/>
  <c r="O61" i="4"/>
  <c r="N61" i="4"/>
  <c r="I61" i="4"/>
  <c r="G61" i="4"/>
  <c r="F61" i="4"/>
  <c r="P60" i="4"/>
  <c r="O60" i="4"/>
  <c r="N60" i="4"/>
  <c r="I60" i="4"/>
  <c r="G60" i="4"/>
  <c r="F60" i="4"/>
  <c r="P59" i="4"/>
  <c r="O59" i="4"/>
  <c r="N59" i="4"/>
  <c r="I59" i="4"/>
  <c r="G59" i="4"/>
  <c r="F59" i="4"/>
  <c r="P58" i="4"/>
  <c r="O58" i="4"/>
  <c r="N58" i="4"/>
  <c r="I58" i="4"/>
  <c r="G58" i="4"/>
  <c r="F58" i="4"/>
  <c r="P57" i="4"/>
  <c r="O57" i="4"/>
  <c r="N57" i="4"/>
  <c r="I57" i="4"/>
  <c r="G57" i="4"/>
  <c r="F57" i="4"/>
  <c r="P56" i="4"/>
  <c r="O56" i="4"/>
  <c r="N56" i="4"/>
  <c r="I56" i="4"/>
  <c r="G56" i="4"/>
  <c r="F56" i="4"/>
  <c r="P55" i="4"/>
  <c r="O55" i="4"/>
  <c r="N55" i="4"/>
  <c r="I55" i="4"/>
  <c r="G55" i="4"/>
  <c r="F55" i="4"/>
  <c r="P54" i="4"/>
  <c r="O54" i="4"/>
  <c r="N54" i="4"/>
  <c r="I54" i="4"/>
  <c r="G54" i="4"/>
  <c r="F54" i="4"/>
  <c r="P53" i="4"/>
  <c r="O53" i="4"/>
  <c r="N53" i="4"/>
  <c r="I53" i="4"/>
  <c r="G53" i="4"/>
  <c r="F53" i="4"/>
  <c r="P52" i="4"/>
  <c r="O52" i="4"/>
  <c r="N52" i="4"/>
  <c r="I52" i="4"/>
  <c r="G52" i="4"/>
  <c r="F52" i="4"/>
  <c r="P51" i="4"/>
  <c r="O51" i="4"/>
  <c r="N51" i="4"/>
  <c r="I51" i="4"/>
  <c r="G51" i="4"/>
  <c r="F51" i="4"/>
  <c r="P50" i="4"/>
  <c r="O50" i="4"/>
  <c r="N50" i="4"/>
  <c r="I50" i="4"/>
  <c r="G50" i="4"/>
  <c r="F50" i="4"/>
  <c r="P49" i="4"/>
  <c r="O49" i="4"/>
  <c r="N49" i="4"/>
  <c r="I49" i="4"/>
  <c r="G49" i="4"/>
  <c r="F49" i="4"/>
  <c r="P48" i="4"/>
  <c r="O48" i="4"/>
  <c r="N48" i="4"/>
  <c r="I48" i="4"/>
  <c r="G48" i="4"/>
  <c r="F48" i="4"/>
  <c r="P47" i="4"/>
  <c r="O47" i="4"/>
  <c r="N47" i="4"/>
  <c r="I47" i="4"/>
  <c r="G47" i="4"/>
  <c r="F47" i="4"/>
  <c r="P46" i="4"/>
  <c r="O46" i="4"/>
  <c r="N46" i="4"/>
  <c r="I46" i="4"/>
  <c r="G46" i="4"/>
  <c r="F46" i="4"/>
  <c r="P45" i="4"/>
  <c r="O45" i="4"/>
  <c r="N45" i="4"/>
  <c r="I45" i="4"/>
  <c r="G45" i="4"/>
  <c r="F45" i="4"/>
  <c r="P44" i="4"/>
  <c r="O44" i="4"/>
  <c r="N44" i="4"/>
  <c r="I44" i="4"/>
  <c r="G44" i="4"/>
  <c r="F44" i="4"/>
  <c r="P43" i="4"/>
  <c r="O43" i="4"/>
  <c r="N43" i="4"/>
  <c r="I43" i="4"/>
  <c r="G43" i="4"/>
  <c r="F43" i="4"/>
  <c r="P42" i="4"/>
  <c r="O42" i="4"/>
  <c r="N42" i="4"/>
  <c r="I42" i="4"/>
  <c r="G42" i="4"/>
  <c r="F42" i="4"/>
  <c r="P41" i="4"/>
  <c r="O41" i="4"/>
  <c r="N41" i="4"/>
  <c r="I41" i="4"/>
  <c r="G41" i="4"/>
  <c r="F41" i="4"/>
  <c r="P40" i="4"/>
  <c r="O40" i="4"/>
  <c r="N40" i="4"/>
  <c r="I40" i="4"/>
  <c r="G40" i="4"/>
  <c r="F40" i="4"/>
  <c r="P39" i="4"/>
  <c r="O39" i="4"/>
  <c r="N39" i="4"/>
  <c r="I39" i="4"/>
  <c r="G39" i="4"/>
  <c r="F39" i="4"/>
  <c r="P38" i="4"/>
  <c r="O38" i="4"/>
  <c r="N38" i="4"/>
  <c r="I38" i="4"/>
  <c r="G38" i="4"/>
  <c r="F38" i="4"/>
  <c r="P37" i="4"/>
  <c r="O37" i="4"/>
  <c r="N37" i="4"/>
  <c r="I37" i="4"/>
  <c r="G37" i="4"/>
  <c r="F37" i="4"/>
  <c r="P36" i="4"/>
  <c r="O36" i="4"/>
  <c r="N36" i="4"/>
  <c r="I36" i="4"/>
  <c r="G36" i="4"/>
  <c r="F36" i="4"/>
  <c r="P35" i="4"/>
  <c r="O35" i="4"/>
  <c r="N35" i="4"/>
  <c r="I35" i="4"/>
  <c r="G35" i="4"/>
  <c r="F35" i="4"/>
  <c r="P34" i="4"/>
  <c r="O34" i="4"/>
  <c r="N34" i="4"/>
  <c r="I34" i="4"/>
  <c r="G34" i="4"/>
  <c r="F34" i="4"/>
  <c r="P33" i="4"/>
  <c r="O33" i="4"/>
  <c r="N33" i="4"/>
  <c r="I33" i="4"/>
  <c r="G33" i="4"/>
  <c r="F33" i="4"/>
  <c r="P32" i="4"/>
  <c r="O32" i="4"/>
  <c r="N32" i="4"/>
  <c r="I32" i="4"/>
  <c r="G32" i="4"/>
  <c r="F32" i="4"/>
  <c r="P31" i="4"/>
  <c r="O31" i="4"/>
  <c r="N31" i="4"/>
  <c r="I31" i="4"/>
  <c r="G31" i="4"/>
  <c r="F31" i="4"/>
  <c r="P30" i="4"/>
  <c r="O30" i="4"/>
  <c r="N30" i="4"/>
  <c r="I30" i="4"/>
  <c r="G30" i="4"/>
  <c r="F30" i="4"/>
  <c r="P29" i="4"/>
  <c r="O29" i="4"/>
  <c r="N29" i="4"/>
  <c r="I29" i="4"/>
  <c r="G29" i="4"/>
  <c r="F29" i="4"/>
  <c r="P28" i="4"/>
  <c r="O28" i="4"/>
  <c r="N28" i="4"/>
  <c r="I28" i="4"/>
  <c r="G28" i="4"/>
  <c r="F28" i="4"/>
  <c r="P27" i="4"/>
  <c r="O27" i="4"/>
  <c r="N27" i="4"/>
  <c r="I27" i="4"/>
  <c r="G27" i="4"/>
  <c r="F27" i="4"/>
  <c r="P26" i="4"/>
  <c r="O26" i="4"/>
  <c r="N26" i="4"/>
  <c r="I26" i="4"/>
  <c r="G26" i="4"/>
  <c r="F26" i="4"/>
  <c r="P25" i="4"/>
  <c r="O25" i="4"/>
  <c r="N25" i="4"/>
  <c r="I25" i="4"/>
  <c r="G25" i="4"/>
  <c r="F25" i="4"/>
  <c r="P24" i="4"/>
  <c r="O24" i="4"/>
  <c r="N24" i="4"/>
  <c r="I24" i="4"/>
  <c r="G24" i="4"/>
  <c r="F24" i="4"/>
  <c r="P23" i="4"/>
  <c r="O23" i="4"/>
  <c r="N23" i="4"/>
  <c r="I23" i="4"/>
  <c r="G23" i="4"/>
  <c r="F23" i="4"/>
  <c r="P22" i="4"/>
  <c r="O22" i="4"/>
  <c r="N22" i="4"/>
  <c r="I22" i="4"/>
  <c r="G22" i="4"/>
  <c r="F22" i="4"/>
  <c r="P21" i="4"/>
  <c r="O21" i="4"/>
  <c r="N21" i="4"/>
  <c r="I21" i="4"/>
  <c r="G21" i="4"/>
  <c r="F21" i="4"/>
  <c r="P20" i="4"/>
  <c r="O20" i="4"/>
  <c r="N20" i="4"/>
  <c r="I20" i="4"/>
  <c r="G20" i="4"/>
  <c r="F20" i="4"/>
  <c r="P19" i="4"/>
  <c r="O19" i="4"/>
  <c r="N19" i="4"/>
  <c r="I19" i="4"/>
  <c r="G19" i="4"/>
  <c r="F19" i="4"/>
  <c r="P18" i="4"/>
  <c r="O18" i="4"/>
  <c r="N18" i="4"/>
  <c r="I18" i="4"/>
  <c r="G18" i="4"/>
  <c r="F18" i="4"/>
  <c r="P17" i="4"/>
  <c r="O17" i="4"/>
  <c r="N17" i="4"/>
  <c r="I17" i="4"/>
  <c r="G17" i="4"/>
  <c r="F17" i="4"/>
  <c r="P16" i="4"/>
  <c r="O16" i="4"/>
  <c r="N16" i="4"/>
  <c r="I16" i="4"/>
  <c r="G16" i="4"/>
  <c r="F16" i="4"/>
  <c r="P15" i="4"/>
  <c r="O15" i="4"/>
  <c r="N15" i="4"/>
  <c r="I15" i="4"/>
  <c r="G15" i="4"/>
  <c r="F15" i="4"/>
  <c r="P14" i="4"/>
  <c r="O14" i="4"/>
  <c r="N14" i="4"/>
  <c r="I14" i="4"/>
  <c r="G14" i="4"/>
  <c r="F14" i="4"/>
  <c r="P13" i="4"/>
  <c r="O13" i="4"/>
  <c r="N13" i="4"/>
  <c r="I13" i="4"/>
  <c r="G13" i="4"/>
  <c r="F13" i="4"/>
  <c r="P12" i="4"/>
  <c r="O12" i="4"/>
  <c r="N12" i="4"/>
  <c r="I12" i="4"/>
  <c r="G12" i="4"/>
  <c r="F12" i="4"/>
  <c r="P11" i="4"/>
  <c r="O11" i="4"/>
  <c r="N11" i="4"/>
  <c r="I11" i="4"/>
  <c r="G11" i="4"/>
  <c r="F11" i="4"/>
  <c r="P10" i="4"/>
  <c r="O10" i="4"/>
  <c r="N10" i="4"/>
  <c r="I10" i="4"/>
  <c r="G10" i="4"/>
  <c r="F10" i="4"/>
  <c r="P9" i="4"/>
  <c r="O9" i="4"/>
  <c r="N9" i="4"/>
  <c r="I9" i="4"/>
  <c r="G9" i="4"/>
  <c r="F9" i="4"/>
  <c r="P8" i="4"/>
  <c r="O8" i="4"/>
  <c r="N8" i="4"/>
  <c r="I8" i="4"/>
  <c r="G8" i="4"/>
  <c r="F8" i="4"/>
  <c r="P7" i="4"/>
  <c r="O7" i="4"/>
  <c r="N7" i="4"/>
  <c r="I7" i="4"/>
  <c r="G7" i="4"/>
  <c r="F7" i="4"/>
  <c r="P6" i="4"/>
  <c r="O6" i="4"/>
  <c r="N6" i="4"/>
  <c r="I6" i="4"/>
  <c r="G6" i="4"/>
  <c r="F6" i="4"/>
  <c r="P5" i="4"/>
  <c r="O5" i="4"/>
  <c r="N5" i="4"/>
  <c r="I5" i="4"/>
  <c r="G5" i="4"/>
  <c r="F5" i="4"/>
  <c r="O4" i="4"/>
  <c r="N4" i="4"/>
  <c r="I4" i="4"/>
  <c r="G4" i="4"/>
  <c r="F4" i="4"/>
  <c r="B201" i="4"/>
  <c r="A201" i="4"/>
  <c r="B200" i="4"/>
  <c r="A200" i="4"/>
  <c r="B199" i="4"/>
  <c r="A199" i="4"/>
  <c r="B198" i="4"/>
  <c r="A198" i="4"/>
  <c r="B197" i="4"/>
  <c r="A197" i="4"/>
  <c r="B196" i="4"/>
  <c r="A196" i="4"/>
  <c r="B195" i="4"/>
  <c r="A195" i="4"/>
  <c r="B194" i="4"/>
  <c r="A194" i="4"/>
  <c r="B193" i="4"/>
  <c r="A193" i="4"/>
  <c r="B192" i="4"/>
  <c r="A192" i="4"/>
  <c r="B191" i="4"/>
  <c r="A191" i="4"/>
  <c r="B190" i="4"/>
  <c r="A190" i="4"/>
  <c r="B189" i="4"/>
  <c r="A189" i="4"/>
  <c r="B188" i="4"/>
  <c r="A188" i="4"/>
  <c r="B187" i="4"/>
  <c r="A187" i="4"/>
  <c r="B186" i="4"/>
  <c r="A186" i="4"/>
  <c r="B185" i="4"/>
  <c r="A185" i="4"/>
  <c r="B184" i="4"/>
  <c r="A184" i="4"/>
  <c r="B183" i="4"/>
  <c r="A183" i="4"/>
  <c r="B182" i="4"/>
  <c r="A182" i="4"/>
  <c r="B181" i="4"/>
  <c r="A181" i="4"/>
  <c r="B180" i="4"/>
  <c r="A180" i="4"/>
  <c r="B179" i="4"/>
  <c r="A179" i="4"/>
  <c r="B178" i="4"/>
  <c r="A178" i="4"/>
  <c r="B177" i="4"/>
  <c r="A177" i="4"/>
  <c r="B176" i="4"/>
  <c r="A176" i="4"/>
  <c r="B175" i="4"/>
  <c r="A175" i="4"/>
  <c r="B174" i="4"/>
  <c r="A174" i="4"/>
  <c r="B173" i="4"/>
  <c r="A173" i="4"/>
  <c r="B172" i="4"/>
  <c r="A172" i="4"/>
  <c r="B171" i="4"/>
  <c r="A171" i="4"/>
  <c r="B170" i="4"/>
  <c r="A170" i="4"/>
  <c r="B169" i="4"/>
  <c r="A169" i="4"/>
  <c r="B168" i="4"/>
  <c r="A168" i="4"/>
  <c r="B167" i="4"/>
  <c r="A167" i="4"/>
  <c r="B166" i="4"/>
  <c r="A166" i="4"/>
  <c r="B165" i="4"/>
  <c r="A165" i="4"/>
  <c r="B164" i="4"/>
  <c r="A164" i="4"/>
  <c r="B163" i="4"/>
  <c r="A163" i="4"/>
  <c r="B162" i="4"/>
  <c r="A162" i="4"/>
  <c r="B161" i="4"/>
  <c r="A161" i="4"/>
  <c r="B160" i="4"/>
  <c r="A160" i="4"/>
  <c r="B159" i="4"/>
  <c r="A159" i="4"/>
  <c r="B158" i="4"/>
  <c r="A158" i="4"/>
  <c r="B157" i="4"/>
  <c r="A157" i="4"/>
  <c r="B156" i="4"/>
  <c r="A156" i="4"/>
  <c r="B155" i="4"/>
  <c r="A155" i="4"/>
  <c r="B154" i="4"/>
  <c r="A154" i="4"/>
  <c r="B153" i="4"/>
  <c r="A153" i="4"/>
  <c r="B152" i="4"/>
  <c r="A152" i="4"/>
  <c r="B151" i="4"/>
  <c r="A151" i="4"/>
  <c r="B150" i="4"/>
  <c r="A150" i="4"/>
  <c r="B149" i="4"/>
  <c r="A149" i="4"/>
  <c r="B148" i="4"/>
  <c r="A148" i="4"/>
  <c r="B147" i="4"/>
  <c r="A147" i="4"/>
  <c r="B146" i="4"/>
  <c r="A146" i="4"/>
  <c r="B145" i="4"/>
  <c r="A145" i="4"/>
  <c r="B144" i="4"/>
  <c r="A144" i="4"/>
  <c r="B143" i="4"/>
  <c r="A143" i="4"/>
  <c r="B142" i="4"/>
  <c r="A142" i="4"/>
  <c r="B141" i="4"/>
  <c r="A141" i="4"/>
  <c r="B140" i="4"/>
  <c r="A140" i="4"/>
  <c r="B139" i="4"/>
  <c r="A139" i="4"/>
  <c r="B138" i="4"/>
  <c r="A138" i="4"/>
  <c r="B137" i="4"/>
  <c r="A137" i="4"/>
  <c r="B136" i="4"/>
  <c r="A136" i="4"/>
  <c r="B135" i="4"/>
  <c r="A135" i="4"/>
  <c r="B134" i="4"/>
  <c r="A134" i="4"/>
  <c r="B133" i="4"/>
  <c r="A133" i="4"/>
  <c r="B132" i="4"/>
  <c r="A132" i="4"/>
  <c r="B131" i="4"/>
  <c r="A131" i="4"/>
  <c r="B130" i="4"/>
  <c r="A130" i="4"/>
  <c r="B129" i="4"/>
  <c r="A129" i="4"/>
  <c r="B128" i="4"/>
  <c r="A128" i="4"/>
  <c r="B127" i="4"/>
  <c r="A127" i="4"/>
  <c r="B126" i="4"/>
  <c r="A126" i="4"/>
  <c r="B125" i="4"/>
  <c r="A125" i="4"/>
  <c r="B124" i="4"/>
  <c r="A124" i="4"/>
  <c r="B123" i="4"/>
  <c r="A123" i="4"/>
  <c r="B122" i="4"/>
  <c r="A122" i="4"/>
  <c r="B121" i="4"/>
  <c r="A121" i="4"/>
  <c r="B120" i="4"/>
  <c r="A120" i="4"/>
  <c r="B119" i="4"/>
  <c r="A119" i="4"/>
  <c r="B118" i="4"/>
  <c r="A118" i="4"/>
  <c r="B117" i="4"/>
  <c r="A117" i="4"/>
  <c r="B116" i="4"/>
  <c r="A116" i="4"/>
  <c r="B115" i="4"/>
  <c r="A115" i="4"/>
  <c r="B114" i="4"/>
  <c r="A114" i="4"/>
  <c r="B113" i="4"/>
  <c r="A113" i="4"/>
  <c r="B112" i="4"/>
  <c r="A112" i="4"/>
  <c r="B111" i="4"/>
  <c r="A111" i="4"/>
  <c r="B110" i="4"/>
  <c r="A110" i="4"/>
  <c r="B109" i="4"/>
  <c r="A109" i="4"/>
  <c r="B108" i="4"/>
  <c r="A108" i="4"/>
  <c r="B107" i="4"/>
  <c r="A107" i="4"/>
  <c r="B106" i="4"/>
  <c r="A106" i="4"/>
  <c r="B105" i="4"/>
  <c r="A105" i="4"/>
  <c r="B104" i="4"/>
  <c r="A104" i="4"/>
  <c r="B103" i="4"/>
  <c r="A103" i="4"/>
  <c r="B102" i="4"/>
  <c r="A102" i="4"/>
  <c r="B101" i="4"/>
  <c r="A101" i="4"/>
  <c r="B100" i="4"/>
  <c r="A100" i="4"/>
  <c r="B99" i="4"/>
  <c r="A99" i="4"/>
  <c r="B98" i="4"/>
  <c r="A98" i="4"/>
  <c r="B97" i="4"/>
  <c r="A97" i="4"/>
  <c r="B96" i="4"/>
  <c r="A96" i="4"/>
  <c r="B95" i="4"/>
  <c r="A95" i="4"/>
  <c r="B94" i="4"/>
  <c r="A94" i="4"/>
  <c r="B93" i="4"/>
  <c r="A93" i="4"/>
  <c r="B92" i="4"/>
  <c r="A92" i="4"/>
  <c r="B91" i="4"/>
  <c r="A91" i="4"/>
  <c r="B90" i="4"/>
  <c r="A90" i="4"/>
  <c r="B89" i="4"/>
  <c r="A89" i="4"/>
  <c r="B88" i="4"/>
  <c r="A88" i="4"/>
  <c r="B87" i="4"/>
  <c r="A87" i="4"/>
  <c r="B86" i="4"/>
  <c r="A86" i="4"/>
  <c r="B85" i="4"/>
  <c r="A85" i="4"/>
  <c r="B84" i="4"/>
  <c r="A84" i="4"/>
  <c r="B83" i="4"/>
  <c r="A83" i="4"/>
  <c r="B82" i="4"/>
  <c r="A82" i="4"/>
  <c r="B81" i="4"/>
  <c r="A81" i="4"/>
  <c r="B80" i="4"/>
  <c r="A80" i="4"/>
  <c r="B79" i="4"/>
  <c r="A79" i="4"/>
  <c r="B78" i="4"/>
  <c r="A78" i="4"/>
  <c r="B77" i="4"/>
  <c r="A77" i="4"/>
  <c r="B76" i="4"/>
  <c r="A76" i="4"/>
  <c r="B75" i="4"/>
  <c r="A75" i="4"/>
  <c r="B74" i="4"/>
  <c r="A74" i="4"/>
  <c r="B73" i="4"/>
  <c r="A73" i="4"/>
  <c r="B72" i="4"/>
  <c r="A72" i="4"/>
  <c r="B71" i="4"/>
  <c r="A71" i="4"/>
  <c r="B70" i="4"/>
  <c r="A70" i="4"/>
  <c r="B69" i="4"/>
  <c r="A69" i="4"/>
  <c r="B68" i="4"/>
  <c r="A68" i="4"/>
  <c r="B67" i="4"/>
  <c r="A67" i="4"/>
  <c r="B66" i="4"/>
  <c r="A66" i="4"/>
  <c r="B65" i="4"/>
  <c r="A65" i="4"/>
  <c r="B64" i="4"/>
  <c r="A64" i="4"/>
  <c r="B63" i="4"/>
  <c r="A63" i="4"/>
  <c r="B62" i="4"/>
  <c r="A62" i="4"/>
  <c r="B61" i="4"/>
  <c r="A61" i="4"/>
  <c r="B60" i="4"/>
  <c r="A60" i="4"/>
  <c r="B59" i="4"/>
  <c r="A59" i="4"/>
  <c r="B58" i="4"/>
  <c r="A58" i="4"/>
  <c r="B57" i="4"/>
  <c r="A57" i="4"/>
  <c r="B56" i="4"/>
  <c r="A56" i="4"/>
  <c r="B55" i="4"/>
  <c r="A55" i="4"/>
  <c r="B54" i="4"/>
  <c r="A54" i="4"/>
  <c r="B53" i="4"/>
  <c r="A53" i="4"/>
  <c r="B52" i="4"/>
  <c r="A52" i="4"/>
  <c r="B51" i="4"/>
  <c r="A51" i="4"/>
  <c r="B50" i="4"/>
  <c r="A50" i="4"/>
  <c r="B49" i="4"/>
  <c r="A49" i="4"/>
  <c r="B48" i="4"/>
  <c r="A48" i="4"/>
  <c r="B47" i="4"/>
  <c r="A47" i="4"/>
  <c r="B46" i="4"/>
  <c r="A46" i="4"/>
  <c r="B45" i="4"/>
  <c r="A45" i="4"/>
  <c r="B44" i="4"/>
  <c r="A44" i="4"/>
  <c r="B43" i="4"/>
  <c r="A43" i="4"/>
  <c r="B42" i="4"/>
  <c r="A42" i="4"/>
  <c r="B41" i="4"/>
  <c r="A41" i="4"/>
  <c r="B40" i="4"/>
  <c r="A40" i="4"/>
  <c r="B39" i="4"/>
  <c r="A39" i="4"/>
  <c r="B38" i="4"/>
  <c r="A38" i="4"/>
  <c r="B37" i="4"/>
  <c r="A37" i="4"/>
  <c r="B36" i="4"/>
  <c r="A36" i="4"/>
  <c r="B35" i="4"/>
  <c r="A35" i="4"/>
  <c r="B34" i="4"/>
  <c r="A34" i="4"/>
  <c r="B33" i="4"/>
  <c r="A33" i="4"/>
  <c r="B32" i="4"/>
  <c r="A32" i="4"/>
  <c r="B31" i="4"/>
  <c r="A31" i="4"/>
  <c r="B30" i="4"/>
  <c r="A30" i="4"/>
  <c r="B29" i="4"/>
  <c r="A29" i="4"/>
  <c r="B28" i="4"/>
  <c r="A28" i="4"/>
  <c r="B27" i="4"/>
  <c r="A27" i="4"/>
  <c r="B26" i="4"/>
  <c r="A26" i="4"/>
  <c r="B25" i="4"/>
  <c r="A25" i="4"/>
  <c r="B24" i="4"/>
  <c r="A24" i="4"/>
  <c r="B23" i="4"/>
  <c r="A23" i="4"/>
  <c r="B22" i="4"/>
  <c r="A22" i="4"/>
  <c r="B21" i="4"/>
  <c r="A21" i="4"/>
  <c r="B20" i="4"/>
  <c r="A20" i="4"/>
  <c r="B19" i="4"/>
  <c r="A19" i="4"/>
  <c r="B18" i="4"/>
  <c r="A18" i="4"/>
  <c r="B17" i="4"/>
  <c r="A17" i="4"/>
  <c r="B16" i="4"/>
  <c r="A16" i="4"/>
  <c r="B15" i="4"/>
  <c r="A15" i="4"/>
  <c r="B14" i="4"/>
  <c r="A14" i="4"/>
  <c r="B13" i="4"/>
  <c r="A13" i="4"/>
  <c r="B12" i="4"/>
  <c r="A12" i="4"/>
  <c r="B11" i="4"/>
  <c r="A11" i="4"/>
  <c r="B10" i="4"/>
  <c r="A10" i="4"/>
  <c r="B9" i="4"/>
  <c r="A9" i="4"/>
  <c r="B8" i="4"/>
  <c r="A8" i="4"/>
  <c r="B7" i="4"/>
  <c r="A7" i="4"/>
  <c r="B6" i="4"/>
  <c r="A6" i="4"/>
  <c r="B5" i="4"/>
  <c r="A5" i="4"/>
  <c r="B4" i="4"/>
  <c r="A4" i="4"/>
  <c r="S214" i="4" l="1"/>
  <c r="U214" i="4" s="1"/>
  <c r="S212" i="4"/>
  <c r="U212" i="4" s="1"/>
  <c r="S216" i="4"/>
  <c r="U216" i="4" s="1"/>
  <c r="S220" i="4"/>
  <c r="U220" i="4" s="1"/>
  <c r="S224" i="4"/>
  <c r="U224" i="4" s="1"/>
  <c r="S228" i="4"/>
  <c r="U228" i="4" s="1"/>
  <c r="S232" i="4"/>
  <c r="U232" i="4" s="1"/>
  <c r="S236" i="4"/>
  <c r="U236" i="4" s="1"/>
  <c r="S240" i="4"/>
  <c r="U240" i="4" s="1"/>
  <c r="S244" i="4"/>
  <c r="U244" i="4" s="1"/>
  <c r="S248" i="4"/>
  <c r="U248" i="4" s="1"/>
  <c r="S252" i="4"/>
  <c r="U252" i="4" s="1"/>
  <c r="S256" i="4"/>
  <c r="U256" i="4" s="1"/>
  <c r="S260" i="4"/>
  <c r="U260" i="4" s="1"/>
  <c r="S264" i="4"/>
  <c r="U264" i="4" s="1"/>
  <c r="S268" i="4"/>
  <c r="U268" i="4" s="1"/>
  <c r="S272" i="4"/>
  <c r="U272" i="4" s="1"/>
  <c r="S276" i="4"/>
  <c r="U276" i="4" s="1"/>
  <c r="S280" i="4"/>
  <c r="U280" i="4" s="1"/>
  <c r="S284" i="4"/>
  <c r="U284" i="4" s="1"/>
  <c r="S288" i="4"/>
  <c r="U288" i="4" s="1"/>
  <c r="S292" i="4"/>
  <c r="U292" i="4" s="1"/>
  <c r="S296" i="4"/>
  <c r="U296" i="4" s="1"/>
  <c r="S300" i="4"/>
  <c r="U300" i="4" s="1"/>
  <c r="S304" i="4"/>
  <c r="U304" i="4" s="1"/>
  <c r="S308" i="4"/>
  <c r="U308" i="4" s="1"/>
  <c r="S312" i="4"/>
  <c r="U312" i="4" s="1"/>
  <c r="S316" i="4"/>
  <c r="U316" i="4" s="1"/>
  <c r="S320" i="4"/>
  <c r="U320" i="4" s="1"/>
  <c r="S324" i="4"/>
  <c r="U324" i="4" s="1"/>
  <c r="S328" i="4"/>
  <c r="U328" i="4" s="1"/>
  <c r="S332" i="4"/>
  <c r="U332" i="4" s="1"/>
  <c r="S336" i="4"/>
  <c r="U336" i="4" s="1"/>
  <c r="S340" i="4"/>
  <c r="U340" i="4" s="1"/>
  <c r="S344" i="4"/>
  <c r="U344" i="4" s="1"/>
  <c r="S348" i="4"/>
  <c r="U348" i="4" s="1"/>
  <c r="S352" i="4"/>
  <c r="U352" i="4" s="1"/>
  <c r="S356" i="4"/>
  <c r="U356" i="4" s="1"/>
  <c r="S217" i="4"/>
  <c r="U217" i="4" s="1"/>
  <c r="S221" i="4"/>
  <c r="U221" i="4" s="1"/>
  <c r="S225" i="4"/>
  <c r="U225" i="4" s="1"/>
  <c r="S229" i="4"/>
  <c r="U229" i="4" s="1"/>
  <c r="S233" i="4"/>
  <c r="U233" i="4" s="1"/>
  <c r="S237" i="4"/>
  <c r="U237" i="4" s="1"/>
  <c r="S241" i="4"/>
  <c r="U241" i="4" s="1"/>
  <c r="S245" i="4"/>
  <c r="U245" i="4" s="1"/>
  <c r="S249" i="4"/>
  <c r="U249" i="4" s="1"/>
  <c r="S253" i="4"/>
  <c r="U253" i="4" s="1"/>
  <c r="S257" i="4"/>
  <c r="U257" i="4" s="1"/>
  <c r="S261" i="4"/>
  <c r="U261" i="4" s="1"/>
  <c r="S265" i="4"/>
  <c r="U265" i="4" s="1"/>
  <c r="S269" i="4"/>
  <c r="U269" i="4" s="1"/>
  <c r="S273" i="4"/>
  <c r="U273" i="4" s="1"/>
  <c r="S277" i="4"/>
  <c r="U277" i="4" s="1"/>
  <c r="S281" i="4"/>
  <c r="U281" i="4" s="1"/>
  <c r="S285" i="4"/>
  <c r="U285" i="4" s="1"/>
  <c r="S289" i="4"/>
  <c r="U289" i="4" s="1"/>
  <c r="S293" i="4"/>
  <c r="U293" i="4" s="1"/>
  <c r="S297" i="4"/>
  <c r="U297" i="4" s="1"/>
  <c r="S301" i="4"/>
  <c r="U301" i="4" s="1"/>
  <c r="S305" i="4"/>
  <c r="U305" i="4" s="1"/>
  <c r="S309" i="4"/>
  <c r="U309" i="4" s="1"/>
  <c r="S210" i="4"/>
  <c r="U210" i="4" s="1"/>
  <c r="S218" i="4"/>
  <c r="U218" i="4" s="1"/>
  <c r="S222" i="4"/>
  <c r="U222" i="4" s="1"/>
  <c r="S226" i="4"/>
  <c r="U226" i="4" s="1"/>
  <c r="S230" i="4"/>
  <c r="U230" i="4" s="1"/>
  <c r="S234" i="4"/>
  <c r="U234" i="4" s="1"/>
  <c r="S238" i="4"/>
  <c r="U238" i="4" s="1"/>
  <c r="S242" i="4"/>
  <c r="U242" i="4" s="1"/>
  <c r="S246" i="4"/>
  <c r="U246" i="4" s="1"/>
  <c r="S250" i="4"/>
  <c r="U250" i="4" s="1"/>
  <c r="S254" i="4"/>
  <c r="U254" i="4" s="1"/>
  <c r="S258" i="4"/>
  <c r="U258" i="4" s="1"/>
  <c r="S262" i="4"/>
  <c r="U262" i="4" s="1"/>
  <c r="S266" i="4"/>
  <c r="U266" i="4" s="1"/>
  <c r="S270" i="4"/>
  <c r="U270" i="4" s="1"/>
  <c r="S274" i="4"/>
  <c r="U274" i="4" s="1"/>
  <c r="S278" i="4"/>
  <c r="U278" i="4" s="1"/>
  <c r="S282" i="4"/>
  <c r="U282" i="4" s="1"/>
  <c r="S286" i="4"/>
  <c r="U286" i="4" s="1"/>
  <c r="S290" i="4"/>
  <c r="U290" i="4" s="1"/>
  <c r="S294" i="4"/>
  <c r="U294" i="4" s="1"/>
  <c r="S298" i="4"/>
  <c r="U298" i="4" s="1"/>
  <c r="S302" i="4"/>
  <c r="U302" i="4" s="1"/>
  <c r="S306" i="4"/>
  <c r="U306" i="4" s="1"/>
  <c r="S310" i="4"/>
  <c r="U310" i="4" s="1"/>
  <c r="S314" i="4"/>
  <c r="U314" i="4" s="1"/>
  <c r="S318" i="4"/>
  <c r="U318" i="4" s="1"/>
  <c r="S322" i="4"/>
  <c r="U322" i="4" s="1"/>
  <c r="S326" i="4"/>
  <c r="U326" i="4" s="1"/>
  <c r="S330" i="4"/>
  <c r="U330" i="4" s="1"/>
  <c r="S334" i="4"/>
  <c r="U334" i="4" s="1"/>
  <c r="S338" i="4"/>
  <c r="U338" i="4" s="1"/>
  <c r="S342" i="4"/>
  <c r="U342" i="4" s="1"/>
  <c r="S346" i="4"/>
  <c r="U346" i="4" s="1"/>
  <c r="S219" i="4"/>
  <c r="U219" i="4" s="1"/>
  <c r="S235" i="4"/>
  <c r="U235" i="4" s="1"/>
  <c r="S251" i="4"/>
  <c r="U251" i="4" s="1"/>
  <c r="S267" i="4"/>
  <c r="U267" i="4" s="1"/>
  <c r="S283" i="4"/>
  <c r="U283" i="4" s="1"/>
  <c r="S299" i="4"/>
  <c r="U299" i="4" s="1"/>
  <c r="S313" i="4"/>
  <c r="U313" i="4" s="1"/>
  <c r="S321" i="4"/>
  <c r="U321" i="4" s="1"/>
  <c r="S329" i="4"/>
  <c r="U329" i="4" s="1"/>
  <c r="S337" i="4"/>
  <c r="U337" i="4" s="1"/>
  <c r="S345" i="4"/>
  <c r="U345" i="4" s="1"/>
  <c r="S351" i="4"/>
  <c r="U351" i="4" s="1"/>
  <c r="S357" i="4"/>
  <c r="U357" i="4" s="1"/>
  <c r="S361" i="4"/>
  <c r="U361" i="4" s="1"/>
  <c r="S365" i="4"/>
  <c r="U365" i="4" s="1"/>
  <c r="S369" i="4"/>
  <c r="U369" i="4" s="1"/>
  <c r="S373" i="4"/>
  <c r="U373" i="4" s="1"/>
  <c r="S377" i="4"/>
  <c r="U377" i="4" s="1"/>
  <c r="S381" i="4"/>
  <c r="U381" i="4" s="1"/>
  <c r="S385" i="4"/>
  <c r="U385" i="4" s="1"/>
  <c r="S389" i="4"/>
  <c r="U389" i="4" s="1"/>
  <c r="S393" i="4"/>
  <c r="U393" i="4" s="1"/>
  <c r="S397" i="4"/>
  <c r="U397" i="4" s="1"/>
  <c r="S223" i="4"/>
  <c r="U223" i="4" s="1"/>
  <c r="S239" i="4"/>
  <c r="U239" i="4" s="1"/>
  <c r="S255" i="4"/>
  <c r="U255" i="4" s="1"/>
  <c r="S271" i="4"/>
  <c r="U271" i="4" s="1"/>
  <c r="S287" i="4"/>
  <c r="U287" i="4" s="1"/>
  <c r="S303" i="4"/>
  <c r="U303" i="4" s="1"/>
  <c r="S315" i="4"/>
  <c r="U315" i="4" s="1"/>
  <c r="S323" i="4"/>
  <c r="U323" i="4" s="1"/>
  <c r="S331" i="4"/>
  <c r="U331" i="4" s="1"/>
  <c r="S339" i="4"/>
  <c r="U339" i="4" s="1"/>
  <c r="S347" i="4"/>
  <c r="U347" i="4" s="1"/>
  <c r="S353" i="4"/>
  <c r="U353" i="4" s="1"/>
  <c r="S358" i="4"/>
  <c r="U358" i="4" s="1"/>
  <c r="S362" i="4"/>
  <c r="U362" i="4" s="1"/>
  <c r="S366" i="4"/>
  <c r="U366" i="4" s="1"/>
  <c r="S370" i="4"/>
  <c r="U370" i="4" s="1"/>
  <c r="S374" i="4"/>
  <c r="U374" i="4" s="1"/>
  <c r="S378" i="4"/>
  <c r="U378" i="4" s="1"/>
  <c r="S382" i="4"/>
  <c r="U382" i="4" s="1"/>
  <c r="S386" i="4"/>
  <c r="U386" i="4" s="1"/>
  <c r="S390" i="4"/>
  <c r="U390" i="4" s="1"/>
  <c r="S394" i="4"/>
  <c r="U394" i="4" s="1"/>
  <c r="S398" i="4"/>
  <c r="U398" i="4" s="1"/>
  <c r="S395" i="4"/>
  <c r="U395" i="4" s="1"/>
  <c r="S215" i="4"/>
  <c r="U215" i="4" s="1"/>
  <c r="S247" i="4"/>
  <c r="U247" i="4" s="1"/>
  <c r="S279" i="4"/>
  <c r="U279" i="4" s="1"/>
  <c r="S311" i="4"/>
  <c r="U311" i="4" s="1"/>
  <c r="S327" i="4"/>
  <c r="U327" i="4" s="1"/>
  <c r="S343" i="4"/>
  <c r="U343" i="4" s="1"/>
  <c r="S355" i="4"/>
  <c r="U355" i="4" s="1"/>
  <c r="S364" i="4"/>
  <c r="U364" i="4" s="1"/>
  <c r="S372" i="4"/>
  <c r="U372" i="4" s="1"/>
  <c r="S380" i="4"/>
  <c r="U380" i="4" s="1"/>
  <c r="S388" i="4"/>
  <c r="U388" i="4" s="1"/>
  <c r="S396" i="4"/>
  <c r="U396" i="4" s="1"/>
  <c r="S401" i="4"/>
  <c r="U401" i="4" s="1"/>
  <c r="S227" i="4"/>
  <c r="U227" i="4" s="1"/>
  <c r="S243" i="4"/>
  <c r="U243" i="4" s="1"/>
  <c r="S259" i="4"/>
  <c r="U259" i="4" s="1"/>
  <c r="S275" i="4"/>
  <c r="U275" i="4" s="1"/>
  <c r="S291" i="4"/>
  <c r="U291" i="4" s="1"/>
  <c r="S307" i="4"/>
  <c r="U307" i="4" s="1"/>
  <c r="S317" i="4"/>
  <c r="U317" i="4" s="1"/>
  <c r="S325" i="4"/>
  <c r="U325" i="4" s="1"/>
  <c r="S333" i="4"/>
  <c r="U333" i="4" s="1"/>
  <c r="S341" i="4"/>
  <c r="U341" i="4" s="1"/>
  <c r="S349" i="4"/>
  <c r="U349" i="4" s="1"/>
  <c r="S354" i="4"/>
  <c r="U354" i="4" s="1"/>
  <c r="S359" i="4"/>
  <c r="U359" i="4" s="1"/>
  <c r="S363" i="4"/>
  <c r="U363" i="4" s="1"/>
  <c r="S367" i="4"/>
  <c r="U367" i="4" s="1"/>
  <c r="S371" i="4"/>
  <c r="U371" i="4" s="1"/>
  <c r="S375" i="4"/>
  <c r="U375" i="4" s="1"/>
  <c r="S379" i="4"/>
  <c r="U379" i="4" s="1"/>
  <c r="S383" i="4"/>
  <c r="U383" i="4" s="1"/>
  <c r="S387" i="4"/>
  <c r="U387" i="4" s="1"/>
  <c r="S391" i="4"/>
  <c r="U391" i="4" s="1"/>
  <c r="S399" i="4"/>
  <c r="U399" i="4" s="1"/>
  <c r="S231" i="4"/>
  <c r="U231" i="4" s="1"/>
  <c r="S263" i="4"/>
  <c r="U263" i="4" s="1"/>
  <c r="S295" i="4"/>
  <c r="U295" i="4" s="1"/>
  <c r="S319" i="4"/>
  <c r="U319" i="4" s="1"/>
  <c r="S335" i="4"/>
  <c r="U335" i="4" s="1"/>
  <c r="S350" i="4"/>
  <c r="U350" i="4" s="1"/>
  <c r="S360" i="4"/>
  <c r="U360" i="4" s="1"/>
  <c r="S368" i="4"/>
  <c r="U368" i="4" s="1"/>
  <c r="S376" i="4"/>
  <c r="U376" i="4" s="1"/>
  <c r="S384" i="4"/>
  <c r="U384" i="4" s="1"/>
  <c r="S392" i="4"/>
  <c r="U392" i="4" s="1"/>
  <c r="S400" i="4"/>
  <c r="U400" i="4" s="1"/>
  <c r="U200" i="4"/>
  <c r="U198" i="4"/>
  <c r="U196" i="4"/>
  <c r="U194" i="4"/>
  <c r="U192" i="4"/>
  <c r="U190" i="4"/>
  <c r="U188" i="4"/>
  <c r="U186" i="4"/>
  <c r="U184" i="4"/>
  <c r="U182" i="4"/>
  <c r="U180" i="4"/>
  <c r="U178" i="4"/>
  <c r="U176" i="4"/>
  <c r="U174" i="4"/>
  <c r="U172" i="4"/>
  <c r="U170" i="4"/>
  <c r="U168" i="4"/>
  <c r="U166" i="4"/>
  <c r="U164" i="4"/>
  <c r="U162" i="4"/>
  <c r="U160" i="4"/>
  <c r="U158" i="4"/>
  <c r="U156" i="4"/>
  <c r="U154" i="4"/>
  <c r="U152" i="4"/>
  <c r="U150" i="4"/>
  <c r="U148" i="4"/>
  <c r="U146" i="4"/>
  <c r="U144" i="4"/>
  <c r="U142" i="4"/>
  <c r="U140" i="4"/>
  <c r="U138" i="4"/>
  <c r="U136" i="4"/>
  <c r="U134" i="4"/>
  <c r="U132" i="4"/>
  <c r="U130" i="4"/>
  <c r="U128" i="4"/>
  <c r="U126" i="4"/>
  <c r="U124" i="4"/>
  <c r="U122" i="4"/>
  <c r="U120" i="4"/>
  <c r="U118" i="4"/>
  <c r="U116" i="4"/>
  <c r="U114" i="4"/>
  <c r="U112" i="4"/>
  <c r="U110" i="4"/>
  <c r="U108" i="4"/>
  <c r="U106" i="4"/>
  <c r="U104" i="4"/>
  <c r="U102" i="4"/>
  <c r="U100" i="4"/>
  <c r="U98" i="4"/>
  <c r="U96" i="4"/>
  <c r="U94" i="4"/>
  <c r="U92" i="4"/>
  <c r="U90" i="4"/>
  <c r="U88" i="4"/>
  <c r="U86" i="4"/>
  <c r="U84" i="4"/>
  <c r="U82" i="4"/>
  <c r="U80" i="4"/>
  <c r="U78" i="4"/>
  <c r="U76" i="4"/>
  <c r="U74" i="4"/>
  <c r="U72" i="4"/>
  <c r="U70" i="4"/>
  <c r="U68" i="4"/>
  <c r="U66" i="4"/>
  <c r="U64" i="4"/>
  <c r="U62" i="4"/>
  <c r="U60" i="4"/>
  <c r="U58" i="4"/>
  <c r="U56" i="4"/>
  <c r="U54" i="4"/>
  <c r="U52" i="4"/>
  <c r="U50" i="4"/>
  <c r="U48" i="4"/>
  <c r="U46" i="4"/>
  <c r="U44" i="4"/>
  <c r="U42" i="4"/>
  <c r="U40" i="4"/>
  <c r="U38" i="4"/>
  <c r="U36" i="4"/>
  <c r="U34" i="4"/>
  <c r="U32" i="4"/>
  <c r="U30" i="4"/>
  <c r="U28" i="4"/>
  <c r="U26" i="4"/>
  <c r="U24" i="4"/>
  <c r="U22" i="4"/>
  <c r="U20" i="4"/>
  <c r="U18" i="4"/>
  <c r="U16" i="4"/>
  <c r="U14" i="4"/>
  <c r="U12" i="4"/>
  <c r="U10" i="4"/>
  <c r="U8" i="4"/>
  <c r="U6" i="4"/>
  <c r="H6" i="4"/>
  <c r="H8" i="4"/>
  <c r="H10" i="4"/>
  <c r="H4" i="4"/>
  <c r="O3" i="2"/>
  <c r="H12" i="4"/>
  <c r="H14" i="4"/>
  <c r="H16" i="4"/>
  <c r="H18" i="4"/>
  <c r="H20" i="4"/>
  <c r="H22" i="4"/>
  <c r="H24" i="4"/>
  <c r="H26" i="4"/>
  <c r="H28" i="4"/>
  <c r="H30" i="4"/>
  <c r="H32" i="4"/>
  <c r="H34" i="4"/>
  <c r="H36" i="4"/>
  <c r="H38" i="4"/>
  <c r="H40" i="4"/>
  <c r="H42" i="4"/>
  <c r="H44" i="4"/>
  <c r="H46" i="4"/>
  <c r="H48" i="4"/>
  <c r="H50" i="4"/>
  <c r="H52" i="4"/>
  <c r="H54" i="4"/>
  <c r="H56" i="4"/>
  <c r="H58" i="4"/>
  <c r="H60" i="4"/>
  <c r="H62" i="4"/>
  <c r="H64" i="4"/>
  <c r="H66" i="4"/>
  <c r="H68" i="4"/>
  <c r="H70" i="4"/>
  <c r="H72" i="4"/>
  <c r="H74" i="4"/>
  <c r="H76" i="4"/>
  <c r="H78" i="4"/>
  <c r="H80" i="4"/>
  <c r="H82" i="4"/>
  <c r="H84" i="4"/>
  <c r="H86" i="4"/>
  <c r="H88" i="4"/>
  <c r="H90" i="4"/>
  <c r="H92" i="4"/>
  <c r="H94" i="4"/>
  <c r="H96" i="4"/>
  <c r="H98" i="4"/>
  <c r="H100" i="4"/>
  <c r="H102" i="4"/>
  <c r="H104" i="4"/>
  <c r="H106" i="4"/>
  <c r="H108" i="4"/>
  <c r="H110" i="4"/>
  <c r="H112" i="4"/>
  <c r="H114" i="4"/>
  <c r="H116" i="4"/>
  <c r="H118" i="4"/>
  <c r="H120" i="4"/>
  <c r="H122" i="4"/>
  <c r="H124" i="4"/>
  <c r="H126" i="4"/>
  <c r="H128" i="4"/>
  <c r="H130" i="4"/>
  <c r="H132" i="4"/>
  <c r="H134" i="4"/>
  <c r="H136" i="4"/>
  <c r="H138" i="4"/>
  <c r="H140" i="4"/>
  <c r="H142" i="4"/>
  <c r="H144" i="4"/>
  <c r="H146" i="4"/>
  <c r="H148" i="4"/>
  <c r="H150" i="4"/>
  <c r="H152" i="4"/>
  <c r="H154" i="4"/>
  <c r="H156" i="4"/>
  <c r="H158" i="4"/>
  <c r="H160" i="4"/>
  <c r="H162" i="4"/>
  <c r="H164" i="4"/>
  <c r="H166" i="4"/>
  <c r="H168" i="4"/>
  <c r="H170" i="4"/>
  <c r="H172" i="4"/>
  <c r="H174" i="4"/>
  <c r="H176" i="4"/>
  <c r="H178" i="4"/>
  <c r="H180" i="4"/>
  <c r="H182" i="4"/>
  <c r="H184" i="4"/>
  <c r="H186" i="4"/>
  <c r="H188" i="4"/>
  <c r="H190" i="4"/>
  <c r="H192" i="4"/>
  <c r="H194" i="4"/>
  <c r="H196" i="4"/>
  <c r="H198" i="4"/>
  <c r="H200" i="4"/>
  <c r="T6" i="4"/>
  <c r="T10" i="4"/>
  <c r="T14" i="4"/>
  <c r="T18" i="4"/>
  <c r="T22" i="4"/>
  <c r="T26" i="4"/>
  <c r="T30" i="4"/>
  <c r="T34" i="4"/>
  <c r="T38" i="4"/>
  <c r="T42" i="4"/>
  <c r="T46" i="4"/>
  <c r="T50" i="4"/>
  <c r="T54" i="4"/>
  <c r="T58" i="4"/>
  <c r="T62" i="4"/>
  <c r="T66" i="4"/>
  <c r="T70" i="4"/>
  <c r="T74" i="4"/>
  <c r="T78" i="4"/>
  <c r="T82" i="4"/>
  <c r="T86" i="4"/>
  <c r="T90" i="4"/>
  <c r="T94" i="4"/>
  <c r="T98" i="4"/>
  <c r="T102" i="4"/>
  <c r="T106" i="4"/>
  <c r="T110" i="4"/>
  <c r="T114" i="4"/>
  <c r="T118" i="4"/>
  <c r="T122" i="4"/>
  <c r="T126" i="4"/>
  <c r="T130" i="4"/>
  <c r="T134" i="4"/>
  <c r="T138" i="4"/>
  <c r="T142" i="4"/>
  <c r="T146" i="4"/>
  <c r="T150" i="4"/>
  <c r="T154" i="4"/>
  <c r="T158" i="4"/>
  <c r="T162" i="4"/>
  <c r="T166" i="4"/>
  <c r="T170" i="4"/>
  <c r="T174" i="4"/>
  <c r="T178" i="4"/>
  <c r="T182" i="4"/>
  <c r="T186" i="4"/>
  <c r="T190" i="4"/>
  <c r="T194" i="4"/>
  <c r="T198" i="4"/>
  <c r="T4" i="4"/>
  <c r="T191" i="4"/>
  <c r="T199" i="4"/>
  <c r="T25" i="4"/>
  <c r="T41" i="4"/>
  <c r="T53" i="4"/>
  <c r="T65" i="4"/>
  <c r="T77" i="4"/>
  <c r="T93" i="4"/>
  <c r="T105" i="4"/>
  <c r="T121" i="4"/>
  <c r="T137" i="4"/>
  <c r="T153" i="4"/>
  <c r="T169" i="4"/>
  <c r="T185" i="4"/>
  <c r="T201" i="4"/>
  <c r="T7" i="4"/>
  <c r="T11" i="4"/>
  <c r="T15" i="4"/>
  <c r="T19" i="4"/>
  <c r="T23" i="4"/>
  <c r="T27" i="4"/>
  <c r="T31" i="4"/>
  <c r="T35" i="4"/>
  <c r="T39" i="4"/>
  <c r="T43" i="4"/>
  <c r="T47" i="4"/>
  <c r="T51" i="4"/>
  <c r="T55" i="4"/>
  <c r="T59" i="4"/>
  <c r="T63" i="4"/>
  <c r="T67" i="4"/>
  <c r="T71" i="4"/>
  <c r="T75" i="4"/>
  <c r="T79" i="4"/>
  <c r="T83" i="4"/>
  <c r="T87" i="4"/>
  <c r="T91" i="4"/>
  <c r="T95" i="4"/>
  <c r="T99" i="4"/>
  <c r="T103" i="4"/>
  <c r="T107" i="4"/>
  <c r="T111" i="4"/>
  <c r="T115" i="4"/>
  <c r="T119" i="4"/>
  <c r="T123" i="4"/>
  <c r="T127" i="4"/>
  <c r="T131" i="4"/>
  <c r="T135" i="4"/>
  <c r="T139" i="4"/>
  <c r="T143" i="4"/>
  <c r="T147" i="4"/>
  <c r="T151" i="4"/>
  <c r="T155" i="4"/>
  <c r="T159" i="4"/>
  <c r="T163" i="4"/>
  <c r="T167" i="4"/>
  <c r="T171" i="4"/>
  <c r="T175" i="4"/>
  <c r="T179" i="4"/>
  <c r="T183" i="4"/>
  <c r="T187" i="4"/>
  <c r="T195" i="4"/>
  <c r="T29" i="4"/>
  <c r="T45" i="4"/>
  <c r="T57" i="4"/>
  <c r="T69" i="4"/>
  <c r="T81" i="4"/>
  <c r="T97" i="4"/>
  <c r="T109" i="4"/>
  <c r="T125" i="4"/>
  <c r="T141" i="4"/>
  <c r="T157" i="4"/>
  <c r="T173" i="4"/>
  <c r="T189" i="4"/>
  <c r="T8" i="4"/>
  <c r="T12" i="4"/>
  <c r="T16" i="4"/>
  <c r="T20" i="4"/>
  <c r="T24" i="4"/>
  <c r="T28" i="4"/>
  <c r="T32" i="4"/>
  <c r="T36" i="4"/>
  <c r="T40" i="4"/>
  <c r="T44" i="4"/>
  <c r="T48" i="4"/>
  <c r="T52" i="4"/>
  <c r="T56" i="4"/>
  <c r="T60" i="4"/>
  <c r="T64" i="4"/>
  <c r="T68" i="4"/>
  <c r="T72" i="4"/>
  <c r="T76" i="4"/>
  <c r="T80" i="4"/>
  <c r="T84" i="4"/>
  <c r="T88" i="4"/>
  <c r="T92" i="4"/>
  <c r="T96" i="4"/>
  <c r="T100" i="4"/>
  <c r="T104" i="4"/>
  <c r="T108" i="4"/>
  <c r="T112" i="4"/>
  <c r="T116" i="4"/>
  <c r="T120" i="4"/>
  <c r="T124" i="4"/>
  <c r="T128" i="4"/>
  <c r="T132" i="4"/>
  <c r="T136" i="4"/>
  <c r="T140" i="4"/>
  <c r="T144" i="4"/>
  <c r="T148" i="4"/>
  <c r="T152" i="4"/>
  <c r="T156" i="4"/>
  <c r="T160" i="4"/>
  <c r="T164" i="4"/>
  <c r="T168" i="4"/>
  <c r="T172" i="4"/>
  <c r="T176" i="4"/>
  <c r="T180" i="4"/>
  <c r="T184" i="4"/>
  <c r="T188" i="4"/>
  <c r="T192" i="4"/>
  <c r="T196" i="4"/>
  <c r="T200" i="4"/>
  <c r="T5" i="4"/>
  <c r="T9" i="4"/>
  <c r="T13" i="4"/>
  <c r="T17" i="4"/>
  <c r="T21" i="4"/>
  <c r="T33" i="4"/>
  <c r="T37" i="4"/>
  <c r="T49" i="4"/>
  <c r="T61" i="4"/>
  <c r="T73" i="4"/>
  <c r="T89" i="4"/>
  <c r="T101" i="4"/>
  <c r="T117" i="4"/>
  <c r="T133" i="4"/>
  <c r="T149" i="4"/>
  <c r="T165" i="4"/>
  <c r="T181" i="4"/>
  <c r="T197" i="4"/>
  <c r="T85" i="4"/>
  <c r="T113" i="4"/>
  <c r="T129" i="4"/>
  <c r="T145" i="4"/>
  <c r="T161" i="4"/>
  <c r="T177" i="4"/>
  <c r="T193" i="4"/>
  <c r="U201" i="4"/>
  <c r="U199" i="4"/>
  <c r="U197" i="4"/>
  <c r="U195" i="4"/>
  <c r="U193" i="4"/>
  <c r="U191" i="4"/>
  <c r="U189" i="4"/>
  <c r="U187" i="4"/>
  <c r="U185" i="4"/>
  <c r="U183" i="4"/>
  <c r="U181" i="4"/>
  <c r="U179" i="4"/>
  <c r="U177" i="4"/>
  <c r="U175" i="4"/>
  <c r="U4" i="4"/>
  <c r="U173" i="4"/>
  <c r="U171" i="4"/>
  <c r="U169" i="4"/>
  <c r="U167" i="4"/>
  <c r="U165" i="4"/>
  <c r="U163" i="4"/>
  <c r="U161" i="4"/>
  <c r="U159" i="4"/>
  <c r="U157" i="4"/>
  <c r="U155" i="4"/>
  <c r="U153" i="4"/>
  <c r="U151" i="4"/>
  <c r="U149" i="4"/>
  <c r="U147" i="4"/>
  <c r="U145" i="4"/>
  <c r="U143" i="4"/>
  <c r="U141" i="4"/>
  <c r="U139" i="4"/>
  <c r="U137" i="4"/>
  <c r="U135" i="4"/>
  <c r="U133" i="4"/>
  <c r="U131" i="4"/>
  <c r="U129" i="4"/>
  <c r="U127" i="4"/>
  <c r="U125" i="4"/>
  <c r="U123" i="4"/>
  <c r="U121" i="4"/>
  <c r="U119" i="4"/>
  <c r="U117" i="4"/>
  <c r="U115" i="4"/>
  <c r="U113" i="4"/>
  <c r="U111" i="4"/>
  <c r="U109" i="4"/>
  <c r="U107" i="4"/>
  <c r="U105" i="4"/>
  <c r="U103" i="4"/>
  <c r="U101" i="4"/>
  <c r="U99" i="4"/>
  <c r="U97" i="4"/>
  <c r="U95" i="4"/>
  <c r="U93" i="4"/>
  <c r="U91" i="4"/>
  <c r="U89" i="4"/>
  <c r="U87" i="4"/>
  <c r="U85" i="4"/>
  <c r="U83" i="4"/>
  <c r="U81" i="4"/>
  <c r="U79" i="4"/>
  <c r="U77" i="4"/>
  <c r="U75" i="4"/>
  <c r="U73" i="4"/>
  <c r="U71" i="4"/>
  <c r="U69" i="4"/>
  <c r="U67" i="4"/>
  <c r="U65" i="4"/>
  <c r="U63" i="4"/>
  <c r="U61" i="4"/>
  <c r="U59" i="4"/>
  <c r="U57" i="4"/>
  <c r="U55" i="4"/>
  <c r="U53" i="4"/>
  <c r="U51" i="4"/>
  <c r="U49" i="4"/>
  <c r="U47" i="4"/>
  <c r="U45" i="4"/>
  <c r="U43" i="4"/>
  <c r="U41" i="4"/>
  <c r="U39" i="4"/>
  <c r="U37" i="4"/>
  <c r="U35" i="4"/>
  <c r="U33" i="4"/>
  <c r="U31" i="4"/>
  <c r="U29" i="4"/>
  <c r="U27" i="4"/>
  <c r="U25" i="4"/>
  <c r="U23" i="4"/>
  <c r="U21" i="4"/>
  <c r="U19" i="4"/>
  <c r="U17" i="4"/>
  <c r="U15" i="4"/>
  <c r="U13" i="4"/>
  <c r="U11" i="4"/>
  <c r="U9" i="4"/>
  <c r="U7" i="4"/>
  <c r="U5" i="4"/>
  <c r="AB200" i="4"/>
  <c r="AB198" i="4"/>
  <c r="AB196" i="4"/>
  <c r="AB194" i="4"/>
  <c r="AB192" i="4"/>
  <c r="AB190" i="4"/>
  <c r="AB188" i="4"/>
  <c r="AB186" i="4"/>
  <c r="AB184" i="4"/>
  <c r="AB182" i="4"/>
  <c r="AB180" i="4"/>
  <c r="AB178" i="4"/>
  <c r="AB176" i="4"/>
  <c r="AB174" i="4"/>
  <c r="AB172" i="4"/>
  <c r="AB170" i="4"/>
  <c r="AB168" i="4"/>
  <c r="AB166" i="4"/>
  <c r="AB164" i="4"/>
  <c r="AB162" i="4"/>
  <c r="AB160" i="4"/>
  <c r="AB158" i="4"/>
  <c r="AB156" i="4"/>
  <c r="AB154" i="4"/>
  <c r="AB152" i="4"/>
  <c r="AB150" i="4"/>
  <c r="AB148" i="4"/>
  <c r="AB146" i="4"/>
  <c r="AB144" i="4"/>
  <c r="AB142" i="4"/>
  <c r="AB140" i="4"/>
  <c r="AB138" i="4"/>
  <c r="AB136" i="4"/>
  <c r="AB134" i="4"/>
  <c r="AB132" i="4"/>
  <c r="AB130" i="4"/>
  <c r="AB128" i="4"/>
  <c r="AB126" i="4"/>
  <c r="AB124" i="4"/>
  <c r="AB122" i="4"/>
  <c r="AB120" i="4"/>
  <c r="AB118" i="4"/>
  <c r="AB116" i="4"/>
  <c r="AB114" i="4"/>
  <c r="AB112" i="4"/>
  <c r="AB110" i="4"/>
  <c r="AB108" i="4"/>
  <c r="AB106" i="4"/>
  <c r="AB104" i="4"/>
  <c r="AB102" i="4"/>
  <c r="AB100" i="4"/>
  <c r="AB98" i="4"/>
  <c r="AB96" i="4"/>
  <c r="AB94" i="4"/>
  <c r="AB92" i="4"/>
  <c r="AB90" i="4"/>
  <c r="AB88" i="4"/>
  <c r="AB86" i="4"/>
  <c r="AB84" i="4"/>
  <c r="AB82" i="4"/>
  <c r="AB80" i="4"/>
  <c r="AB78" i="4"/>
  <c r="AB76" i="4"/>
  <c r="AB74" i="4"/>
  <c r="AB72" i="4"/>
  <c r="AB70" i="4"/>
  <c r="AB68" i="4"/>
  <c r="AB66" i="4"/>
  <c r="AB64" i="4"/>
  <c r="AB62" i="4"/>
  <c r="AB60" i="4"/>
  <c r="AB58" i="4"/>
  <c r="AB56" i="4"/>
  <c r="AB54" i="4"/>
  <c r="AB52" i="4"/>
  <c r="AB50" i="4"/>
  <c r="AB48" i="4"/>
  <c r="AB46" i="4"/>
  <c r="AB44" i="4"/>
  <c r="AB42" i="4"/>
  <c r="AB40" i="4"/>
  <c r="AB38" i="4"/>
  <c r="AB36" i="4"/>
  <c r="AB34" i="4"/>
  <c r="AB32" i="4"/>
  <c r="AB30" i="4"/>
  <c r="AB28" i="4"/>
  <c r="AB26" i="4"/>
  <c r="AB24" i="4"/>
  <c r="AB22" i="4"/>
  <c r="AB20" i="4"/>
  <c r="AB18" i="4"/>
  <c r="AB16" i="4"/>
  <c r="AB14" i="4"/>
  <c r="AB12" i="4"/>
  <c r="AB10" i="4"/>
  <c r="AB8" i="4"/>
  <c r="AB6" i="4"/>
  <c r="H5" i="4"/>
  <c r="H7" i="4"/>
  <c r="H9" i="4"/>
  <c r="H11" i="4"/>
  <c r="H13" i="4"/>
  <c r="H15" i="4"/>
  <c r="H17" i="4"/>
  <c r="H19" i="4"/>
  <c r="H21" i="4"/>
  <c r="H23" i="4"/>
  <c r="H25" i="4"/>
  <c r="H27" i="4"/>
  <c r="H29" i="4"/>
  <c r="H31" i="4"/>
  <c r="H33" i="4"/>
  <c r="H35" i="4"/>
  <c r="H37" i="4"/>
  <c r="H39" i="4"/>
  <c r="H41" i="4"/>
  <c r="H43" i="4"/>
  <c r="H45" i="4"/>
  <c r="H47" i="4"/>
  <c r="H49" i="4"/>
  <c r="H51" i="4"/>
  <c r="H53" i="4"/>
  <c r="H55" i="4"/>
  <c r="H57" i="4"/>
  <c r="H59" i="4"/>
  <c r="H61" i="4"/>
  <c r="H63" i="4"/>
  <c r="H65" i="4"/>
  <c r="H67" i="4"/>
  <c r="H69" i="4"/>
  <c r="H71" i="4"/>
  <c r="H73" i="4"/>
  <c r="H75" i="4"/>
  <c r="H77" i="4"/>
  <c r="H79" i="4"/>
  <c r="H81" i="4"/>
  <c r="H83" i="4"/>
  <c r="H85" i="4"/>
  <c r="H87" i="4"/>
  <c r="H89" i="4"/>
  <c r="H91" i="4"/>
  <c r="H93" i="4"/>
  <c r="H95" i="4"/>
  <c r="H97" i="4"/>
  <c r="H99" i="4"/>
  <c r="H101" i="4"/>
  <c r="H103" i="4"/>
  <c r="H105" i="4"/>
  <c r="H107" i="4"/>
  <c r="H109" i="4"/>
  <c r="H111" i="4"/>
  <c r="H113" i="4"/>
  <c r="H115" i="4"/>
  <c r="H117" i="4"/>
  <c r="H119" i="4"/>
  <c r="H121" i="4"/>
  <c r="H123" i="4"/>
  <c r="H125" i="4"/>
  <c r="H127" i="4"/>
  <c r="H129" i="4"/>
  <c r="H131" i="4"/>
  <c r="H133" i="4"/>
  <c r="H135" i="4"/>
  <c r="H137" i="4"/>
  <c r="H139" i="4"/>
  <c r="H141" i="4"/>
  <c r="H143" i="4"/>
  <c r="H145" i="4"/>
  <c r="H147" i="4"/>
  <c r="H149" i="4"/>
  <c r="H151" i="4"/>
  <c r="H153" i="4"/>
  <c r="H155" i="4"/>
  <c r="H157" i="4"/>
  <c r="H159" i="4"/>
  <c r="H161" i="4"/>
  <c r="H163" i="4"/>
  <c r="H165" i="4"/>
  <c r="H167" i="4"/>
  <c r="H169" i="4"/>
  <c r="H171" i="4"/>
  <c r="H173" i="4"/>
  <c r="H175" i="4"/>
  <c r="H177" i="4"/>
  <c r="H179" i="4"/>
  <c r="H181" i="4"/>
  <c r="H183" i="4"/>
  <c r="H185" i="4"/>
  <c r="H187" i="4"/>
  <c r="H189" i="4"/>
  <c r="H191" i="4"/>
  <c r="H193" i="4"/>
  <c r="H195" i="4"/>
  <c r="H197" i="4"/>
  <c r="H199" i="4"/>
  <c r="H201" i="4"/>
  <c r="AB4" i="4"/>
  <c r="AB201" i="4"/>
  <c r="AB199" i="4"/>
  <c r="AB197" i="4"/>
  <c r="AB195" i="4"/>
  <c r="AB193" i="4"/>
  <c r="AB191" i="4"/>
  <c r="AB189" i="4"/>
  <c r="AB187" i="4"/>
  <c r="AB185" i="4"/>
  <c r="AB183" i="4"/>
  <c r="AB181" i="4"/>
  <c r="AB179" i="4"/>
  <c r="AB177" i="4"/>
  <c r="AB175" i="4"/>
  <c r="AB173" i="4"/>
  <c r="AB171" i="4"/>
  <c r="AB169" i="4"/>
  <c r="AB167" i="4"/>
  <c r="AB165" i="4"/>
  <c r="AB163" i="4"/>
  <c r="AB161" i="4"/>
  <c r="AB159" i="4"/>
  <c r="AB157" i="4"/>
  <c r="AB155" i="4"/>
  <c r="AB153" i="4"/>
  <c r="AB151" i="4"/>
  <c r="AB149" i="4"/>
  <c r="AB147" i="4"/>
  <c r="AB145" i="4"/>
  <c r="AB143" i="4"/>
  <c r="AB141" i="4"/>
  <c r="AB139" i="4"/>
  <c r="AB137" i="4"/>
  <c r="AB135" i="4"/>
  <c r="AB133" i="4"/>
  <c r="AB131" i="4"/>
  <c r="AB129" i="4"/>
  <c r="AB127" i="4"/>
  <c r="AB125" i="4"/>
  <c r="AB123" i="4"/>
  <c r="AB121" i="4"/>
  <c r="AB119" i="4"/>
  <c r="AB117" i="4"/>
  <c r="AB115" i="4"/>
  <c r="AB113" i="4"/>
  <c r="AB111" i="4"/>
  <c r="AB109" i="4"/>
  <c r="AB107" i="4"/>
  <c r="AB105" i="4"/>
  <c r="AB103" i="4"/>
  <c r="AB101" i="4"/>
  <c r="AB99" i="4"/>
  <c r="AB97" i="4"/>
  <c r="AB95" i="4"/>
  <c r="AB93" i="4"/>
  <c r="AB91" i="4"/>
  <c r="AB89" i="4"/>
  <c r="AB87" i="4"/>
  <c r="AB85" i="4"/>
  <c r="AB83" i="4"/>
  <c r="AB81" i="4"/>
  <c r="AB79" i="4"/>
  <c r="AB77" i="4"/>
  <c r="AB75" i="4"/>
  <c r="AB73" i="4"/>
  <c r="AB71" i="4"/>
  <c r="AB69" i="4"/>
  <c r="AB67" i="4"/>
  <c r="AB65" i="4"/>
  <c r="AB63" i="4"/>
  <c r="AB61" i="4"/>
  <c r="AB59" i="4"/>
  <c r="AB57" i="4"/>
  <c r="AB55" i="4"/>
  <c r="AB53" i="4"/>
  <c r="AB51" i="4"/>
  <c r="AB49" i="4"/>
  <c r="AB47" i="4"/>
  <c r="AB45" i="4"/>
  <c r="AB43" i="4"/>
  <c r="AB41" i="4"/>
  <c r="AB39" i="4"/>
  <c r="AB37" i="4"/>
  <c r="AB35" i="4"/>
  <c r="AB33" i="4"/>
  <c r="AB31" i="4"/>
  <c r="AB29" i="4"/>
  <c r="AB27" i="4"/>
  <c r="AB25" i="4"/>
  <c r="AB23" i="4"/>
  <c r="AB21" i="4"/>
  <c r="AB19" i="4"/>
  <c r="AB17" i="4"/>
  <c r="AB15" i="4"/>
  <c r="AB13" i="4"/>
  <c r="AB11" i="4"/>
  <c r="AB9" i="4"/>
  <c r="AB7" i="4"/>
  <c r="AB5" i="4"/>
  <c r="W4" i="4"/>
  <c r="V4" i="4"/>
  <c r="V200" i="4"/>
  <c r="W200" i="4"/>
  <c r="V198" i="4"/>
  <c r="W198" i="4"/>
  <c r="V196" i="4"/>
  <c r="W196" i="4"/>
  <c r="V194" i="4"/>
  <c r="W194" i="4"/>
  <c r="V192" i="4"/>
  <c r="W192" i="4"/>
  <c r="V190" i="4"/>
  <c r="W190" i="4"/>
  <c r="V188" i="4"/>
  <c r="W188" i="4"/>
  <c r="V186" i="4"/>
  <c r="W186" i="4"/>
  <c r="V184" i="4"/>
  <c r="W184" i="4"/>
  <c r="V182" i="4"/>
  <c r="W182" i="4"/>
  <c r="V180" i="4"/>
  <c r="W180" i="4"/>
  <c r="V178" i="4"/>
  <c r="W178" i="4"/>
  <c r="V176" i="4"/>
  <c r="W176" i="4"/>
  <c r="V174" i="4"/>
  <c r="W174" i="4"/>
  <c r="V172" i="4"/>
  <c r="W172" i="4"/>
  <c r="V170" i="4"/>
  <c r="W170" i="4"/>
  <c r="W168" i="4"/>
  <c r="V168" i="4"/>
  <c r="V166" i="4"/>
  <c r="W166" i="4"/>
  <c r="V164" i="4"/>
  <c r="W164" i="4"/>
  <c r="V162" i="4"/>
  <c r="W162" i="4"/>
  <c r="W160" i="4"/>
  <c r="V160" i="4"/>
  <c r="V158" i="4"/>
  <c r="W158" i="4"/>
  <c r="V156" i="4"/>
  <c r="W156" i="4"/>
  <c r="V154" i="4"/>
  <c r="W154" i="4"/>
  <c r="W152" i="4"/>
  <c r="V152" i="4"/>
  <c r="V150" i="4"/>
  <c r="W150" i="4"/>
  <c r="V148" i="4"/>
  <c r="W148" i="4"/>
  <c r="V146" i="4"/>
  <c r="W146" i="4"/>
  <c r="W144" i="4"/>
  <c r="V144" i="4"/>
  <c r="V142" i="4"/>
  <c r="W142" i="4"/>
  <c r="V140" i="4"/>
  <c r="W140" i="4"/>
  <c r="V138" i="4"/>
  <c r="W138" i="4"/>
  <c r="W136" i="4"/>
  <c r="V136" i="4"/>
  <c r="V134" i="4"/>
  <c r="W134" i="4"/>
  <c r="V132" i="4"/>
  <c r="W132" i="4"/>
  <c r="V130" i="4"/>
  <c r="W130" i="4"/>
  <c r="W128" i="4"/>
  <c r="V128" i="4"/>
  <c r="V126" i="4"/>
  <c r="W126" i="4"/>
  <c r="V124" i="4"/>
  <c r="W124" i="4"/>
  <c r="V122" i="4"/>
  <c r="W122" i="4"/>
  <c r="W120" i="4"/>
  <c r="V120" i="4"/>
  <c r="V118" i="4"/>
  <c r="W118" i="4"/>
  <c r="V116" i="4"/>
  <c r="W116" i="4"/>
  <c r="V114" i="4"/>
  <c r="W114" i="4"/>
  <c r="W112" i="4"/>
  <c r="V112" i="4"/>
  <c r="V110" i="4"/>
  <c r="W110" i="4"/>
  <c r="V108" i="4"/>
  <c r="W108" i="4"/>
  <c r="V106" i="4"/>
  <c r="W106" i="4"/>
  <c r="W104" i="4"/>
  <c r="V104" i="4"/>
  <c r="V102" i="4"/>
  <c r="W102" i="4"/>
  <c r="V100" i="4"/>
  <c r="W100" i="4"/>
  <c r="V98" i="4"/>
  <c r="W98" i="4"/>
  <c r="W96" i="4"/>
  <c r="V96" i="4"/>
  <c r="V94" i="4"/>
  <c r="W94" i="4"/>
  <c r="V92" i="4"/>
  <c r="W92" i="4"/>
  <c r="V90" i="4"/>
  <c r="W90" i="4"/>
  <c r="V88" i="4"/>
  <c r="W88" i="4"/>
  <c r="V86" i="4"/>
  <c r="W86" i="4"/>
  <c r="V84" i="4"/>
  <c r="W84" i="4"/>
  <c r="V82" i="4"/>
  <c r="W82" i="4"/>
  <c r="V80" i="4"/>
  <c r="W80" i="4"/>
  <c r="V78" i="4"/>
  <c r="W78" i="4"/>
  <c r="V76" i="4"/>
  <c r="W76" i="4"/>
  <c r="W14" i="4"/>
  <c r="W22" i="4"/>
  <c r="W30" i="4"/>
  <c r="W38" i="4"/>
  <c r="W46" i="4"/>
  <c r="W54" i="4"/>
  <c r="W62" i="4"/>
  <c r="W70" i="4"/>
  <c r="V103" i="4"/>
  <c r="V119" i="4"/>
  <c r="V135" i="4"/>
  <c r="V151" i="4"/>
  <c r="V167" i="4"/>
  <c r="V15" i="4"/>
  <c r="V23" i="4"/>
  <c r="V31" i="4"/>
  <c r="V39" i="4"/>
  <c r="V47" i="4"/>
  <c r="V55" i="4"/>
  <c r="V63" i="4"/>
  <c r="V71" i="4"/>
  <c r="V79" i="4"/>
  <c r="V87" i="4"/>
  <c r="V93" i="4"/>
  <c r="V109" i="4"/>
  <c r="V125" i="4"/>
  <c r="V141" i="4"/>
  <c r="V157" i="4"/>
  <c r="V173" i="4"/>
  <c r="V177" i="4"/>
  <c r="V181" i="4"/>
  <c r="V185" i="4"/>
  <c r="V189" i="4"/>
  <c r="V193" i="4"/>
  <c r="V197" i="4"/>
  <c r="V201" i="4"/>
  <c r="V54" i="4"/>
  <c r="W6" i="4"/>
  <c r="W201" i="4"/>
  <c r="W199" i="4"/>
  <c r="W197" i="4"/>
  <c r="W195" i="4"/>
  <c r="W193" i="4"/>
  <c r="W191" i="4"/>
  <c r="W189" i="4"/>
  <c r="W187" i="4"/>
  <c r="W185" i="4"/>
  <c r="W183" i="4"/>
  <c r="W181" i="4"/>
  <c r="W179" i="4"/>
  <c r="W177" i="4"/>
  <c r="W175" i="4"/>
  <c r="W173" i="4"/>
  <c r="W171" i="4"/>
  <c r="V171" i="4"/>
  <c r="W169" i="4"/>
  <c r="V169" i="4"/>
  <c r="W167" i="4"/>
  <c r="W165" i="4"/>
  <c r="W163" i="4"/>
  <c r="V163" i="4"/>
  <c r="W161" i="4"/>
  <c r="V161" i="4"/>
  <c r="W159" i="4"/>
  <c r="W157" i="4"/>
  <c r="W155" i="4"/>
  <c r="V155" i="4"/>
  <c r="W153" i="4"/>
  <c r="V153" i="4"/>
  <c r="W151" i="4"/>
  <c r="W149" i="4"/>
  <c r="W147" i="4"/>
  <c r="V147" i="4"/>
  <c r="W145" i="4"/>
  <c r="V145" i="4"/>
  <c r="W143" i="4"/>
  <c r="W141" i="4"/>
  <c r="W139" i="4"/>
  <c r="V139" i="4"/>
  <c r="W137" i="4"/>
  <c r="V137" i="4"/>
  <c r="W135" i="4"/>
  <c r="W133" i="4"/>
  <c r="W131" i="4"/>
  <c r="V131" i="4"/>
  <c r="W129" i="4"/>
  <c r="V129" i="4"/>
  <c r="W127" i="4"/>
  <c r="W125" i="4"/>
  <c r="W123" i="4"/>
  <c r="V123" i="4"/>
  <c r="W121" i="4"/>
  <c r="V121" i="4"/>
  <c r="W119" i="4"/>
  <c r="W117" i="4"/>
  <c r="W115" i="4"/>
  <c r="V115" i="4"/>
  <c r="W113" i="4"/>
  <c r="V113" i="4"/>
  <c r="W111" i="4"/>
  <c r="W109" i="4"/>
  <c r="W107" i="4"/>
  <c r="V107" i="4"/>
  <c r="W105" i="4"/>
  <c r="V105" i="4"/>
  <c r="W103" i="4"/>
  <c r="W101" i="4"/>
  <c r="W99" i="4"/>
  <c r="V99" i="4"/>
  <c r="W97" i="4"/>
  <c r="V97" i="4"/>
  <c r="W95" i="4"/>
  <c r="W93" i="4"/>
  <c r="W91" i="4"/>
  <c r="V91" i="4"/>
  <c r="W89" i="4"/>
  <c r="V89" i="4"/>
  <c r="W87" i="4"/>
  <c r="W85" i="4"/>
  <c r="V85" i="4"/>
  <c r="W83" i="4"/>
  <c r="W81" i="4"/>
  <c r="V81" i="4"/>
  <c r="W79" i="4"/>
  <c r="W77" i="4"/>
  <c r="V77" i="4"/>
  <c r="W75" i="4"/>
  <c r="W73" i="4"/>
  <c r="V73" i="4"/>
  <c r="W71" i="4"/>
  <c r="W69" i="4"/>
  <c r="V69" i="4"/>
  <c r="W67" i="4"/>
  <c r="W65" i="4"/>
  <c r="V65" i="4"/>
  <c r="W63" i="4"/>
  <c r="W61" i="4"/>
  <c r="V61" i="4"/>
  <c r="W59" i="4"/>
  <c r="W57" i="4"/>
  <c r="V57" i="4"/>
  <c r="W55" i="4"/>
  <c r="W53" i="4"/>
  <c r="V53" i="4"/>
  <c r="W51" i="4"/>
  <c r="W49" i="4"/>
  <c r="V49" i="4"/>
  <c r="W47" i="4"/>
  <c r="W45" i="4"/>
  <c r="V45" i="4"/>
  <c r="W43" i="4"/>
  <c r="W41" i="4"/>
  <c r="V41" i="4"/>
  <c r="W39" i="4"/>
  <c r="W37" i="4"/>
  <c r="V37" i="4"/>
  <c r="W35" i="4"/>
  <c r="W33" i="4"/>
  <c r="V33" i="4"/>
  <c r="W31" i="4"/>
  <c r="W29" i="4"/>
  <c r="V29" i="4"/>
  <c r="W27" i="4"/>
  <c r="W25" i="4"/>
  <c r="V25" i="4"/>
  <c r="W23" i="4"/>
  <c r="W21" i="4"/>
  <c r="V21" i="4"/>
  <c r="W19" i="4"/>
  <c r="W17" i="4"/>
  <c r="V17" i="4"/>
  <c r="W15" i="4"/>
  <c r="W13" i="4"/>
  <c r="V13" i="4"/>
  <c r="W11" i="4"/>
  <c r="W9" i="4"/>
  <c r="V9" i="4"/>
  <c r="W7" i="4"/>
  <c r="V7" i="4"/>
  <c r="W5" i="4"/>
  <c r="V5" i="4"/>
  <c r="V199" i="4"/>
  <c r="V195" i="4"/>
  <c r="V191" i="4"/>
  <c r="V187" i="4"/>
  <c r="V183" i="4"/>
  <c r="V179" i="4"/>
  <c r="V175" i="4"/>
  <c r="V165" i="4"/>
  <c r="V149" i="4"/>
  <c r="V133" i="4"/>
  <c r="V117" i="4"/>
  <c r="V101" i="4"/>
  <c r="V83" i="4"/>
  <c r="V75" i="4"/>
  <c r="V67" i="4"/>
  <c r="V59" i="4"/>
  <c r="V51" i="4"/>
  <c r="V43" i="4"/>
  <c r="V35" i="4"/>
  <c r="V27" i="4"/>
  <c r="V19" i="4"/>
  <c r="V11" i="4"/>
  <c r="V159" i="4"/>
  <c r="V143" i="4"/>
  <c r="V127" i="4"/>
  <c r="V111" i="4"/>
  <c r="V95" i="4"/>
  <c r="W74" i="4"/>
  <c r="W66" i="4"/>
  <c r="W58" i="4"/>
  <c r="W50" i="4"/>
  <c r="W42" i="4"/>
  <c r="W34" i="4"/>
  <c r="W26" i="4"/>
  <c r="W18" i="4"/>
  <c r="W10" i="4"/>
  <c r="V74" i="4"/>
  <c r="V72" i="4"/>
  <c r="V70" i="4"/>
  <c r="V68" i="4"/>
  <c r="V66" i="4"/>
  <c r="V64" i="4"/>
  <c r="V62" i="4"/>
  <c r="V60" i="4"/>
  <c r="V58" i="4"/>
  <c r="V56" i="4"/>
  <c r="V52" i="4"/>
  <c r="V46" i="4"/>
  <c r="V42" i="4"/>
  <c r="V36" i="4"/>
  <c r="V32" i="4"/>
  <c r="V26" i="4"/>
  <c r="V20" i="4"/>
  <c r="V6" i="4"/>
  <c r="V50" i="4"/>
  <c r="V48" i="4"/>
  <c r="V44" i="4"/>
  <c r="V40" i="4"/>
  <c r="V38" i="4"/>
  <c r="V34" i="4"/>
  <c r="V30" i="4"/>
  <c r="V28" i="4"/>
  <c r="V24" i="4"/>
  <c r="V22" i="4"/>
  <c r="V18" i="4"/>
  <c r="V16" i="4"/>
  <c r="V14" i="4"/>
  <c r="V12" i="4"/>
  <c r="V10" i="4"/>
  <c r="V8" i="4"/>
  <c r="W72" i="4"/>
  <c r="W68" i="4"/>
  <c r="W64" i="4"/>
  <c r="W60" i="4"/>
  <c r="W56" i="4"/>
  <c r="W52" i="4"/>
  <c r="W48" i="4"/>
  <c r="W44" i="4"/>
  <c r="W40" i="4"/>
  <c r="W36" i="4"/>
  <c r="W32" i="4"/>
  <c r="W28" i="4"/>
  <c r="W24" i="4"/>
  <c r="W20" i="4"/>
  <c r="W16" i="4"/>
  <c r="W12" i="4"/>
  <c r="W8" i="4"/>
  <c r="C156" i="4"/>
  <c r="D156" i="4" s="1"/>
  <c r="C168" i="4"/>
  <c r="D168" i="4" s="1"/>
  <c r="C172" i="4"/>
  <c r="D172" i="4" s="1"/>
  <c r="C184" i="4"/>
  <c r="D184" i="4" s="1"/>
  <c r="C200" i="4"/>
  <c r="D200" i="4" s="1"/>
  <c r="C152" i="4"/>
  <c r="D152" i="4" s="1"/>
  <c r="C160" i="4"/>
  <c r="D160" i="4" s="1"/>
  <c r="C176" i="4"/>
  <c r="D176" i="4" s="1"/>
  <c r="C188" i="4"/>
  <c r="D188" i="4" s="1"/>
  <c r="C192" i="4"/>
  <c r="D192" i="4" s="1"/>
  <c r="C5" i="4"/>
  <c r="C7" i="4"/>
  <c r="D7" i="4" s="1"/>
  <c r="C9" i="4"/>
  <c r="D9" i="4" s="1"/>
  <c r="C11" i="4"/>
  <c r="D11" i="4" s="1"/>
  <c r="C13" i="4"/>
  <c r="D13" i="4" s="1"/>
  <c r="C15" i="4"/>
  <c r="D15" i="4" s="1"/>
  <c r="C17" i="4"/>
  <c r="D17" i="4" s="1"/>
  <c r="C19" i="4"/>
  <c r="D19" i="4" s="1"/>
  <c r="C21" i="4"/>
  <c r="D21" i="4" s="1"/>
  <c r="C23" i="4"/>
  <c r="D23" i="4" s="1"/>
  <c r="C25" i="4"/>
  <c r="D25" i="4" s="1"/>
  <c r="C27" i="4"/>
  <c r="D27" i="4" s="1"/>
  <c r="C29" i="4"/>
  <c r="D29" i="4" s="1"/>
  <c r="C31" i="4"/>
  <c r="D31" i="4" s="1"/>
  <c r="C33" i="4"/>
  <c r="D33" i="4" s="1"/>
  <c r="C35" i="4"/>
  <c r="D35" i="4" s="1"/>
  <c r="C37" i="4"/>
  <c r="D37" i="4" s="1"/>
  <c r="C39" i="4"/>
  <c r="D39" i="4" s="1"/>
  <c r="C41" i="4"/>
  <c r="D41" i="4" s="1"/>
  <c r="C43" i="4"/>
  <c r="D43" i="4" s="1"/>
  <c r="C45" i="4"/>
  <c r="D45" i="4" s="1"/>
  <c r="C47" i="4"/>
  <c r="D47" i="4" s="1"/>
  <c r="C49" i="4"/>
  <c r="D49" i="4" s="1"/>
  <c r="C51" i="4"/>
  <c r="D51" i="4" s="1"/>
  <c r="C53" i="4"/>
  <c r="D53" i="4" s="1"/>
  <c r="C55" i="4"/>
  <c r="D55" i="4" s="1"/>
  <c r="C164" i="4"/>
  <c r="D164" i="4" s="1"/>
  <c r="C180" i="4"/>
  <c r="D180" i="4" s="1"/>
  <c r="C4" i="4"/>
  <c r="C8" i="4"/>
  <c r="D8" i="4" s="1"/>
  <c r="C12" i="4"/>
  <c r="D12" i="4" s="1"/>
  <c r="C16" i="4"/>
  <c r="D16" i="4" s="1"/>
  <c r="C20" i="4"/>
  <c r="D20" i="4" s="1"/>
  <c r="C24" i="4"/>
  <c r="D24" i="4" s="1"/>
  <c r="C26" i="4"/>
  <c r="D26" i="4" s="1"/>
  <c r="C30" i="4"/>
  <c r="D30" i="4" s="1"/>
  <c r="C32" i="4"/>
  <c r="D32" i="4" s="1"/>
  <c r="C34" i="4"/>
  <c r="D34" i="4" s="1"/>
  <c r="C36" i="4"/>
  <c r="D36" i="4" s="1"/>
  <c r="C38" i="4"/>
  <c r="D38" i="4" s="1"/>
  <c r="C40" i="4"/>
  <c r="D40" i="4" s="1"/>
  <c r="C64" i="4"/>
  <c r="D64" i="4" s="1"/>
  <c r="C84" i="4"/>
  <c r="D84" i="4" s="1"/>
  <c r="C120" i="4"/>
  <c r="D120" i="4" s="1"/>
  <c r="C196" i="4"/>
  <c r="D196" i="4" s="1"/>
  <c r="C6" i="4"/>
  <c r="AC9" i="4" s="1"/>
  <c r="C10" i="4"/>
  <c r="D10" i="4" s="1"/>
  <c r="C14" i="4"/>
  <c r="D14" i="4" s="1"/>
  <c r="C18" i="4"/>
  <c r="D18" i="4" s="1"/>
  <c r="C22" i="4"/>
  <c r="D22" i="4" s="1"/>
  <c r="C28" i="4"/>
  <c r="D28" i="4" s="1"/>
  <c r="C42" i="4"/>
  <c r="D42" i="4" s="1"/>
  <c r="C44" i="4"/>
  <c r="D44" i="4" s="1"/>
  <c r="C46" i="4"/>
  <c r="D46" i="4" s="1"/>
  <c r="C48" i="4"/>
  <c r="D48" i="4" s="1"/>
  <c r="C50" i="4"/>
  <c r="D50" i="4" s="1"/>
  <c r="C52" i="4"/>
  <c r="D52" i="4" s="1"/>
  <c r="C54" i="4"/>
  <c r="D54" i="4" s="1"/>
  <c r="C56" i="4"/>
  <c r="D56" i="4" s="1"/>
  <c r="C58" i="4"/>
  <c r="D58" i="4" s="1"/>
  <c r="C60" i="4"/>
  <c r="D60" i="4" s="1"/>
  <c r="C62" i="4"/>
  <c r="D62" i="4" s="1"/>
  <c r="C66" i="4"/>
  <c r="D66" i="4" s="1"/>
  <c r="C68" i="4"/>
  <c r="D68" i="4" s="1"/>
  <c r="C70" i="4"/>
  <c r="D70" i="4" s="1"/>
  <c r="C72" i="4"/>
  <c r="D72" i="4" s="1"/>
  <c r="C74" i="4"/>
  <c r="D74" i="4" s="1"/>
  <c r="C76" i="4"/>
  <c r="D76" i="4" s="1"/>
  <c r="C78" i="4"/>
  <c r="D78" i="4" s="1"/>
  <c r="C80" i="4"/>
  <c r="D80" i="4" s="1"/>
  <c r="C82" i="4"/>
  <c r="D82" i="4" s="1"/>
  <c r="C86" i="4"/>
  <c r="D86" i="4" s="1"/>
  <c r="C88" i="4"/>
  <c r="D88" i="4" s="1"/>
  <c r="C90" i="4"/>
  <c r="D90" i="4" s="1"/>
  <c r="C92" i="4"/>
  <c r="D92" i="4" s="1"/>
  <c r="C94" i="4"/>
  <c r="D94" i="4" s="1"/>
  <c r="C96" i="4"/>
  <c r="D96" i="4" s="1"/>
  <c r="C98" i="4"/>
  <c r="D98" i="4" s="1"/>
  <c r="C100" i="4"/>
  <c r="D100" i="4" s="1"/>
  <c r="C102" i="4"/>
  <c r="D102" i="4" s="1"/>
  <c r="C104" i="4"/>
  <c r="D104" i="4" s="1"/>
  <c r="C106" i="4"/>
  <c r="D106" i="4" s="1"/>
  <c r="C108" i="4"/>
  <c r="D108" i="4" s="1"/>
  <c r="C110" i="4"/>
  <c r="D110" i="4" s="1"/>
  <c r="C112" i="4"/>
  <c r="D112" i="4" s="1"/>
  <c r="C114" i="4"/>
  <c r="D114" i="4" s="1"/>
  <c r="C116" i="4"/>
  <c r="D116" i="4" s="1"/>
  <c r="C118" i="4"/>
  <c r="D118" i="4" s="1"/>
  <c r="C122" i="4"/>
  <c r="D122" i="4" s="1"/>
  <c r="C124" i="4"/>
  <c r="D124" i="4" s="1"/>
  <c r="C126" i="4"/>
  <c r="D126" i="4" s="1"/>
  <c r="C128" i="4"/>
  <c r="D128" i="4" s="1"/>
  <c r="C130" i="4"/>
  <c r="D130" i="4" s="1"/>
  <c r="C132" i="4"/>
  <c r="D132" i="4" s="1"/>
  <c r="C134" i="4"/>
  <c r="D134" i="4" s="1"/>
  <c r="C136" i="4"/>
  <c r="D136" i="4" s="1"/>
  <c r="C138" i="4"/>
  <c r="D138" i="4" s="1"/>
  <c r="C140" i="4"/>
  <c r="D140" i="4" s="1"/>
  <c r="C142" i="4"/>
  <c r="D142" i="4" s="1"/>
  <c r="C144" i="4"/>
  <c r="D144" i="4" s="1"/>
  <c r="C146" i="4"/>
  <c r="D146" i="4" s="1"/>
  <c r="C148" i="4"/>
  <c r="D148" i="4" s="1"/>
  <c r="C150" i="4"/>
  <c r="D150" i="4" s="1"/>
  <c r="C154" i="4"/>
  <c r="D154" i="4" s="1"/>
  <c r="C158" i="4"/>
  <c r="D158" i="4" s="1"/>
  <c r="C162" i="4"/>
  <c r="D162" i="4" s="1"/>
  <c r="C166" i="4"/>
  <c r="D166" i="4" s="1"/>
  <c r="C170" i="4"/>
  <c r="D170" i="4" s="1"/>
  <c r="C174" i="4"/>
  <c r="D174" i="4" s="1"/>
  <c r="C178" i="4"/>
  <c r="D178" i="4" s="1"/>
  <c r="C182" i="4"/>
  <c r="D182" i="4" s="1"/>
  <c r="C186" i="4"/>
  <c r="D186" i="4" s="1"/>
  <c r="C190" i="4"/>
  <c r="D190" i="4" s="1"/>
  <c r="C194" i="4"/>
  <c r="D194" i="4" s="1"/>
  <c r="C198" i="4"/>
  <c r="D198" i="4" s="1"/>
  <c r="C57" i="4"/>
  <c r="D57" i="4" s="1"/>
  <c r="C59" i="4"/>
  <c r="D59" i="4" s="1"/>
  <c r="C61" i="4"/>
  <c r="D61" i="4" s="1"/>
  <c r="C63" i="4"/>
  <c r="D63" i="4" s="1"/>
  <c r="C65" i="4"/>
  <c r="D65" i="4" s="1"/>
  <c r="C67" i="4"/>
  <c r="D67" i="4" s="1"/>
  <c r="C69" i="4"/>
  <c r="D69" i="4" s="1"/>
  <c r="C71" i="4"/>
  <c r="D71" i="4" s="1"/>
  <c r="C73" i="4"/>
  <c r="D73" i="4" s="1"/>
  <c r="C75" i="4"/>
  <c r="D75" i="4" s="1"/>
  <c r="C77" i="4"/>
  <c r="D77" i="4" s="1"/>
  <c r="C79" i="4"/>
  <c r="D79" i="4" s="1"/>
  <c r="C81" i="4"/>
  <c r="D81" i="4" s="1"/>
  <c r="C83" i="4"/>
  <c r="D83" i="4" s="1"/>
  <c r="C85" i="4"/>
  <c r="D85" i="4" s="1"/>
  <c r="C87" i="4"/>
  <c r="D87" i="4" s="1"/>
  <c r="C89" i="4"/>
  <c r="D89" i="4" s="1"/>
  <c r="C91" i="4"/>
  <c r="D91" i="4" s="1"/>
  <c r="C93" i="4"/>
  <c r="D93" i="4" s="1"/>
  <c r="C95" i="4"/>
  <c r="D95" i="4" s="1"/>
  <c r="C97" i="4"/>
  <c r="D97" i="4" s="1"/>
  <c r="C99" i="4"/>
  <c r="D99" i="4" s="1"/>
  <c r="C101" i="4"/>
  <c r="D101" i="4" s="1"/>
  <c r="C103" i="4"/>
  <c r="D103" i="4" s="1"/>
  <c r="C105" i="4"/>
  <c r="D105" i="4" s="1"/>
  <c r="C107" i="4"/>
  <c r="D107" i="4" s="1"/>
  <c r="C109" i="4"/>
  <c r="D109" i="4" s="1"/>
  <c r="C111" i="4"/>
  <c r="D111" i="4" s="1"/>
  <c r="C113" i="4"/>
  <c r="D113" i="4" s="1"/>
  <c r="C115" i="4"/>
  <c r="D115" i="4" s="1"/>
  <c r="C117" i="4"/>
  <c r="D117" i="4" s="1"/>
  <c r="C119" i="4"/>
  <c r="D119" i="4" s="1"/>
  <c r="C121" i="4"/>
  <c r="D121" i="4" s="1"/>
  <c r="C123" i="4"/>
  <c r="D123" i="4" s="1"/>
  <c r="C125" i="4"/>
  <c r="D125" i="4" s="1"/>
  <c r="C127" i="4"/>
  <c r="D127" i="4" s="1"/>
  <c r="C129" i="4"/>
  <c r="D129" i="4" s="1"/>
  <c r="C131" i="4"/>
  <c r="D131" i="4" s="1"/>
  <c r="C133" i="4"/>
  <c r="D133" i="4" s="1"/>
  <c r="C135" i="4"/>
  <c r="D135" i="4" s="1"/>
  <c r="C137" i="4"/>
  <c r="D137" i="4" s="1"/>
  <c r="C139" i="4"/>
  <c r="D139" i="4" s="1"/>
  <c r="C141" i="4"/>
  <c r="D141" i="4" s="1"/>
  <c r="C143" i="4"/>
  <c r="D143" i="4" s="1"/>
  <c r="C145" i="4"/>
  <c r="D145" i="4" s="1"/>
  <c r="C147" i="4"/>
  <c r="D147" i="4" s="1"/>
  <c r="C149" i="4"/>
  <c r="D149" i="4" s="1"/>
  <c r="C151" i="4"/>
  <c r="D151" i="4" s="1"/>
  <c r="C153" i="4"/>
  <c r="D153" i="4" s="1"/>
  <c r="C155" i="4"/>
  <c r="D155" i="4" s="1"/>
  <c r="C157" i="4"/>
  <c r="D157" i="4" s="1"/>
  <c r="C159" i="4"/>
  <c r="D159" i="4" s="1"/>
  <c r="C161" i="4"/>
  <c r="D161" i="4" s="1"/>
  <c r="C163" i="4"/>
  <c r="D163" i="4" s="1"/>
  <c r="C165" i="4"/>
  <c r="D165" i="4" s="1"/>
  <c r="C167" i="4"/>
  <c r="D167" i="4" s="1"/>
  <c r="C169" i="4"/>
  <c r="D169" i="4" s="1"/>
  <c r="C171" i="4"/>
  <c r="D171" i="4" s="1"/>
  <c r="C173" i="4"/>
  <c r="D173" i="4" s="1"/>
  <c r="C175" i="4"/>
  <c r="D175" i="4" s="1"/>
  <c r="C177" i="4"/>
  <c r="D177" i="4" s="1"/>
  <c r="C179" i="4"/>
  <c r="D179" i="4" s="1"/>
  <c r="C181" i="4"/>
  <c r="D181" i="4" s="1"/>
  <c r="C183" i="4"/>
  <c r="D183" i="4" s="1"/>
  <c r="C185" i="4"/>
  <c r="D185" i="4" s="1"/>
  <c r="C187" i="4"/>
  <c r="D187" i="4" s="1"/>
  <c r="C189" i="4"/>
  <c r="D189" i="4" s="1"/>
  <c r="C191" i="4"/>
  <c r="D191" i="4" s="1"/>
  <c r="C193" i="4"/>
  <c r="D193" i="4" s="1"/>
  <c r="C195" i="4"/>
  <c r="D195" i="4" s="1"/>
  <c r="C197" i="4"/>
  <c r="D197" i="4" s="1"/>
  <c r="C199" i="4"/>
  <c r="D199" i="4" s="1"/>
  <c r="C201" i="4"/>
  <c r="D201" i="4" s="1"/>
  <c r="D3" i="2" l="1"/>
  <c r="C12" i="2" s="1"/>
  <c r="AC196" i="4"/>
  <c r="AC148" i="4"/>
  <c r="AC104" i="4"/>
  <c r="AC56" i="4"/>
  <c r="AC16" i="4"/>
  <c r="AC187" i="4"/>
  <c r="AC171" i="4"/>
  <c r="AC155" i="4"/>
  <c r="AC139" i="4"/>
  <c r="AC123" i="4"/>
  <c r="AC107" i="4"/>
  <c r="AC91" i="4"/>
  <c r="AC75" i="4"/>
  <c r="AC59" i="4"/>
  <c r="AC43" i="4"/>
  <c r="AC27" i="4"/>
  <c r="AC11" i="4"/>
  <c r="AC152" i="4"/>
  <c r="AC100" i="4"/>
  <c r="AC52" i="4"/>
  <c r="AC12" i="4"/>
  <c r="AC186" i="4"/>
  <c r="AC170" i="4"/>
  <c r="AC154" i="4"/>
  <c r="AC138" i="4"/>
  <c r="AC122" i="4"/>
  <c r="AC106" i="4"/>
  <c r="AC90" i="4"/>
  <c r="AC74" i="4"/>
  <c r="AC58" i="4"/>
  <c r="AC42" i="4"/>
  <c r="AC26" i="4"/>
  <c r="AC10" i="4"/>
  <c r="AC164" i="4"/>
  <c r="AC120" i="4"/>
  <c r="AC76" i="4"/>
  <c r="AC201" i="4"/>
  <c r="AC185" i="4"/>
  <c r="AC169" i="4"/>
  <c r="AC153" i="4"/>
  <c r="AC137" i="4"/>
  <c r="AC121" i="4"/>
  <c r="AC105" i="4"/>
  <c r="AC89" i="4"/>
  <c r="AC73" i="4"/>
  <c r="AC57" i="4"/>
  <c r="AC41" i="4"/>
  <c r="AC25" i="4"/>
  <c r="AC184" i="4"/>
  <c r="AC136" i="4"/>
  <c r="AC92" i="4"/>
  <c r="AC44" i="4"/>
  <c r="AC199" i="4"/>
  <c r="AC183" i="4"/>
  <c r="AC167" i="4"/>
  <c r="AC151" i="4"/>
  <c r="AC135" i="4"/>
  <c r="AC119" i="4"/>
  <c r="AC103" i="4"/>
  <c r="AC87" i="4"/>
  <c r="AC71" i="4"/>
  <c r="AC55" i="4"/>
  <c r="AC39" i="4"/>
  <c r="AC23" i="4"/>
  <c r="AC192" i="4"/>
  <c r="AC140" i="4"/>
  <c r="AC88" i="4"/>
  <c r="AC40" i="4"/>
  <c r="AC198" i="4"/>
  <c r="AC182" i="4"/>
  <c r="AC166" i="4"/>
  <c r="AC150" i="4"/>
  <c r="AC134" i="4"/>
  <c r="AC118" i="4"/>
  <c r="AC102" i="4"/>
  <c r="AC86" i="4"/>
  <c r="AC70" i="4"/>
  <c r="AC54" i="4"/>
  <c r="AC38" i="4"/>
  <c r="AC22" i="4"/>
  <c r="AC200" i="4"/>
  <c r="AC156" i="4"/>
  <c r="AC108" i="4"/>
  <c r="AC64" i="4"/>
  <c r="AC197" i="4"/>
  <c r="AC181" i="4"/>
  <c r="AC165" i="4"/>
  <c r="AC149" i="4"/>
  <c r="AC133" i="4"/>
  <c r="AC117" i="4"/>
  <c r="AC101" i="4"/>
  <c r="AC85" i="4"/>
  <c r="AC69" i="4"/>
  <c r="AC53" i="4"/>
  <c r="AC37" i="4"/>
  <c r="AC21" i="4"/>
  <c r="AC172" i="4"/>
  <c r="AC128" i="4"/>
  <c r="AC80" i="4"/>
  <c r="AC32" i="4"/>
  <c r="AC195" i="4"/>
  <c r="AC179" i="4"/>
  <c r="AC163" i="4"/>
  <c r="AC147" i="4"/>
  <c r="AC131" i="4"/>
  <c r="AC115" i="4"/>
  <c r="AC99" i="4"/>
  <c r="AC83" i="4"/>
  <c r="AC67" i="4"/>
  <c r="AC51" i="4"/>
  <c r="AC35" i="4"/>
  <c r="AC19" i="4"/>
  <c r="AC180" i="4"/>
  <c r="AC124" i="4"/>
  <c r="AC72" i="4"/>
  <c r="AC28" i="4"/>
  <c r="AC194" i="4"/>
  <c r="AC178" i="4"/>
  <c r="AC162" i="4"/>
  <c r="AC146" i="4"/>
  <c r="AC130" i="4"/>
  <c r="AC114" i="4"/>
  <c r="AC98" i="4"/>
  <c r="AC82" i="4"/>
  <c r="AC66" i="4"/>
  <c r="AC50" i="4"/>
  <c r="AC34" i="4"/>
  <c r="AC18" i="4"/>
  <c r="AC188" i="4"/>
  <c r="AC144" i="4"/>
  <c r="AC96" i="4"/>
  <c r="AC48" i="4"/>
  <c r="AC193" i="4"/>
  <c r="AC177" i="4"/>
  <c r="AC161" i="4"/>
  <c r="AC145" i="4"/>
  <c r="AC129" i="4"/>
  <c r="AC113" i="4"/>
  <c r="AC97" i="4"/>
  <c r="AC81" i="4"/>
  <c r="AC65" i="4"/>
  <c r="AC49" i="4"/>
  <c r="AC33" i="4"/>
  <c r="AC17" i="4"/>
  <c r="D4" i="4"/>
  <c r="J4" i="4" s="1"/>
  <c r="AC5" i="4"/>
  <c r="AC6" i="4"/>
  <c r="AC4" i="4"/>
  <c r="D5" i="4"/>
  <c r="J7" i="4" s="1"/>
  <c r="AC7" i="4"/>
  <c r="AC8" i="4"/>
  <c r="AC160" i="4"/>
  <c r="AC116" i="4"/>
  <c r="AC68" i="4"/>
  <c r="AC24" i="4"/>
  <c r="AC191" i="4"/>
  <c r="AC175" i="4"/>
  <c r="AC159" i="4"/>
  <c r="AC143" i="4"/>
  <c r="AC127" i="4"/>
  <c r="AC111" i="4"/>
  <c r="AC95" i="4"/>
  <c r="AC79" i="4"/>
  <c r="AC63" i="4"/>
  <c r="AC47" i="4"/>
  <c r="AC31" i="4"/>
  <c r="AC15" i="4"/>
  <c r="AC168" i="4"/>
  <c r="AC112" i="4"/>
  <c r="AC60" i="4"/>
  <c r="AC20" i="4"/>
  <c r="AC190" i="4"/>
  <c r="AC174" i="4"/>
  <c r="AC158" i="4"/>
  <c r="AC142" i="4"/>
  <c r="AC126" i="4"/>
  <c r="AC110" i="4"/>
  <c r="AC94" i="4"/>
  <c r="AC78" i="4"/>
  <c r="AC62" i="4"/>
  <c r="AC46" i="4"/>
  <c r="AC30" i="4"/>
  <c r="AC14" i="4"/>
  <c r="AC176" i="4"/>
  <c r="AC132" i="4"/>
  <c r="AC84" i="4"/>
  <c r="AC36" i="4"/>
  <c r="AC189" i="4"/>
  <c r="AC173" i="4"/>
  <c r="AC157" i="4"/>
  <c r="AC141" i="4"/>
  <c r="AC125" i="4"/>
  <c r="AC109" i="4"/>
  <c r="AC93" i="4"/>
  <c r="AC77" i="4"/>
  <c r="AC61" i="4"/>
  <c r="AC45" i="4"/>
  <c r="AC29" i="4"/>
  <c r="AC13" i="4"/>
  <c r="N13" i="2"/>
  <c r="N284" i="2"/>
  <c r="N151" i="2"/>
  <c r="N298" i="2"/>
  <c r="N25" i="2"/>
  <c r="N99" i="2"/>
  <c r="N184" i="2"/>
  <c r="N234" i="2"/>
  <c r="N136" i="2"/>
  <c r="N11" i="2"/>
  <c r="N281" i="2"/>
  <c r="N104" i="2"/>
  <c r="N187" i="2"/>
  <c r="N282" i="2"/>
  <c r="N129" i="2"/>
  <c r="N188" i="2"/>
  <c r="N275" i="2"/>
  <c r="N75" i="2"/>
  <c r="N130" i="2"/>
  <c r="N249" i="2"/>
  <c r="N160" i="2"/>
  <c r="N12" i="2"/>
  <c r="N139" i="2"/>
  <c r="N294" i="2"/>
  <c r="N46" i="2"/>
  <c r="N105" i="2"/>
  <c r="N232" i="2"/>
  <c r="N120" i="2"/>
  <c r="N8" i="2"/>
  <c r="N171" i="2"/>
  <c r="N59" i="2"/>
  <c r="N242" i="2"/>
  <c r="N66" i="2"/>
  <c r="N257" i="2"/>
  <c r="N29" i="2"/>
  <c r="N197" i="2"/>
  <c r="N292" i="2"/>
  <c r="N216" i="2"/>
  <c r="N128" i="2"/>
  <c r="N44" i="2"/>
  <c r="N243" i="2"/>
  <c r="N155" i="2"/>
  <c r="N71" i="2"/>
  <c r="N290" i="2"/>
  <c r="N178" i="2"/>
  <c r="N34" i="2"/>
  <c r="N161" i="2"/>
  <c r="N73" i="2"/>
  <c r="N303" i="2"/>
  <c r="N228" i="2"/>
  <c r="N164" i="2"/>
  <c r="N100" i="2"/>
  <c r="N36" i="2"/>
  <c r="N255" i="2"/>
  <c r="N191" i="2"/>
  <c r="N127" i="2"/>
  <c r="N63" i="2"/>
  <c r="N302" i="2"/>
  <c r="N226" i="2"/>
  <c r="N134" i="2"/>
  <c r="N22" i="2"/>
  <c r="N81" i="2"/>
  <c r="N213" i="2"/>
  <c r="N230" i="2"/>
  <c r="N166" i="2"/>
  <c r="N82" i="2"/>
  <c r="N61" i="2"/>
  <c r="N65" i="2"/>
  <c r="N85" i="2"/>
  <c r="N154" i="2"/>
  <c r="N90" i="2"/>
  <c r="N26" i="2"/>
  <c r="N205" i="2"/>
  <c r="N113" i="2"/>
  <c r="N301" i="2"/>
  <c r="N268" i="2"/>
  <c r="N112" i="2"/>
  <c r="N168" i="2"/>
  <c r="N220" i="2"/>
  <c r="N258" i="2"/>
  <c r="N72" i="2"/>
  <c r="N37" i="2"/>
  <c r="N28" i="2"/>
  <c r="N190" i="2"/>
  <c r="N252" i="2"/>
  <c r="N56" i="2"/>
  <c r="N131" i="2"/>
  <c r="N222" i="2"/>
  <c r="N153" i="2"/>
  <c r="N140" i="2"/>
  <c r="N227" i="2"/>
  <c r="N19" i="2"/>
  <c r="N109" i="2"/>
  <c r="N272" i="2"/>
  <c r="N124" i="2"/>
  <c r="N251" i="2"/>
  <c r="N103" i="2"/>
  <c r="N254" i="2"/>
  <c r="N285" i="2"/>
  <c r="N233" i="2"/>
  <c r="N204" i="2"/>
  <c r="N92" i="2"/>
  <c r="N259" i="2"/>
  <c r="N147" i="2"/>
  <c r="N35" i="2"/>
  <c r="N202" i="2"/>
  <c r="N14" i="2"/>
  <c r="N133" i="2"/>
  <c r="N253" i="2"/>
  <c r="N41" i="2"/>
  <c r="N280" i="2"/>
  <c r="N192" i="2"/>
  <c r="N108" i="2"/>
  <c r="N24" i="2"/>
  <c r="N219" i="2"/>
  <c r="N135" i="2"/>
  <c r="N51" i="2"/>
  <c r="N266" i="2"/>
  <c r="N150" i="2"/>
  <c r="N45" i="2"/>
  <c r="N305" i="2"/>
  <c r="N137" i="2"/>
  <c r="N276" i="2"/>
  <c r="N212" i="2"/>
  <c r="N148" i="2"/>
  <c r="N84" i="2"/>
  <c r="N20" i="2"/>
  <c r="N239" i="2"/>
  <c r="N175" i="2"/>
  <c r="N111" i="2"/>
  <c r="N47" i="2"/>
  <c r="N286" i="2"/>
  <c r="N206" i="2"/>
  <c r="N110" i="2"/>
  <c r="N93" i="2"/>
  <c r="N193" i="2"/>
  <c r="N229" i="2"/>
  <c r="N214" i="2"/>
  <c r="N146" i="2"/>
  <c r="N62" i="2"/>
  <c r="N157" i="2"/>
  <c r="N145" i="2"/>
  <c r="N165" i="2"/>
  <c r="N138" i="2"/>
  <c r="N74" i="2"/>
  <c r="N10" i="2"/>
  <c r="N269" i="2"/>
  <c r="N177" i="2"/>
  <c r="N117" i="2"/>
  <c r="N245" i="2"/>
  <c r="N295" i="2"/>
  <c r="N267" i="2"/>
  <c r="N94" i="2"/>
  <c r="N163" i="2"/>
  <c r="N76" i="2"/>
  <c r="N86" i="2"/>
  <c r="N195" i="2"/>
  <c r="N169" i="2"/>
  <c r="N211" i="2"/>
  <c r="N125" i="2"/>
  <c r="N208" i="2"/>
  <c r="N279" i="2"/>
  <c r="N83" i="2"/>
  <c r="N158" i="2"/>
  <c r="N297" i="2"/>
  <c r="N96" i="2"/>
  <c r="N167" i="2"/>
  <c r="N274" i="2"/>
  <c r="N209" i="2"/>
  <c r="N240" i="2"/>
  <c r="N80" i="2"/>
  <c r="N215" i="2"/>
  <c r="N67" i="2"/>
  <c r="N194" i="2"/>
  <c r="N21" i="2"/>
  <c r="N288" i="2"/>
  <c r="N176" i="2"/>
  <c r="N60" i="2"/>
  <c r="N231" i="2"/>
  <c r="N119" i="2"/>
  <c r="N6" i="2"/>
  <c r="N170" i="2"/>
  <c r="N173" i="2"/>
  <c r="N98" i="2"/>
  <c r="N97" i="2"/>
  <c r="N121" i="2"/>
  <c r="N256" i="2"/>
  <c r="N172" i="2"/>
  <c r="N88" i="2"/>
  <c r="N283" i="2"/>
  <c r="N199" i="2"/>
  <c r="N115" i="2"/>
  <c r="N27" i="2"/>
  <c r="N238" i="2"/>
  <c r="N114" i="2"/>
  <c r="N221" i="2"/>
  <c r="N149" i="2"/>
  <c r="N201" i="2"/>
  <c r="N260" i="2"/>
  <c r="N196" i="2"/>
  <c r="N132" i="2"/>
  <c r="N68" i="2"/>
  <c r="N287" i="2"/>
  <c r="N223" i="2"/>
  <c r="N159" i="2"/>
  <c r="N95" i="2"/>
  <c r="N31" i="2"/>
  <c r="N270" i="2"/>
  <c r="N186" i="2"/>
  <c r="N78" i="2"/>
  <c r="N189" i="2"/>
  <c r="N289" i="2"/>
  <c r="N262" i="2"/>
  <c r="N198" i="2"/>
  <c r="N126" i="2"/>
  <c r="N38" i="2"/>
  <c r="N237" i="2"/>
  <c r="N225" i="2"/>
  <c r="N296" i="2"/>
  <c r="N122" i="2"/>
  <c r="N58" i="2"/>
  <c r="N77" i="2"/>
  <c r="N304" i="2"/>
  <c r="N241" i="2"/>
  <c r="N181" i="2"/>
  <c r="N277" i="2"/>
  <c r="N43" i="2"/>
  <c r="N16" i="2"/>
  <c r="N174" i="2"/>
  <c r="N247" i="2"/>
  <c r="N185" i="2"/>
  <c r="N55" i="2"/>
  <c r="N224" i="2"/>
  <c r="N107" i="2"/>
  <c r="N57" i="2"/>
  <c r="N156" i="2"/>
  <c r="N235" i="2"/>
  <c r="N39" i="2"/>
  <c r="N30" i="2"/>
  <c r="N248" i="2"/>
  <c r="N40" i="2"/>
  <c r="N123" i="2"/>
  <c r="N218" i="2"/>
  <c r="N89" i="2"/>
  <c r="N200" i="2"/>
  <c r="N48" i="2"/>
  <c r="N183" i="2"/>
  <c r="N23" i="2"/>
  <c r="N142" i="2"/>
  <c r="N69" i="2"/>
  <c r="N264" i="2"/>
  <c r="N144" i="2"/>
  <c r="N32" i="2"/>
  <c r="N203" i="2"/>
  <c r="N87" i="2"/>
  <c r="N278" i="2"/>
  <c r="N118" i="2"/>
  <c r="N33" i="2"/>
  <c r="N54" i="2"/>
  <c r="N273" i="2"/>
  <c r="N217" i="2"/>
  <c r="N236" i="2"/>
  <c r="N152" i="2"/>
  <c r="N64" i="2"/>
  <c r="N263" i="2"/>
  <c r="N179" i="2"/>
  <c r="N91" i="2"/>
  <c r="N7" i="2"/>
  <c r="N210" i="2"/>
  <c r="N70" i="2"/>
  <c r="N17" i="2"/>
  <c r="N9" i="2"/>
  <c r="N265" i="2"/>
  <c r="N244" i="2"/>
  <c r="N180" i="2"/>
  <c r="N116" i="2"/>
  <c r="N52" i="2"/>
  <c r="N271" i="2"/>
  <c r="N207" i="2"/>
  <c r="N143" i="2"/>
  <c r="N79" i="2"/>
  <c r="N15" i="2"/>
  <c r="N250" i="2"/>
  <c r="N162" i="2"/>
  <c r="N50" i="2"/>
  <c r="N293" i="2"/>
  <c r="N101" i="2"/>
  <c r="N246" i="2"/>
  <c r="N182" i="2"/>
  <c r="N102" i="2"/>
  <c r="N18" i="2"/>
  <c r="N299" i="2"/>
  <c r="N300" i="2"/>
  <c r="N261" i="2"/>
  <c r="N106" i="2"/>
  <c r="N42" i="2"/>
  <c r="N141" i="2"/>
  <c r="N49" i="2"/>
  <c r="N291" i="2"/>
  <c r="N53" i="2"/>
  <c r="J5" i="4"/>
  <c r="J6" i="4"/>
  <c r="X161" i="4"/>
  <c r="Z161" i="4" s="1"/>
  <c r="D6" i="4"/>
  <c r="X6" i="4"/>
  <c r="X26" i="4"/>
  <c r="Z26" i="4" s="1"/>
  <c r="X90" i="4"/>
  <c r="Z90" i="4" s="1"/>
  <c r="X144" i="4"/>
  <c r="Z144" i="4" s="1"/>
  <c r="X37" i="4"/>
  <c r="Z37" i="4" s="1"/>
  <c r="X69" i="4"/>
  <c r="Z69" i="4" s="1"/>
  <c r="X125" i="4"/>
  <c r="Z125" i="4" s="1"/>
  <c r="X140" i="4"/>
  <c r="Z140" i="4" s="1"/>
  <c r="X84" i="4"/>
  <c r="Z84" i="4" s="1"/>
  <c r="X42" i="4"/>
  <c r="Z42" i="4" s="1"/>
  <c r="X106" i="4"/>
  <c r="Z106" i="4" s="1"/>
  <c r="X13" i="4"/>
  <c r="X45" i="4"/>
  <c r="Z45" i="4" s="1"/>
  <c r="X77" i="4"/>
  <c r="Z77" i="4" s="1"/>
  <c r="X141" i="4"/>
  <c r="Z141" i="4" s="1"/>
  <c r="X172" i="4"/>
  <c r="Z172" i="4" s="1"/>
  <c r="X146" i="4"/>
  <c r="Z146" i="4" s="1"/>
  <c r="X58" i="4"/>
  <c r="X122" i="4"/>
  <c r="Z122" i="4" s="1"/>
  <c r="X21" i="4"/>
  <c r="Z21" i="4" s="1"/>
  <c r="X53" i="4"/>
  <c r="Z53" i="4" s="1"/>
  <c r="X93" i="4"/>
  <c r="Z93" i="4" s="1"/>
  <c r="X167" i="4"/>
  <c r="Z167" i="4" s="1"/>
  <c r="X96" i="4"/>
  <c r="Z96" i="4" s="1"/>
  <c r="X178" i="4"/>
  <c r="Z178" i="4" s="1"/>
  <c r="X10" i="4"/>
  <c r="X74" i="4"/>
  <c r="Z74" i="4" s="1"/>
  <c r="X138" i="4"/>
  <c r="Z138" i="4" s="1"/>
  <c r="X29" i="4"/>
  <c r="Z29" i="4" s="1"/>
  <c r="X61" i="4"/>
  <c r="Z61" i="4" s="1"/>
  <c r="X109" i="4"/>
  <c r="Z109" i="4" s="1"/>
  <c r="X199" i="4"/>
  <c r="Z199" i="4" s="1"/>
  <c r="X20" i="4"/>
  <c r="Z20" i="4" s="1"/>
  <c r="Z58" i="4"/>
  <c r="X64" i="4"/>
  <c r="Z64" i="4" s="1"/>
  <c r="X128" i="4"/>
  <c r="Z128" i="4" s="1"/>
  <c r="X157" i="4"/>
  <c r="Z157" i="4" s="1"/>
  <c r="X173" i="4"/>
  <c r="Z173" i="4" s="1"/>
  <c r="X189" i="4"/>
  <c r="Z189" i="4" s="1"/>
  <c r="X32" i="4"/>
  <c r="Z32" i="4" s="1"/>
  <c r="X177" i="4"/>
  <c r="Z177" i="4" s="1"/>
  <c r="X8" i="4"/>
  <c r="X186" i="4"/>
  <c r="Z186" i="4" s="1"/>
  <c r="X170" i="4"/>
  <c r="Z170" i="4" s="1"/>
  <c r="X154" i="4"/>
  <c r="Z154" i="4" s="1"/>
  <c r="X132" i="4"/>
  <c r="Z132" i="4" s="1"/>
  <c r="X100" i="4"/>
  <c r="Z100" i="4" s="1"/>
  <c r="X68" i="4"/>
  <c r="Z68" i="4" s="1"/>
  <c r="X36" i="4"/>
  <c r="Z36" i="4" s="1"/>
  <c r="X185" i="4"/>
  <c r="Z185" i="4" s="1"/>
  <c r="X48" i="4"/>
  <c r="Z48" i="4" s="1"/>
  <c r="X44" i="4"/>
  <c r="Z44" i="4" s="1"/>
  <c r="X156" i="4"/>
  <c r="Z156" i="4" s="1"/>
  <c r="X188" i="4"/>
  <c r="Z188" i="4" s="1"/>
  <c r="X76" i="4"/>
  <c r="Z76" i="4" s="1"/>
  <c r="X160" i="4"/>
  <c r="Z160" i="4" s="1"/>
  <c r="X192" i="4"/>
  <c r="Z192" i="4" s="1"/>
  <c r="X191" i="4"/>
  <c r="Z191" i="4" s="1"/>
  <c r="X175" i="4"/>
  <c r="Z175" i="4" s="1"/>
  <c r="X159" i="4"/>
  <c r="Z159" i="4" s="1"/>
  <c r="X145" i="4"/>
  <c r="Z145" i="4" s="1"/>
  <c r="X137" i="4"/>
  <c r="Z137" i="4" s="1"/>
  <c r="X129" i="4"/>
  <c r="Z129" i="4" s="1"/>
  <c r="X121" i="4"/>
  <c r="Z121" i="4" s="1"/>
  <c r="X113" i="4"/>
  <c r="Z113" i="4" s="1"/>
  <c r="X105" i="4"/>
  <c r="Z105" i="4" s="1"/>
  <c r="X97" i="4"/>
  <c r="Z97" i="4" s="1"/>
  <c r="X89" i="4"/>
  <c r="Z89" i="4" s="1"/>
  <c r="X81" i="4"/>
  <c r="Z81" i="4" s="1"/>
  <c r="X73" i="4"/>
  <c r="Z73" i="4" s="1"/>
  <c r="X65" i="4"/>
  <c r="Z65" i="4" s="1"/>
  <c r="X57" i="4"/>
  <c r="Z57" i="4" s="1"/>
  <c r="X49" i="4"/>
  <c r="Z49" i="4" s="1"/>
  <c r="X41" i="4"/>
  <c r="Z41" i="4" s="1"/>
  <c r="X33" i="4"/>
  <c r="Z33" i="4" s="1"/>
  <c r="X25" i="4"/>
  <c r="Z25" i="4" s="1"/>
  <c r="X17" i="4"/>
  <c r="Z17" i="4" s="1"/>
  <c r="X9" i="4"/>
  <c r="X16" i="4"/>
  <c r="Z16" i="4" s="1"/>
  <c r="X130" i="4"/>
  <c r="Z130" i="4" s="1"/>
  <c r="X114" i="4"/>
  <c r="Z114" i="4" s="1"/>
  <c r="X98" i="4"/>
  <c r="Z98" i="4" s="1"/>
  <c r="X82" i="4"/>
  <c r="Z82" i="4" s="1"/>
  <c r="X66" i="4"/>
  <c r="Z66" i="4" s="1"/>
  <c r="X50" i="4"/>
  <c r="Z50" i="4" s="1"/>
  <c r="X34" i="4"/>
  <c r="Z34" i="4" s="1"/>
  <c r="X18" i="4"/>
  <c r="Z18" i="4" s="1"/>
  <c r="X197" i="4"/>
  <c r="Z197" i="4" s="1"/>
  <c r="X165" i="4"/>
  <c r="Z165" i="4" s="1"/>
  <c r="X198" i="4"/>
  <c r="Z198" i="4" s="1"/>
  <c r="X182" i="4"/>
  <c r="Z182" i="4" s="1"/>
  <c r="X166" i="4"/>
  <c r="Z166" i="4" s="1"/>
  <c r="X150" i="4"/>
  <c r="Z150" i="4" s="1"/>
  <c r="X120" i="4"/>
  <c r="Z120" i="4" s="1"/>
  <c r="X88" i="4"/>
  <c r="Z88" i="4" s="1"/>
  <c r="X56" i="4"/>
  <c r="Z56" i="4" s="1"/>
  <c r="X24" i="4"/>
  <c r="Z24" i="4" s="1"/>
  <c r="X169" i="4"/>
  <c r="Z169" i="4" s="1"/>
  <c r="X92" i="4"/>
  <c r="Z92" i="4" s="1"/>
  <c r="X164" i="4"/>
  <c r="Z164" i="4" s="1"/>
  <c r="X200" i="4"/>
  <c r="Z200" i="4" s="1"/>
  <c r="X108" i="4"/>
  <c r="Z108" i="4" s="1"/>
  <c r="X168" i="4"/>
  <c r="Z168" i="4" s="1"/>
  <c r="X196" i="4"/>
  <c r="Z196" i="4" s="1"/>
  <c r="X187" i="4"/>
  <c r="Z187" i="4" s="1"/>
  <c r="X171" i="4"/>
  <c r="Z171" i="4" s="1"/>
  <c r="X155" i="4"/>
  <c r="Z155" i="4" s="1"/>
  <c r="X143" i="4"/>
  <c r="Z143" i="4" s="1"/>
  <c r="X135" i="4"/>
  <c r="Z135" i="4" s="1"/>
  <c r="X127" i="4"/>
  <c r="Z127" i="4" s="1"/>
  <c r="X119" i="4"/>
  <c r="Z119" i="4" s="1"/>
  <c r="X111" i="4"/>
  <c r="Z111" i="4" s="1"/>
  <c r="X103" i="4"/>
  <c r="Z103" i="4" s="1"/>
  <c r="X95" i="4"/>
  <c r="Z95" i="4" s="1"/>
  <c r="X87" i="4"/>
  <c r="Z87" i="4" s="1"/>
  <c r="X79" i="4"/>
  <c r="Z79" i="4" s="1"/>
  <c r="X71" i="4"/>
  <c r="Z71" i="4" s="1"/>
  <c r="X63" i="4"/>
  <c r="Z63" i="4" s="1"/>
  <c r="X55" i="4"/>
  <c r="Z55" i="4" s="1"/>
  <c r="X47" i="4"/>
  <c r="Z47" i="4" s="1"/>
  <c r="X39" i="4"/>
  <c r="Z39" i="4" s="1"/>
  <c r="X31" i="4"/>
  <c r="Z31" i="4" s="1"/>
  <c r="X23" i="4"/>
  <c r="Z23" i="4" s="1"/>
  <c r="X15" i="4"/>
  <c r="Z15" i="4" s="1"/>
  <c r="X7" i="4"/>
  <c r="X142" i="4"/>
  <c r="Z142" i="4" s="1"/>
  <c r="X126" i="4"/>
  <c r="Z126" i="4" s="1"/>
  <c r="X110" i="4"/>
  <c r="Z110" i="4" s="1"/>
  <c r="X94" i="4"/>
  <c r="Z94" i="4" s="1"/>
  <c r="X78" i="4"/>
  <c r="Z78" i="4" s="1"/>
  <c r="X62" i="4"/>
  <c r="Z62" i="4" s="1"/>
  <c r="X46" i="4"/>
  <c r="Z46" i="4" s="1"/>
  <c r="X30" i="4"/>
  <c r="Z30" i="4" s="1"/>
  <c r="X14" i="4"/>
  <c r="X38" i="4"/>
  <c r="Z38" i="4" s="1"/>
  <c r="X70" i="4"/>
  <c r="Z70" i="4" s="1"/>
  <c r="X102" i="4"/>
  <c r="Z102" i="4" s="1"/>
  <c r="X134" i="4"/>
  <c r="Z134" i="4" s="1"/>
  <c r="X11" i="4"/>
  <c r="X27" i="4"/>
  <c r="Z27" i="4" s="1"/>
  <c r="X43" i="4"/>
  <c r="Z43" i="4" s="1"/>
  <c r="X59" i="4"/>
  <c r="Z59" i="4" s="1"/>
  <c r="X75" i="4"/>
  <c r="Z75" i="4" s="1"/>
  <c r="X91" i="4"/>
  <c r="Z91" i="4" s="1"/>
  <c r="X107" i="4"/>
  <c r="Z107" i="4" s="1"/>
  <c r="X123" i="4"/>
  <c r="Z123" i="4" s="1"/>
  <c r="X139" i="4"/>
  <c r="Z139" i="4" s="1"/>
  <c r="X163" i="4"/>
  <c r="Z163" i="4" s="1"/>
  <c r="X195" i="4"/>
  <c r="Z195" i="4" s="1"/>
  <c r="X152" i="4"/>
  <c r="Z152" i="4" s="1"/>
  <c r="X180" i="4"/>
  <c r="Z180" i="4" s="1"/>
  <c r="X28" i="4"/>
  <c r="Z28" i="4" s="1"/>
  <c r="X201" i="4"/>
  <c r="Z201" i="4" s="1"/>
  <c r="X72" i="4"/>
  <c r="Z72" i="4" s="1"/>
  <c r="X136" i="4"/>
  <c r="Z136" i="4" s="1"/>
  <c r="X174" i="4"/>
  <c r="Z174" i="4" s="1"/>
  <c r="X149" i="4"/>
  <c r="Z149" i="4" s="1"/>
  <c r="X22" i="4"/>
  <c r="Z22" i="4" s="1"/>
  <c r="X54" i="4"/>
  <c r="Z54" i="4" s="1"/>
  <c r="X86" i="4"/>
  <c r="Z86" i="4" s="1"/>
  <c r="X118" i="4"/>
  <c r="Z118" i="4" s="1"/>
  <c r="X80" i="4"/>
  <c r="Z80" i="4" s="1"/>
  <c r="X19" i="4"/>
  <c r="Z19" i="4" s="1"/>
  <c r="X35" i="4"/>
  <c r="Z35" i="4" s="1"/>
  <c r="X51" i="4"/>
  <c r="Z51" i="4" s="1"/>
  <c r="X67" i="4"/>
  <c r="Z67" i="4" s="1"/>
  <c r="X83" i="4"/>
  <c r="Z83" i="4" s="1"/>
  <c r="X99" i="4"/>
  <c r="Z99" i="4" s="1"/>
  <c r="X115" i="4"/>
  <c r="Z115" i="4" s="1"/>
  <c r="X131" i="4"/>
  <c r="Z131" i="4" s="1"/>
  <c r="X147" i="4"/>
  <c r="Z147" i="4" s="1"/>
  <c r="X179" i="4"/>
  <c r="Z179" i="4" s="1"/>
  <c r="X184" i="4"/>
  <c r="Z184" i="4" s="1"/>
  <c r="X60" i="4"/>
  <c r="Z60" i="4" s="1"/>
  <c r="X148" i="4"/>
  <c r="Z148" i="4" s="1"/>
  <c r="X112" i="4"/>
  <c r="Z112" i="4" s="1"/>
  <c r="X40" i="4"/>
  <c r="Z40" i="4" s="1"/>
  <c r="X104" i="4"/>
  <c r="Z104" i="4" s="1"/>
  <c r="X158" i="4"/>
  <c r="Z158" i="4" s="1"/>
  <c r="X190" i="4"/>
  <c r="Z190" i="4" s="1"/>
  <c r="X181" i="4"/>
  <c r="Z181" i="4" s="1"/>
  <c r="X5" i="4"/>
  <c r="X4" i="4"/>
  <c r="X85" i="4"/>
  <c r="Z85" i="4" s="1"/>
  <c r="X101" i="4"/>
  <c r="Z101" i="4" s="1"/>
  <c r="X117" i="4"/>
  <c r="Z117" i="4" s="1"/>
  <c r="X133" i="4"/>
  <c r="Z133" i="4" s="1"/>
  <c r="X151" i="4"/>
  <c r="Z151" i="4" s="1"/>
  <c r="X183" i="4"/>
  <c r="Z183" i="4" s="1"/>
  <c r="X176" i="4"/>
  <c r="Z176" i="4" s="1"/>
  <c r="X12" i="4"/>
  <c r="X124" i="4"/>
  <c r="Z124" i="4" s="1"/>
  <c r="X153" i="4"/>
  <c r="Z153" i="4" s="1"/>
  <c r="X52" i="4"/>
  <c r="Z52" i="4" s="1"/>
  <c r="X116" i="4"/>
  <c r="Z116" i="4" s="1"/>
  <c r="X162" i="4"/>
  <c r="Z162" i="4" s="1"/>
  <c r="X194" i="4"/>
  <c r="Z194" i="4" s="1"/>
  <c r="X193" i="4"/>
  <c r="Z193" i="4" s="1"/>
  <c r="C8" i="2" l="1"/>
  <c r="AB5" i="5" s="1"/>
  <c r="C246" i="2"/>
  <c r="C254" i="2"/>
  <c r="C55" i="2"/>
  <c r="AB52" i="5" s="1"/>
  <c r="C145" i="2"/>
  <c r="AB142" i="5" s="1"/>
  <c r="C83" i="2"/>
  <c r="AB80" i="5" s="1"/>
  <c r="C301" i="2"/>
  <c r="C255" i="2"/>
  <c r="C264" i="2"/>
  <c r="C11" i="2"/>
  <c r="AB8" i="5" s="1"/>
  <c r="C85" i="2"/>
  <c r="AB82" i="5" s="1"/>
  <c r="C136" i="2"/>
  <c r="AB133" i="5" s="1"/>
  <c r="C262" i="2"/>
  <c r="C258" i="2"/>
  <c r="C183" i="2"/>
  <c r="C167" i="2"/>
  <c r="C102" i="2"/>
  <c r="AB99" i="5" s="1"/>
  <c r="C213" i="2"/>
  <c r="C39" i="2"/>
  <c r="AB36" i="5" s="1"/>
  <c r="C211" i="2"/>
  <c r="C38" i="2"/>
  <c r="AB35" i="5" s="1"/>
  <c r="C232" i="2"/>
  <c r="C104" i="2"/>
  <c r="AB101" i="5" s="1"/>
  <c r="C199" i="2"/>
  <c r="C194" i="2"/>
  <c r="C27" i="2"/>
  <c r="AB24" i="5" s="1"/>
  <c r="C82" i="2"/>
  <c r="AB79" i="5" s="1"/>
  <c r="C59" i="2"/>
  <c r="AB56" i="5" s="1"/>
  <c r="C170" i="2"/>
  <c r="C209" i="2"/>
  <c r="C169" i="2"/>
  <c r="C29" i="2"/>
  <c r="AB26" i="5" s="1"/>
  <c r="C200" i="2"/>
  <c r="C72" i="2"/>
  <c r="AB69" i="5" s="1"/>
  <c r="C242" i="2"/>
  <c r="C114" i="2"/>
  <c r="AB111" i="5" s="1"/>
  <c r="C109" i="2"/>
  <c r="AB106" i="5" s="1"/>
  <c r="C289" i="2"/>
  <c r="C214" i="2"/>
  <c r="C298" i="2"/>
  <c r="C127" i="2"/>
  <c r="AB124" i="5" s="1"/>
  <c r="C297" i="2"/>
  <c r="C126" i="2"/>
  <c r="AB123" i="5" s="1"/>
  <c r="C296" i="2"/>
  <c r="C168" i="2"/>
  <c r="C40" i="2"/>
  <c r="AB37" i="5" s="1"/>
  <c r="C295" i="2"/>
  <c r="C205" i="2"/>
  <c r="C305" i="2"/>
  <c r="C251" i="2"/>
  <c r="C178" i="2"/>
  <c r="C71" i="2"/>
  <c r="AB68" i="5" s="1"/>
  <c r="C290" i="2"/>
  <c r="C247" i="2"/>
  <c r="C173" i="2"/>
  <c r="C87" i="2"/>
  <c r="AB84" i="5" s="1"/>
  <c r="C285" i="2"/>
  <c r="C141" i="2"/>
  <c r="AB138" i="5" s="1"/>
  <c r="C283" i="2"/>
  <c r="C278" i="2"/>
  <c r="C231" i="2"/>
  <c r="C146" i="2"/>
  <c r="AB143" i="5" s="1"/>
  <c r="C61" i="2"/>
  <c r="AB58" i="5" s="1"/>
  <c r="C187" i="2"/>
  <c r="C139" i="2"/>
  <c r="AB136" i="5" s="1"/>
  <c r="C97" i="2"/>
  <c r="AB94" i="5" s="1"/>
  <c r="C49" i="2"/>
  <c r="AB46" i="5" s="1"/>
  <c r="C293" i="2"/>
  <c r="C250" i="2"/>
  <c r="C207" i="2"/>
  <c r="C165" i="2"/>
  <c r="C122" i="2"/>
  <c r="AB119" i="5" s="1"/>
  <c r="C79" i="2"/>
  <c r="AB76" i="5" s="1"/>
  <c r="C31" i="2"/>
  <c r="AB28" i="5" s="1"/>
  <c r="C203" i="2"/>
  <c r="C291" i="2"/>
  <c r="C249" i="2"/>
  <c r="C206" i="2"/>
  <c r="C163" i="2"/>
  <c r="C121" i="2"/>
  <c r="AB118" i="5" s="1"/>
  <c r="C78" i="2"/>
  <c r="AB75" i="5" s="1"/>
  <c r="C30" i="2"/>
  <c r="AB27" i="5" s="1"/>
  <c r="C25" i="2"/>
  <c r="C292" i="2"/>
  <c r="C260" i="2"/>
  <c r="C228" i="2"/>
  <c r="C196" i="2"/>
  <c r="C164" i="2"/>
  <c r="C132" i="2"/>
  <c r="AB129" i="5" s="1"/>
  <c r="C100" i="2"/>
  <c r="AB97" i="5" s="1"/>
  <c r="C68" i="2"/>
  <c r="AB65" i="5" s="1"/>
  <c r="C36" i="2"/>
  <c r="AB33" i="5" s="1"/>
  <c r="C6" i="2"/>
  <c r="E6" i="2" s="1"/>
  <c r="C274" i="2"/>
  <c r="C162" i="2"/>
  <c r="C294" i="2"/>
  <c r="C241" i="2"/>
  <c r="C157" i="2"/>
  <c r="C50" i="2"/>
  <c r="AB47" i="5" s="1"/>
  <c r="C279" i="2"/>
  <c r="C237" i="2"/>
  <c r="C151" i="2"/>
  <c r="AB148" i="5" s="1"/>
  <c r="C66" i="2"/>
  <c r="AB63" i="5" s="1"/>
  <c r="C253" i="2"/>
  <c r="C98" i="2"/>
  <c r="AB95" i="5" s="1"/>
  <c r="C93" i="2"/>
  <c r="AB90" i="5" s="1"/>
  <c r="C267" i="2"/>
  <c r="C210" i="2"/>
  <c r="C125" i="2"/>
  <c r="AB122" i="5" s="1"/>
  <c r="C35" i="2"/>
  <c r="AB32" i="5" s="1"/>
  <c r="C177" i="2"/>
  <c r="C123" i="2"/>
  <c r="AB120" i="5" s="1"/>
  <c r="C81" i="2"/>
  <c r="AB78" i="5" s="1"/>
  <c r="C26" i="2"/>
  <c r="AB23" i="5" s="1"/>
  <c r="C277" i="2"/>
  <c r="C234" i="2"/>
  <c r="C191" i="2"/>
  <c r="C149" i="2"/>
  <c r="AB146" i="5" s="1"/>
  <c r="C106" i="2"/>
  <c r="AB103" i="5" s="1"/>
  <c r="C63" i="2"/>
  <c r="AB60" i="5" s="1"/>
  <c r="C7" i="2"/>
  <c r="AB4" i="5" s="1"/>
  <c r="C171" i="2"/>
  <c r="C275" i="2"/>
  <c r="C233" i="2"/>
  <c r="C190" i="2"/>
  <c r="C147" i="2"/>
  <c r="AB144" i="5" s="1"/>
  <c r="C105" i="2"/>
  <c r="AB102" i="5" s="1"/>
  <c r="C62" i="2"/>
  <c r="AB59" i="5" s="1"/>
  <c r="C45" i="2"/>
  <c r="AB42" i="5" s="1"/>
  <c r="C13" i="2"/>
  <c r="AB10" i="5" s="1"/>
  <c r="C280" i="2"/>
  <c r="C248" i="2"/>
  <c r="C216" i="2"/>
  <c r="C184" i="2"/>
  <c r="C152" i="2"/>
  <c r="AB149" i="5" s="1"/>
  <c r="C120" i="2"/>
  <c r="AB117" i="5" s="1"/>
  <c r="C88" i="2"/>
  <c r="AB85" i="5" s="1"/>
  <c r="C56" i="2"/>
  <c r="AB53" i="5" s="1"/>
  <c r="C24" i="2"/>
  <c r="C263" i="2"/>
  <c r="C119" i="2"/>
  <c r="AB116" i="5" s="1"/>
  <c r="C273" i="2"/>
  <c r="C221" i="2"/>
  <c r="C135" i="2"/>
  <c r="AB132" i="5" s="1"/>
  <c r="C19" i="2"/>
  <c r="C269" i="2"/>
  <c r="C215" i="2"/>
  <c r="C130" i="2"/>
  <c r="AB127" i="5" s="1"/>
  <c r="C43" i="2"/>
  <c r="AB40" i="5" s="1"/>
  <c r="C226" i="2"/>
  <c r="C77" i="2"/>
  <c r="AB74" i="5" s="1"/>
  <c r="C299" i="2"/>
  <c r="C257" i="2"/>
  <c r="C189" i="2"/>
  <c r="C103" i="2"/>
  <c r="AB100" i="5" s="1"/>
  <c r="C225" i="2"/>
  <c r="C166" i="2"/>
  <c r="C118" i="2"/>
  <c r="AB115" i="5" s="1"/>
  <c r="C75" i="2"/>
  <c r="AB72" i="5" s="1"/>
  <c r="C18" i="2"/>
  <c r="C271" i="2"/>
  <c r="C229" i="2"/>
  <c r="C186" i="2"/>
  <c r="C143" i="2"/>
  <c r="AB140" i="5" s="1"/>
  <c r="C101" i="2"/>
  <c r="AB98" i="5" s="1"/>
  <c r="C58" i="2"/>
  <c r="AB55" i="5" s="1"/>
  <c r="C235" i="2"/>
  <c r="C150" i="2"/>
  <c r="AB147" i="5" s="1"/>
  <c r="C270" i="2"/>
  <c r="C227" i="2"/>
  <c r="C185" i="2"/>
  <c r="C142" i="2"/>
  <c r="AB139" i="5" s="1"/>
  <c r="C99" i="2"/>
  <c r="AB96" i="5" s="1"/>
  <c r="C57" i="2"/>
  <c r="AB54" i="5" s="1"/>
  <c r="C41" i="2"/>
  <c r="AB38" i="5" s="1"/>
  <c r="C9" i="2"/>
  <c r="C276" i="2"/>
  <c r="C244" i="2"/>
  <c r="C212" i="2"/>
  <c r="C180" i="2"/>
  <c r="C148" i="2"/>
  <c r="AB145" i="5" s="1"/>
  <c r="C116" i="2"/>
  <c r="AB113" i="5" s="1"/>
  <c r="C84" i="2"/>
  <c r="AB81" i="5" s="1"/>
  <c r="C52" i="2"/>
  <c r="AB49" i="5" s="1"/>
  <c r="C20" i="2"/>
  <c r="C198" i="2"/>
  <c r="C161" i="2"/>
  <c r="C134" i="2"/>
  <c r="AB131" i="5" s="1"/>
  <c r="C113" i="2"/>
  <c r="AB110" i="5" s="1"/>
  <c r="C91" i="2"/>
  <c r="AB88" i="5" s="1"/>
  <c r="C70" i="2"/>
  <c r="AB67" i="5" s="1"/>
  <c r="C42" i="2"/>
  <c r="AB39" i="5" s="1"/>
  <c r="C10" i="2"/>
  <c r="C287" i="2"/>
  <c r="C266" i="2"/>
  <c r="C245" i="2"/>
  <c r="C223" i="2"/>
  <c r="C202" i="2"/>
  <c r="C181" i="2"/>
  <c r="C159" i="2"/>
  <c r="C138" i="2"/>
  <c r="AB135" i="5" s="1"/>
  <c r="C117" i="2"/>
  <c r="AB114" i="5" s="1"/>
  <c r="C95" i="2"/>
  <c r="AB92" i="5" s="1"/>
  <c r="C74" i="2"/>
  <c r="AB71" i="5" s="1"/>
  <c r="C53" i="2"/>
  <c r="AB50" i="5" s="1"/>
  <c r="C23" i="2"/>
  <c r="C230" i="2"/>
  <c r="C193" i="2"/>
  <c r="C54" i="2"/>
  <c r="AB51" i="5" s="1"/>
  <c r="C286" i="2"/>
  <c r="C265" i="2"/>
  <c r="C243" i="2"/>
  <c r="C222" i="2"/>
  <c r="C201" i="2"/>
  <c r="C179" i="2"/>
  <c r="C158" i="2"/>
  <c r="C137" i="2"/>
  <c r="AB134" i="5" s="1"/>
  <c r="C115" i="2"/>
  <c r="AB112" i="5" s="1"/>
  <c r="C94" i="2"/>
  <c r="AB91" i="5" s="1"/>
  <c r="C73" i="2"/>
  <c r="AB70" i="5" s="1"/>
  <c r="C51" i="2"/>
  <c r="AB48" i="5" s="1"/>
  <c r="C22" i="2"/>
  <c r="C37" i="2"/>
  <c r="AB34" i="5" s="1"/>
  <c r="C21" i="2"/>
  <c r="C304" i="2"/>
  <c r="C288" i="2"/>
  <c r="C272" i="2"/>
  <c r="C256" i="2"/>
  <c r="C240" i="2"/>
  <c r="C224" i="2"/>
  <c r="C208" i="2"/>
  <c r="C192" i="2"/>
  <c r="C176" i="2"/>
  <c r="C160" i="2"/>
  <c r="C144" i="2"/>
  <c r="AB141" i="5" s="1"/>
  <c r="C128" i="2"/>
  <c r="AB125" i="5" s="1"/>
  <c r="C112" i="2"/>
  <c r="AB109" i="5" s="1"/>
  <c r="C96" i="2"/>
  <c r="AB93" i="5" s="1"/>
  <c r="C80" i="2"/>
  <c r="AB77" i="5" s="1"/>
  <c r="C64" i="2"/>
  <c r="AB61" i="5" s="1"/>
  <c r="C48" i="2"/>
  <c r="AB45" i="5" s="1"/>
  <c r="C32" i="2"/>
  <c r="AB29" i="5" s="1"/>
  <c r="C16" i="2"/>
  <c r="C155" i="2"/>
  <c r="C129" i="2"/>
  <c r="AB126" i="5" s="1"/>
  <c r="C107" i="2"/>
  <c r="AB104" i="5" s="1"/>
  <c r="C86" i="2"/>
  <c r="AB83" i="5" s="1"/>
  <c r="C65" i="2"/>
  <c r="AB62" i="5" s="1"/>
  <c r="C34" i="2"/>
  <c r="AB31" i="5" s="1"/>
  <c r="C303" i="2"/>
  <c r="C282" i="2"/>
  <c r="C261" i="2"/>
  <c r="C239" i="2"/>
  <c r="C218" i="2"/>
  <c r="C197" i="2"/>
  <c r="C175" i="2"/>
  <c r="C154" i="2"/>
  <c r="C133" i="2"/>
  <c r="AB130" i="5" s="1"/>
  <c r="C111" i="2"/>
  <c r="AB108" i="5" s="1"/>
  <c r="C90" i="2"/>
  <c r="AB87" i="5" s="1"/>
  <c r="C69" i="2"/>
  <c r="AB66" i="5" s="1"/>
  <c r="C47" i="2"/>
  <c r="AB44" i="5" s="1"/>
  <c r="C15" i="2"/>
  <c r="AB12" i="5" s="1"/>
  <c r="C219" i="2"/>
  <c r="C182" i="2"/>
  <c r="C302" i="2"/>
  <c r="C281" i="2"/>
  <c r="C259" i="2"/>
  <c r="C238" i="2"/>
  <c r="C217" i="2"/>
  <c r="C195" i="2"/>
  <c r="C174" i="2"/>
  <c r="C153" i="2"/>
  <c r="AB150" i="5" s="1"/>
  <c r="C131" i="2"/>
  <c r="AB128" i="5" s="1"/>
  <c r="C110" i="2"/>
  <c r="AB107" i="5" s="1"/>
  <c r="C89" i="2"/>
  <c r="AB86" i="5" s="1"/>
  <c r="C67" i="2"/>
  <c r="AB64" i="5" s="1"/>
  <c r="C46" i="2"/>
  <c r="AB43" i="5" s="1"/>
  <c r="C14" i="2"/>
  <c r="AB11" i="5" s="1"/>
  <c r="C33" i="2"/>
  <c r="AB30" i="5" s="1"/>
  <c r="C17" i="2"/>
  <c r="C300" i="2"/>
  <c r="C284" i="2"/>
  <c r="C268" i="2"/>
  <c r="C252" i="2"/>
  <c r="C236" i="2"/>
  <c r="C220" i="2"/>
  <c r="C204" i="2"/>
  <c r="C188" i="2"/>
  <c r="C172" i="2"/>
  <c r="C156" i="2"/>
  <c r="C140" i="2"/>
  <c r="AB137" i="5" s="1"/>
  <c r="C124" i="2"/>
  <c r="AB121" i="5" s="1"/>
  <c r="C108" i="2"/>
  <c r="AB105" i="5" s="1"/>
  <c r="C92" i="2"/>
  <c r="AB89" i="5" s="1"/>
  <c r="C76" i="2"/>
  <c r="AB73" i="5" s="1"/>
  <c r="C60" i="2"/>
  <c r="AB57" i="5" s="1"/>
  <c r="C44" i="2"/>
  <c r="AB41" i="5" s="1"/>
  <c r="C28" i="2"/>
  <c r="AB25" i="5" s="1"/>
  <c r="AB6" i="5"/>
  <c r="AB9" i="5"/>
  <c r="M18" i="2"/>
  <c r="L18" i="2" s="1"/>
  <c r="M141" i="2"/>
  <c r="L141" i="2" s="1"/>
  <c r="M9" i="2"/>
  <c r="L9" i="2" s="1"/>
  <c r="M106" i="2"/>
  <c r="L106" i="2" s="1"/>
  <c r="M17" i="2"/>
  <c r="L17" i="2" s="1"/>
  <c r="M15" i="2"/>
  <c r="L15" i="2" s="1"/>
  <c r="M53" i="2"/>
  <c r="L53" i="2" s="1"/>
  <c r="M42" i="2"/>
  <c r="L42" i="2" s="1"/>
  <c r="M299" i="2"/>
  <c r="L299" i="2" s="1"/>
  <c r="M246" i="2"/>
  <c r="L246" i="2" s="1"/>
  <c r="M162" i="2"/>
  <c r="L162" i="2" s="1"/>
  <c r="M143" i="2"/>
  <c r="L143" i="2" s="1"/>
  <c r="M116" i="2"/>
  <c r="L116" i="2" s="1"/>
  <c r="M7" i="2"/>
  <c r="M64" i="2"/>
  <c r="L64" i="2" s="1"/>
  <c r="M273" i="2"/>
  <c r="L273" i="2" s="1"/>
  <c r="M278" i="2"/>
  <c r="L278" i="2" s="1"/>
  <c r="M144" i="2"/>
  <c r="L144" i="2" s="1"/>
  <c r="M23" i="2"/>
  <c r="L23" i="2" s="1"/>
  <c r="M89" i="2"/>
  <c r="L89" i="2" s="1"/>
  <c r="M248" i="2"/>
  <c r="L248" i="2" s="1"/>
  <c r="M156" i="2"/>
  <c r="L156" i="2" s="1"/>
  <c r="M55" i="2"/>
  <c r="L55" i="2" s="1"/>
  <c r="M16" i="2"/>
  <c r="L16" i="2" s="1"/>
  <c r="M241" i="2"/>
  <c r="L241" i="2" s="1"/>
  <c r="M122" i="2"/>
  <c r="L122" i="2" s="1"/>
  <c r="M38" i="2"/>
  <c r="L38" i="2" s="1"/>
  <c r="M289" i="2"/>
  <c r="L289" i="2" s="1"/>
  <c r="M270" i="2"/>
  <c r="L270" i="2" s="1"/>
  <c r="M223" i="2"/>
  <c r="L223" i="2" s="1"/>
  <c r="M196" i="2"/>
  <c r="L196" i="2" s="1"/>
  <c r="M221" i="2"/>
  <c r="L221" i="2" s="1"/>
  <c r="M115" i="2"/>
  <c r="L115" i="2" s="1"/>
  <c r="M172" i="2"/>
  <c r="L172" i="2" s="1"/>
  <c r="M98" i="2"/>
  <c r="L98" i="2" s="1"/>
  <c r="M119" i="2"/>
  <c r="L119" i="2" s="1"/>
  <c r="M288" i="2"/>
  <c r="L288" i="2" s="1"/>
  <c r="M215" i="2"/>
  <c r="L215" i="2" s="1"/>
  <c r="M274" i="2"/>
  <c r="L274" i="2" s="1"/>
  <c r="M158" i="2"/>
  <c r="L158" i="2" s="1"/>
  <c r="M125" i="2"/>
  <c r="L125" i="2" s="1"/>
  <c r="M86" i="2"/>
  <c r="L86" i="2" s="1"/>
  <c r="M267" i="2"/>
  <c r="L267" i="2" s="1"/>
  <c r="M177" i="2"/>
  <c r="L177" i="2" s="1"/>
  <c r="M138" i="2"/>
  <c r="L138" i="2" s="1"/>
  <c r="M62" i="2"/>
  <c r="L62" i="2" s="1"/>
  <c r="M193" i="2"/>
  <c r="L193" i="2" s="1"/>
  <c r="M286" i="2"/>
  <c r="L286" i="2" s="1"/>
  <c r="M239" i="2"/>
  <c r="L239" i="2" s="1"/>
  <c r="M212" i="2"/>
  <c r="L212" i="2" s="1"/>
  <c r="M45" i="2"/>
  <c r="L45" i="2" s="1"/>
  <c r="M135" i="2"/>
  <c r="L135" i="2" s="1"/>
  <c r="M192" i="2"/>
  <c r="L192" i="2" s="1"/>
  <c r="M133" i="2"/>
  <c r="L133" i="2" s="1"/>
  <c r="M147" i="2"/>
  <c r="L147" i="2" s="1"/>
  <c r="M233" i="2"/>
  <c r="L233" i="2" s="1"/>
  <c r="M251" i="2"/>
  <c r="L251" i="2" s="1"/>
  <c r="M19" i="2"/>
  <c r="L19" i="2" s="1"/>
  <c r="M222" i="2"/>
  <c r="L222" i="2" s="1"/>
  <c r="M190" i="2"/>
  <c r="L190" i="2" s="1"/>
  <c r="M258" i="2"/>
  <c r="L258" i="2" s="1"/>
  <c r="M268" i="2"/>
  <c r="L268" i="2" s="1"/>
  <c r="M26" i="2"/>
  <c r="L26" i="2" s="1"/>
  <c r="M65" i="2"/>
  <c r="L65" i="2" s="1"/>
  <c r="M230" i="2"/>
  <c r="L230" i="2" s="1"/>
  <c r="M134" i="2"/>
  <c r="L134" i="2" s="1"/>
  <c r="M127" i="2"/>
  <c r="L127" i="2" s="1"/>
  <c r="M100" i="2"/>
  <c r="L100" i="2" s="1"/>
  <c r="M73" i="2"/>
  <c r="L73" i="2" s="1"/>
  <c r="M290" i="2"/>
  <c r="L290" i="2" s="1"/>
  <c r="M44" i="2"/>
  <c r="L44" i="2" s="1"/>
  <c r="M197" i="2"/>
  <c r="L197" i="2" s="1"/>
  <c r="M242" i="2"/>
  <c r="L242" i="2" s="1"/>
  <c r="M120" i="2"/>
  <c r="L120" i="2" s="1"/>
  <c r="M294" i="2"/>
  <c r="L294" i="2" s="1"/>
  <c r="M249" i="2"/>
  <c r="L249" i="2" s="1"/>
  <c r="M188" i="2"/>
  <c r="L188" i="2" s="1"/>
  <c r="M104" i="2"/>
  <c r="L104" i="2" s="1"/>
  <c r="M234" i="2"/>
  <c r="L234" i="2" s="1"/>
  <c r="M298" i="2"/>
  <c r="L298" i="2" s="1"/>
  <c r="M291" i="2"/>
  <c r="L291" i="2" s="1"/>
  <c r="M101" i="2"/>
  <c r="L101" i="2" s="1"/>
  <c r="M250" i="2"/>
  <c r="L250" i="2" s="1"/>
  <c r="M207" i="2"/>
  <c r="L207" i="2" s="1"/>
  <c r="M180" i="2"/>
  <c r="L180" i="2" s="1"/>
  <c r="M91" i="2"/>
  <c r="L91" i="2" s="1"/>
  <c r="M152" i="2"/>
  <c r="L152" i="2" s="1"/>
  <c r="M54" i="2"/>
  <c r="L54" i="2" s="1"/>
  <c r="M87" i="2"/>
  <c r="L87" i="2" s="1"/>
  <c r="M264" i="2"/>
  <c r="L264" i="2" s="1"/>
  <c r="M183" i="2"/>
  <c r="L183" i="2" s="1"/>
  <c r="M218" i="2"/>
  <c r="L218" i="2" s="1"/>
  <c r="M30" i="2"/>
  <c r="L30" i="2" s="1"/>
  <c r="M57" i="2"/>
  <c r="L57" i="2" s="1"/>
  <c r="M185" i="2"/>
  <c r="L185" i="2" s="1"/>
  <c r="M43" i="2"/>
  <c r="L43" i="2" s="1"/>
  <c r="M304" i="2"/>
  <c r="L304" i="2" s="1"/>
  <c r="M296" i="2"/>
  <c r="L296" i="2" s="1"/>
  <c r="M126" i="2"/>
  <c r="L126" i="2" s="1"/>
  <c r="M189" i="2"/>
  <c r="L189" i="2" s="1"/>
  <c r="M31" i="2"/>
  <c r="L31" i="2" s="1"/>
  <c r="M287" i="2"/>
  <c r="L287" i="2" s="1"/>
  <c r="M260" i="2"/>
  <c r="L260" i="2" s="1"/>
  <c r="M114" i="2"/>
  <c r="L114" i="2" s="1"/>
  <c r="M199" i="2"/>
  <c r="L199" i="2" s="1"/>
  <c r="M256" i="2"/>
  <c r="L256" i="2" s="1"/>
  <c r="M173" i="2"/>
  <c r="L173" i="2" s="1"/>
  <c r="M231" i="2"/>
  <c r="L231" i="2" s="1"/>
  <c r="M21" i="2"/>
  <c r="L21" i="2" s="1"/>
  <c r="M80" i="2"/>
  <c r="L80" i="2" s="1"/>
  <c r="M167" i="2"/>
  <c r="L167" i="2" s="1"/>
  <c r="M83" i="2"/>
  <c r="L83" i="2" s="1"/>
  <c r="M211" i="2"/>
  <c r="L211" i="2" s="1"/>
  <c r="M76" i="2"/>
  <c r="L76" i="2" s="1"/>
  <c r="M295" i="2"/>
  <c r="L295" i="2" s="1"/>
  <c r="M269" i="2"/>
  <c r="L269" i="2" s="1"/>
  <c r="M165" i="2"/>
  <c r="L165" i="2" s="1"/>
  <c r="M146" i="2"/>
  <c r="L146" i="2" s="1"/>
  <c r="M93" i="2"/>
  <c r="L93" i="2" s="1"/>
  <c r="M47" i="2"/>
  <c r="L47" i="2" s="1"/>
  <c r="M20" i="2"/>
  <c r="L20" i="2" s="1"/>
  <c r="M276" i="2"/>
  <c r="L276" i="2" s="1"/>
  <c r="M150" i="2"/>
  <c r="L150" i="2" s="1"/>
  <c r="M219" i="2"/>
  <c r="L219" i="2" s="1"/>
  <c r="M280" i="2"/>
  <c r="L280" i="2" s="1"/>
  <c r="M14" i="2"/>
  <c r="L14" i="2" s="1"/>
  <c r="M259" i="2"/>
  <c r="L259" i="2" s="1"/>
  <c r="M285" i="2"/>
  <c r="L285" i="2" s="1"/>
  <c r="M124" i="2"/>
  <c r="L124" i="2" s="1"/>
  <c r="M227" i="2"/>
  <c r="L227" i="2" s="1"/>
  <c r="M131" i="2"/>
  <c r="L131" i="2" s="1"/>
  <c r="M28" i="2"/>
  <c r="L28" i="2" s="1"/>
  <c r="M220" i="2"/>
  <c r="L220" i="2" s="1"/>
  <c r="M301" i="2"/>
  <c r="L301" i="2" s="1"/>
  <c r="M90" i="2"/>
  <c r="L90" i="2" s="1"/>
  <c r="M61" i="2"/>
  <c r="L61" i="2" s="1"/>
  <c r="M213" i="2"/>
  <c r="L213" i="2" s="1"/>
  <c r="M226" i="2"/>
  <c r="L226" i="2" s="1"/>
  <c r="M191" i="2"/>
  <c r="L191" i="2" s="1"/>
  <c r="M164" i="2"/>
  <c r="L164" i="2" s="1"/>
  <c r="M161" i="2"/>
  <c r="L161" i="2" s="1"/>
  <c r="M71" i="2"/>
  <c r="L71" i="2" s="1"/>
  <c r="M128" i="2"/>
  <c r="L128" i="2" s="1"/>
  <c r="M29" i="2"/>
  <c r="L29" i="2" s="1"/>
  <c r="M59" i="2"/>
  <c r="L59" i="2" s="1"/>
  <c r="M232" i="2"/>
  <c r="L232" i="2" s="1"/>
  <c r="M139" i="2"/>
  <c r="L139" i="2" s="1"/>
  <c r="M130" i="2"/>
  <c r="L130" i="2" s="1"/>
  <c r="M129" i="2"/>
  <c r="L129" i="2" s="1"/>
  <c r="M281" i="2"/>
  <c r="L281" i="2" s="1"/>
  <c r="M184" i="2"/>
  <c r="L184" i="2" s="1"/>
  <c r="M151" i="2"/>
  <c r="L151" i="2" s="1"/>
  <c r="M49" i="2"/>
  <c r="L49" i="2" s="1"/>
  <c r="M261" i="2"/>
  <c r="L261" i="2" s="1"/>
  <c r="M102" i="2"/>
  <c r="L102" i="2" s="1"/>
  <c r="M293" i="2"/>
  <c r="L293" i="2" s="1"/>
  <c r="M271" i="2"/>
  <c r="L271" i="2" s="1"/>
  <c r="M244" i="2"/>
  <c r="L244" i="2" s="1"/>
  <c r="M70" i="2"/>
  <c r="L70" i="2" s="1"/>
  <c r="M179" i="2"/>
  <c r="L179" i="2" s="1"/>
  <c r="M236" i="2"/>
  <c r="L236" i="2" s="1"/>
  <c r="M33" i="2"/>
  <c r="L33" i="2" s="1"/>
  <c r="M203" i="2"/>
  <c r="L203" i="2" s="1"/>
  <c r="M69" i="2"/>
  <c r="L69" i="2" s="1"/>
  <c r="M48" i="2"/>
  <c r="L48" i="2" s="1"/>
  <c r="M123" i="2"/>
  <c r="L123" i="2" s="1"/>
  <c r="M39" i="2"/>
  <c r="L39" i="2" s="1"/>
  <c r="M107" i="2"/>
  <c r="L107" i="2" s="1"/>
  <c r="M247" i="2"/>
  <c r="L247" i="2" s="1"/>
  <c r="M277" i="2"/>
  <c r="L277" i="2" s="1"/>
  <c r="M77" i="2"/>
  <c r="L77" i="2" s="1"/>
  <c r="M225" i="2"/>
  <c r="L225" i="2" s="1"/>
  <c r="M198" i="2"/>
  <c r="L198" i="2" s="1"/>
  <c r="M78" i="2"/>
  <c r="L78" i="2" s="1"/>
  <c r="M95" i="2"/>
  <c r="L95" i="2" s="1"/>
  <c r="M68" i="2"/>
  <c r="L68" i="2" s="1"/>
  <c r="M201" i="2"/>
  <c r="L201" i="2" s="1"/>
  <c r="M238" i="2"/>
  <c r="L238" i="2" s="1"/>
  <c r="M283" i="2"/>
  <c r="L283" i="2" s="1"/>
  <c r="M121" i="2"/>
  <c r="L121" i="2" s="1"/>
  <c r="M170" i="2"/>
  <c r="L170" i="2" s="1"/>
  <c r="M60" i="2"/>
  <c r="L60" i="2" s="1"/>
  <c r="M194" i="2"/>
  <c r="L194" i="2" s="1"/>
  <c r="M240" i="2"/>
  <c r="L240" i="2" s="1"/>
  <c r="M96" i="2"/>
  <c r="L96" i="2" s="1"/>
  <c r="M279" i="2"/>
  <c r="L279" i="2" s="1"/>
  <c r="M169" i="2"/>
  <c r="L169" i="2" s="1"/>
  <c r="M163" i="2"/>
  <c r="L163" i="2" s="1"/>
  <c r="M245" i="2"/>
  <c r="L245" i="2" s="1"/>
  <c r="M10" i="2"/>
  <c r="L10" i="2" s="1"/>
  <c r="M145" i="2"/>
  <c r="L145" i="2" s="1"/>
  <c r="M214" i="2"/>
  <c r="L214" i="2" s="1"/>
  <c r="M110" i="2"/>
  <c r="L110" i="2" s="1"/>
  <c r="M111" i="2"/>
  <c r="L111" i="2" s="1"/>
  <c r="M84" i="2"/>
  <c r="L84" i="2" s="1"/>
  <c r="M137" i="2"/>
  <c r="L137" i="2" s="1"/>
  <c r="M266" i="2"/>
  <c r="L266" i="2" s="1"/>
  <c r="M24" i="2"/>
  <c r="L24" i="2" s="1"/>
  <c r="M41" i="2"/>
  <c r="L41" i="2" s="1"/>
  <c r="M202" i="2"/>
  <c r="L202" i="2" s="1"/>
  <c r="M92" i="2"/>
  <c r="L92" i="2" s="1"/>
  <c r="M254" i="2"/>
  <c r="L254" i="2" s="1"/>
  <c r="M272" i="2"/>
  <c r="L272" i="2" s="1"/>
  <c r="M140" i="2"/>
  <c r="L140" i="2" s="1"/>
  <c r="M56" i="2"/>
  <c r="L56" i="2" s="1"/>
  <c r="M37" i="2"/>
  <c r="L37" i="2" s="1"/>
  <c r="M168" i="2"/>
  <c r="L168" i="2" s="1"/>
  <c r="M113" i="2"/>
  <c r="L113" i="2" s="1"/>
  <c r="M154" i="2"/>
  <c r="L154" i="2" s="1"/>
  <c r="M82" i="2"/>
  <c r="L82" i="2" s="1"/>
  <c r="M81" i="2"/>
  <c r="L81" i="2" s="1"/>
  <c r="M302" i="2"/>
  <c r="L302" i="2" s="1"/>
  <c r="M255" i="2"/>
  <c r="L255" i="2" s="1"/>
  <c r="M228" i="2"/>
  <c r="L228" i="2" s="1"/>
  <c r="M34" i="2"/>
  <c r="L34" i="2" s="1"/>
  <c r="M155" i="2"/>
  <c r="L155" i="2" s="1"/>
  <c r="M216" i="2"/>
  <c r="L216" i="2" s="1"/>
  <c r="M257" i="2"/>
  <c r="L257" i="2" s="1"/>
  <c r="M171" i="2"/>
  <c r="L171" i="2" s="1"/>
  <c r="M105" i="2"/>
  <c r="L105" i="2" s="1"/>
  <c r="M12" i="2"/>
  <c r="L12" i="2" s="1"/>
  <c r="M75" i="2"/>
  <c r="L75" i="2" s="1"/>
  <c r="M282" i="2"/>
  <c r="L282" i="2" s="1"/>
  <c r="M11" i="2"/>
  <c r="L11" i="2" s="1"/>
  <c r="M99" i="2"/>
  <c r="L99" i="2" s="1"/>
  <c r="M284" i="2"/>
  <c r="L284" i="2" s="1"/>
  <c r="M300" i="2"/>
  <c r="L300" i="2" s="1"/>
  <c r="M182" i="2"/>
  <c r="L182" i="2" s="1"/>
  <c r="M50" i="2"/>
  <c r="L50" i="2" s="1"/>
  <c r="M79" i="2"/>
  <c r="L79" i="2" s="1"/>
  <c r="M52" i="2"/>
  <c r="L52" i="2" s="1"/>
  <c r="M265" i="2"/>
  <c r="L265" i="2" s="1"/>
  <c r="M210" i="2"/>
  <c r="L210" i="2" s="1"/>
  <c r="M263" i="2"/>
  <c r="L263" i="2" s="1"/>
  <c r="M217" i="2"/>
  <c r="L217" i="2" s="1"/>
  <c r="M118" i="2"/>
  <c r="L118" i="2" s="1"/>
  <c r="M32" i="2"/>
  <c r="L32" i="2" s="1"/>
  <c r="M142" i="2"/>
  <c r="L142" i="2" s="1"/>
  <c r="M200" i="2"/>
  <c r="L200" i="2" s="1"/>
  <c r="M40" i="2"/>
  <c r="L40" i="2" s="1"/>
  <c r="M235" i="2"/>
  <c r="L235" i="2" s="1"/>
  <c r="M224" i="2"/>
  <c r="L224" i="2" s="1"/>
  <c r="M174" i="2"/>
  <c r="L174" i="2" s="1"/>
  <c r="M181" i="2"/>
  <c r="L181" i="2" s="1"/>
  <c r="M58" i="2"/>
  <c r="L58" i="2" s="1"/>
  <c r="M237" i="2"/>
  <c r="L237" i="2" s="1"/>
  <c r="M262" i="2"/>
  <c r="L262" i="2" s="1"/>
  <c r="M186" i="2"/>
  <c r="L186" i="2" s="1"/>
  <c r="M159" i="2"/>
  <c r="L159" i="2" s="1"/>
  <c r="M132" i="2"/>
  <c r="L132" i="2" s="1"/>
  <c r="M149" i="2"/>
  <c r="L149" i="2" s="1"/>
  <c r="M27" i="2"/>
  <c r="L27" i="2" s="1"/>
  <c r="M88" i="2"/>
  <c r="L88" i="2" s="1"/>
  <c r="M97" i="2"/>
  <c r="L97" i="2" s="1"/>
  <c r="P6" i="2"/>
  <c r="O6" i="2" s="1"/>
  <c r="J3" i="5" s="1"/>
  <c r="L6" i="2"/>
  <c r="M176" i="2"/>
  <c r="L176" i="2" s="1"/>
  <c r="M67" i="2"/>
  <c r="L67" i="2" s="1"/>
  <c r="M209" i="2"/>
  <c r="L209" i="2" s="1"/>
  <c r="M297" i="2"/>
  <c r="L297" i="2" s="1"/>
  <c r="M208" i="2"/>
  <c r="L208" i="2" s="1"/>
  <c r="M195" i="2"/>
  <c r="L195" i="2" s="1"/>
  <c r="M94" i="2"/>
  <c r="L94" i="2" s="1"/>
  <c r="M117" i="2"/>
  <c r="L117" i="2" s="1"/>
  <c r="M74" i="2"/>
  <c r="L74" i="2" s="1"/>
  <c r="M157" i="2"/>
  <c r="L157" i="2" s="1"/>
  <c r="M229" i="2"/>
  <c r="L229" i="2" s="1"/>
  <c r="M206" i="2"/>
  <c r="L206" i="2" s="1"/>
  <c r="M175" i="2"/>
  <c r="L175" i="2" s="1"/>
  <c r="M148" i="2"/>
  <c r="L148" i="2" s="1"/>
  <c r="M305" i="2"/>
  <c r="L305" i="2" s="1"/>
  <c r="M51" i="2"/>
  <c r="L51" i="2" s="1"/>
  <c r="M108" i="2"/>
  <c r="L108" i="2" s="1"/>
  <c r="M253" i="2"/>
  <c r="L253" i="2" s="1"/>
  <c r="M35" i="2"/>
  <c r="L35" i="2" s="1"/>
  <c r="M204" i="2"/>
  <c r="L204" i="2" s="1"/>
  <c r="M103" i="2"/>
  <c r="L103" i="2" s="1"/>
  <c r="M109" i="2"/>
  <c r="L109" i="2" s="1"/>
  <c r="M153" i="2"/>
  <c r="L153" i="2" s="1"/>
  <c r="M252" i="2"/>
  <c r="L252" i="2" s="1"/>
  <c r="M72" i="2"/>
  <c r="L72" i="2" s="1"/>
  <c r="M112" i="2"/>
  <c r="L112" i="2" s="1"/>
  <c r="M205" i="2"/>
  <c r="L205" i="2" s="1"/>
  <c r="M85" i="2"/>
  <c r="L85" i="2" s="1"/>
  <c r="M166" i="2"/>
  <c r="L166" i="2" s="1"/>
  <c r="M22" i="2"/>
  <c r="L22" i="2" s="1"/>
  <c r="M63" i="2"/>
  <c r="L63" i="2" s="1"/>
  <c r="M36" i="2"/>
  <c r="L36" i="2" s="1"/>
  <c r="M303" i="2"/>
  <c r="L303" i="2" s="1"/>
  <c r="M178" i="2"/>
  <c r="L178" i="2" s="1"/>
  <c r="M243" i="2"/>
  <c r="L243" i="2" s="1"/>
  <c r="M292" i="2"/>
  <c r="L292" i="2" s="1"/>
  <c r="M66" i="2"/>
  <c r="L66" i="2" s="1"/>
  <c r="M8" i="2"/>
  <c r="M46" i="2"/>
  <c r="L46" i="2" s="1"/>
  <c r="M160" i="2"/>
  <c r="L160" i="2" s="1"/>
  <c r="M275" i="2"/>
  <c r="L275" i="2" s="1"/>
  <c r="M187" i="2"/>
  <c r="L187" i="2" s="1"/>
  <c r="M136" i="2"/>
  <c r="L136" i="2" s="1"/>
  <c r="M25" i="2"/>
  <c r="L25" i="2" s="1"/>
  <c r="M13" i="2"/>
  <c r="L13" i="2" s="1"/>
  <c r="Y4" i="4"/>
  <c r="Z4" i="4" s="1"/>
  <c r="J32" i="4"/>
  <c r="J16" i="4"/>
  <c r="J28" i="4"/>
  <c r="J14" i="4"/>
  <c r="J15" i="4"/>
  <c r="J23" i="4"/>
  <c r="J31" i="4"/>
  <c r="J40" i="4"/>
  <c r="J48" i="4"/>
  <c r="J56" i="4"/>
  <c r="J64" i="4"/>
  <c r="J72" i="4"/>
  <c r="J80" i="4"/>
  <c r="J88" i="4"/>
  <c r="J96" i="4"/>
  <c r="J104" i="4"/>
  <c r="J112" i="4"/>
  <c r="J120" i="4"/>
  <c r="J128" i="4"/>
  <c r="J136" i="4"/>
  <c r="J144" i="4"/>
  <c r="J152" i="4"/>
  <c r="J160" i="4"/>
  <c r="J168" i="4"/>
  <c r="J176" i="4"/>
  <c r="J184" i="4"/>
  <c r="J192" i="4"/>
  <c r="J200" i="4"/>
  <c r="J39" i="4"/>
  <c r="J47" i="4"/>
  <c r="J55" i="4"/>
  <c r="J63" i="4"/>
  <c r="J71" i="4"/>
  <c r="J79" i="4"/>
  <c r="J87" i="4"/>
  <c r="J95" i="4"/>
  <c r="J103" i="4"/>
  <c r="J111" i="4"/>
  <c r="J119" i="4"/>
  <c r="J127" i="4"/>
  <c r="J135" i="4"/>
  <c r="J143" i="4"/>
  <c r="J151" i="4"/>
  <c r="J159" i="4"/>
  <c r="J167" i="4"/>
  <c r="J175" i="4"/>
  <c r="J183" i="4"/>
  <c r="J191" i="4"/>
  <c r="J199" i="4"/>
  <c r="J18" i="4"/>
  <c r="J30" i="4"/>
  <c r="J20" i="4"/>
  <c r="J9" i="4"/>
  <c r="J17" i="4"/>
  <c r="J25" i="4"/>
  <c r="J34" i="4"/>
  <c r="J42" i="4"/>
  <c r="J50" i="4"/>
  <c r="J58" i="4"/>
  <c r="J66" i="4"/>
  <c r="J74" i="4"/>
  <c r="J82" i="4"/>
  <c r="J90" i="4"/>
  <c r="J98" i="4"/>
  <c r="J106" i="4"/>
  <c r="J114" i="4"/>
  <c r="J122" i="4"/>
  <c r="J130" i="4"/>
  <c r="J138" i="4"/>
  <c r="J146" i="4"/>
  <c r="J154" i="4"/>
  <c r="J162" i="4"/>
  <c r="J170" i="4"/>
  <c r="J178" i="4"/>
  <c r="J186" i="4"/>
  <c r="J194" i="4"/>
  <c r="J33" i="4"/>
  <c r="J41" i="4"/>
  <c r="J49" i="4"/>
  <c r="J57" i="4"/>
  <c r="J65" i="4"/>
  <c r="J73" i="4"/>
  <c r="J81" i="4"/>
  <c r="J89" i="4"/>
  <c r="J97" i="4"/>
  <c r="J105" i="4"/>
  <c r="J113" i="4"/>
  <c r="J121" i="4"/>
  <c r="J129" i="4"/>
  <c r="J137" i="4"/>
  <c r="J145" i="4"/>
  <c r="J153" i="4"/>
  <c r="J161" i="4"/>
  <c r="J169" i="4"/>
  <c r="J177" i="4"/>
  <c r="J185" i="4"/>
  <c r="J193" i="4"/>
  <c r="J201" i="4"/>
  <c r="J8" i="4"/>
  <c r="J22" i="4"/>
  <c r="J26" i="4"/>
  <c r="J11" i="4"/>
  <c r="J19" i="4"/>
  <c r="J27" i="4"/>
  <c r="J36" i="4"/>
  <c r="J44" i="4"/>
  <c r="J52" i="4"/>
  <c r="J60" i="4"/>
  <c r="J68" i="4"/>
  <c r="J76" i="4"/>
  <c r="J84" i="4"/>
  <c r="J92" i="4"/>
  <c r="J100" i="4"/>
  <c r="J108" i="4"/>
  <c r="J116" i="4"/>
  <c r="J124" i="4"/>
  <c r="J132" i="4"/>
  <c r="J140" i="4"/>
  <c r="J148" i="4"/>
  <c r="J156" i="4"/>
  <c r="J164" i="4"/>
  <c r="J172" i="4"/>
  <c r="J180" i="4"/>
  <c r="J188" i="4"/>
  <c r="J196" i="4"/>
  <c r="J35" i="4"/>
  <c r="J43" i="4"/>
  <c r="J51" i="4"/>
  <c r="J59" i="4"/>
  <c r="J67" i="4"/>
  <c r="J75" i="4"/>
  <c r="J83" i="4"/>
  <c r="J91" i="4"/>
  <c r="J99" i="4"/>
  <c r="J107" i="4"/>
  <c r="J115" i="4"/>
  <c r="J123" i="4"/>
  <c r="J131" i="4"/>
  <c r="J139" i="4"/>
  <c r="J147" i="4"/>
  <c r="J155" i="4"/>
  <c r="J163" i="4"/>
  <c r="J171" i="4"/>
  <c r="J179" i="4"/>
  <c r="J187" i="4"/>
  <c r="J195" i="4"/>
  <c r="J10" i="4"/>
  <c r="L7" i="4" s="1"/>
  <c r="J24" i="4"/>
  <c r="J12" i="4"/>
  <c r="J13" i="4"/>
  <c r="J21" i="4"/>
  <c r="J29" i="4"/>
  <c r="J38" i="4"/>
  <c r="J46" i="4"/>
  <c r="J54" i="4"/>
  <c r="J62" i="4"/>
  <c r="J70" i="4"/>
  <c r="J78" i="4"/>
  <c r="J86" i="4"/>
  <c r="J94" i="4"/>
  <c r="J102" i="4"/>
  <c r="J110" i="4"/>
  <c r="J118" i="4"/>
  <c r="J126" i="4"/>
  <c r="J134" i="4"/>
  <c r="J142" i="4"/>
  <c r="J150" i="4"/>
  <c r="J158" i="4"/>
  <c r="J166" i="4"/>
  <c r="J174" i="4"/>
  <c r="J182" i="4"/>
  <c r="J190" i="4"/>
  <c r="J198" i="4"/>
  <c r="J37" i="4"/>
  <c r="J45" i="4"/>
  <c r="J53" i="4"/>
  <c r="J61" i="4"/>
  <c r="J69" i="4"/>
  <c r="J77" i="4"/>
  <c r="J85" i="4"/>
  <c r="J93" i="4"/>
  <c r="J101" i="4"/>
  <c r="J109" i="4"/>
  <c r="J117" i="4"/>
  <c r="J125" i="4"/>
  <c r="J133" i="4"/>
  <c r="J141" i="4"/>
  <c r="J149" i="4"/>
  <c r="J157" i="4"/>
  <c r="J165" i="4"/>
  <c r="J173" i="4"/>
  <c r="J181" i="4"/>
  <c r="J189" i="4"/>
  <c r="J197" i="4"/>
  <c r="Y5" i="4"/>
  <c r="Z5" i="4" s="1"/>
  <c r="Y6" i="4"/>
  <c r="Y8" i="4"/>
  <c r="Z8" i="4" s="1"/>
  <c r="Y12" i="4"/>
  <c r="Z12" i="4" s="1"/>
  <c r="Y16" i="4"/>
  <c r="Y20" i="4"/>
  <c r="Y24" i="4"/>
  <c r="Y28" i="4"/>
  <c r="Y32" i="4"/>
  <c r="Y36" i="4"/>
  <c r="Y40" i="4"/>
  <c r="Y44" i="4"/>
  <c r="Y48" i="4"/>
  <c r="Y52" i="4"/>
  <c r="Y56" i="4"/>
  <c r="Y60" i="4"/>
  <c r="Y64" i="4"/>
  <c r="Y68" i="4"/>
  <c r="Y72" i="4"/>
  <c r="Y76" i="4"/>
  <c r="Y80" i="4"/>
  <c r="Y84" i="4"/>
  <c r="Y88" i="4"/>
  <c r="Y92" i="4"/>
  <c r="Y96" i="4"/>
  <c r="Y100" i="4"/>
  <c r="Y104" i="4"/>
  <c r="Y108" i="4"/>
  <c r="Y112" i="4"/>
  <c r="Y116" i="4"/>
  <c r="Y120" i="4"/>
  <c r="Y124" i="4"/>
  <c r="Y128" i="4"/>
  <c r="Y132" i="4"/>
  <c r="Y136" i="4"/>
  <c r="Y140" i="4"/>
  <c r="Y144" i="4"/>
  <c r="Y148" i="4"/>
  <c r="Y152" i="4"/>
  <c r="Y156" i="4"/>
  <c r="Y160" i="4"/>
  <c r="Y164" i="4"/>
  <c r="Y168" i="4"/>
  <c r="Y172" i="4"/>
  <c r="Y176" i="4"/>
  <c r="Y180" i="4"/>
  <c r="Y184" i="4"/>
  <c r="Y188" i="4"/>
  <c r="Y192" i="4"/>
  <c r="Y196" i="4"/>
  <c r="Y200" i="4"/>
  <c r="Y150" i="4"/>
  <c r="Y166" i="4"/>
  <c r="Y178" i="4"/>
  <c r="Y190" i="4"/>
  <c r="Y139" i="4"/>
  <c r="Y155" i="4"/>
  <c r="Y167" i="4"/>
  <c r="Y183" i="4"/>
  <c r="Y199" i="4"/>
  <c r="Y9" i="4"/>
  <c r="Y13" i="4"/>
  <c r="Z13" i="4" s="1"/>
  <c r="Y17" i="4"/>
  <c r="Y21" i="4"/>
  <c r="Y25" i="4"/>
  <c r="Y29" i="4"/>
  <c r="Y33" i="4"/>
  <c r="Y37" i="4"/>
  <c r="Y41" i="4"/>
  <c r="Y45" i="4"/>
  <c r="Y49" i="4"/>
  <c r="Y53" i="4"/>
  <c r="Y57" i="4"/>
  <c r="Y61" i="4"/>
  <c r="Y65" i="4"/>
  <c r="Y69" i="4"/>
  <c r="Y73" i="4"/>
  <c r="Y77" i="4"/>
  <c r="Y81" i="4"/>
  <c r="Y85" i="4"/>
  <c r="Y89" i="4"/>
  <c r="Y93" i="4"/>
  <c r="Y97" i="4"/>
  <c r="Y101" i="4"/>
  <c r="Y105" i="4"/>
  <c r="Y109" i="4"/>
  <c r="Y113" i="4"/>
  <c r="Y117" i="4"/>
  <c r="Y121" i="4"/>
  <c r="Y125" i="4"/>
  <c r="Y129" i="4"/>
  <c r="Y133" i="4"/>
  <c r="Y137" i="4"/>
  <c r="Y141" i="4"/>
  <c r="Y145" i="4"/>
  <c r="Y149" i="4"/>
  <c r="Y153" i="4"/>
  <c r="Y157" i="4"/>
  <c r="Y161" i="4"/>
  <c r="Y165" i="4"/>
  <c r="Y169" i="4"/>
  <c r="Y173" i="4"/>
  <c r="Y177" i="4"/>
  <c r="Y181" i="4"/>
  <c r="Y185" i="4"/>
  <c r="Y189" i="4"/>
  <c r="Y193" i="4"/>
  <c r="Y197" i="4"/>
  <c r="Y201" i="4"/>
  <c r="Y146" i="4"/>
  <c r="Y158" i="4"/>
  <c r="Y170" i="4"/>
  <c r="Y182" i="4"/>
  <c r="Y194" i="4"/>
  <c r="Y135" i="4"/>
  <c r="Y151" i="4"/>
  <c r="Y171" i="4"/>
  <c r="Y187" i="4"/>
  <c r="Y10" i="4"/>
  <c r="Z10" i="4" s="1"/>
  <c r="Y14" i="4"/>
  <c r="Z14" i="4" s="1"/>
  <c r="Y18" i="4"/>
  <c r="Y22" i="4"/>
  <c r="Y26" i="4"/>
  <c r="Y30" i="4"/>
  <c r="Y34" i="4"/>
  <c r="Y38" i="4"/>
  <c r="Y42" i="4"/>
  <c r="Y46" i="4"/>
  <c r="Y50" i="4"/>
  <c r="Y54" i="4"/>
  <c r="Y58" i="4"/>
  <c r="Y62" i="4"/>
  <c r="Y66" i="4"/>
  <c r="Y70" i="4"/>
  <c r="Y74" i="4"/>
  <c r="Y78" i="4"/>
  <c r="Y82" i="4"/>
  <c r="Y86" i="4"/>
  <c r="Y90" i="4"/>
  <c r="Y94" i="4"/>
  <c r="Y98" i="4"/>
  <c r="Y102" i="4"/>
  <c r="Y106" i="4"/>
  <c r="Y110" i="4"/>
  <c r="Y114" i="4"/>
  <c r="Y118" i="4"/>
  <c r="Y122" i="4"/>
  <c r="Y126" i="4"/>
  <c r="Y130" i="4"/>
  <c r="Y134" i="4"/>
  <c r="Y138" i="4"/>
  <c r="Y142" i="4"/>
  <c r="Y154" i="4"/>
  <c r="Y162" i="4"/>
  <c r="Y174" i="4"/>
  <c r="Y186" i="4"/>
  <c r="Y198" i="4"/>
  <c r="Y143" i="4"/>
  <c r="Y163" i="4"/>
  <c r="Y179" i="4"/>
  <c r="Y195" i="4"/>
  <c r="Y7" i="4"/>
  <c r="Y11" i="4"/>
  <c r="Z11" i="4" s="1"/>
  <c r="Y15" i="4"/>
  <c r="Y19" i="4"/>
  <c r="Y23" i="4"/>
  <c r="Y27" i="4"/>
  <c r="Y31" i="4"/>
  <c r="Y35" i="4"/>
  <c r="Y39" i="4"/>
  <c r="Y43" i="4"/>
  <c r="Y47" i="4"/>
  <c r="Y51" i="4"/>
  <c r="Y55" i="4"/>
  <c r="Y59" i="4"/>
  <c r="Y63" i="4"/>
  <c r="Y67" i="4"/>
  <c r="Y71" i="4"/>
  <c r="Y75" i="4"/>
  <c r="Y79" i="4"/>
  <c r="Y83" i="4"/>
  <c r="Y87" i="4"/>
  <c r="Y91" i="4"/>
  <c r="Y95" i="4"/>
  <c r="Y99" i="4"/>
  <c r="Y103" i="4"/>
  <c r="Y107" i="4"/>
  <c r="Y111" i="4"/>
  <c r="Y115" i="4"/>
  <c r="Y119" i="4"/>
  <c r="Y123" i="4"/>
  <c r="Y127" i="4"/>
  <c r="Y131" i="4"/>
  <c r="Y147" i="4"/>
  <c r="Y159" i="4"/>
  <c r="Y175" i="4"/>
  <c r="Y191" i="4"/>
  <c r="B10" i="2" l="1"/>
  <c r="A10" i="2" s="1"/>
  <c r="F3" i="5"/>
  <c r="E6" i="6" s="1"/>
  <c r="B3" i="6" s="1"/>
  <c r="E7" i="2"/>
  <c r="D7" i="2" s="1"/>
  <c r="B4" i="5" s="1"/>
  <c r="B14" i="2"/>
  <c r="A14" i="2" s="1"/>
  <c r="B8" i="2"/>
  <c r="A8" i="2" s="1"/>
  <c r="B15" i="2"/>
  <c r="A15" i="2" s="1"/>
  <c r="B11" i="2"/>
  <c r="A11" i="2" s="1"/>
  <c r="AB3" i="5"/>
  <c r="A6" i="2"/>
  <c r="AB7" i="5"/>
  <c r="B9" i="2"/>
  <c r="A9" i="2" s="1"/>
  <c r="B7" i="2"/>
  <c r="A7" i="2" s="1"/>
  <c r="B13" i="2"/>
  <c r="A13" i="2" s="1"/>
  <c r="B12" i="2"/>
  <c r="A12" i="2" s="1"/>
  <c r="Y3" i="2"/>
  <c r="D6" i="2"/>
  <c r="L6" i="4"/>
  <c r="L5" i="4"/>
  <c r="L4" i="4"/>
  <c r="H6" i="6"/>
  <c r="P7" i="2"/>
  <c r="Z7" i="4"/>
  <c r="AA8" i="4" s="1"/>
  <c r="AD8" i="4" s="1"/>
  <c r="Z6" i="4"/>
  <c r="Z9" i="4"/>
  <c r="AA150" i="4" s="1"/>
  <c r="AD150" i="4" s="1"/>
  <c r="L16" i="4"/>
  <c r="L22" i="4"/>
  <c r="L32" i="4"/>
  <c r="L44" i="4"/>
  <c r="L132" i="4"/>
  <c r="L180" i="4"/>
  <c r="L190" i="4"/>
  <c r="L36" i="4"/>
  <c r="L52" i="4"/>
  <c r="L60" i="4"/>
  <c r="L76" i="4"/>
  <c r="L84" i="4"/>
  <c r="L94" i="4"/>
  <c r="L118" i="4"/>
  <c r="L130" i="4"/>
  <c r="L138" i="4"/>
  <c r="L176" i="4"/>
  <c r="L11" i="4"/>
  <c r="L29" i="4"/>
  <c r="L37" i="4"/>
  <c r="L41" i="4"/>
  <c r="L45" i="4"/>
  <c r="L53" i="4"/>
  <c r="L57" i="4"/>
  <c r="L61" i="4"/>
  <c r="L69" i="4"/>
  <c r="L73" i="4"/>
  <c r="L77" i="4"/>
  <c r="L85" i="4"/>
  <c r="L89" i="4"/>
  <c r="L93" i="4"/>
  <c r="L101" i="4"/>
  <c r="L105" i="4"/>
  <c r="L109" i="4"/>
  <c r="L28" i="4"/>
  <c r="L40" i="4"/>
  <c r="L122" i="4"/>
  <c r="L150" i="4"/>
  <c r="L15" i="4"/>
  <c r="L48" i="4"/>
  <c r="L170" i="4"/>
  <c r="L117" i="4"/>
  <c r="L141" i="4"/>
  <c r="L153" i="4"/>
  <c r="L165" i="4"/>
  <c r="L189" i="4"/>
  <c r="L201" i="4"/>
  <c r="L8" i="4"/>
  <c r="L98" i="4"/>
  <c r="L110" i="4"/>
  <c r="L136" i="4"/>
  <c r="L148" i="4"/>
  <c r="L160" i="4"/>
  <c r="L172" i="4"/>
  <c r="L152" i="4"/>
  <c r="L192" i="4"/>
  <c r="L13" i="4"/>
  <c r="L17" i="4"/>
  <c r="L21" i="4"/>
  <c r="L25" i="4"/>
  <c r="L50" i="4"/>
  <c r="L58" i="4"/>
  <c r="L74" i="4"/>
  <c r="L82" i="4"/>
  <c r="L90" i="4"/>
  <c r="L114" i="4"/>
  <c r="L140" i="4"/>
  <c r="L164" i="4"/>
  <c r="L27" i="4"/>
  <c r="L119" i="4"/>
  <c r="L123" i="4"/>
  <c r="L131" i="4"/>
  <c r="L135" i="4"/>
  <c r="L139" i="4"/>
  <c r="L147" i="4"/>
  <c r="L151" i="4"/>
  <c r="L155" i="4"/>
  <c r="L163" i="4"/>
  <c r="L167" i="4"/>
  <c r="L171" i="4"/>
  <c r="L179" i="4"/>
  <c r="L183" i="4"/>
  <c r="L187" i="4"/>
  <c r="L195" i="4"/>
  <c r="L199" i="4"/>
  <c r="L184" i="4"/>
  <c r="L62" i="4"/>
  <c r="L86" i="4"/>
  <c r="L158" i="4"/>
  <c r="L125" i="4"/>
  <c r="L137" i="4"/>
  <c r="L149" i="4"/>
  <c r="L173" i="4"/>
  <c r="L185" i="4"/>
  <c r="L197" i="4"/>
  <c r="L10" i="4"/>
  <c r="L20" i="4"/>
  <c r="L18" i="4"/>
  <c r="L26" i="4"/>
  <c r="L126" i="4"/>
  <c r="L30" i="4"/>
  <c r="L42" i="4"/>
  <c r="L64" i="4"/>
  <c r="L72" i="4"/>
  <c r="L80" i="4"/>
  <c r="L100" i="4"/>
  <c r="L112" i="4"/>
  <c r="L124" i="4"/>
  <c r="L156" i="4"/>
  <c r="L168" i="4"/>
  <c r="L196" i="4"/>
  <c r="L9" i="4"/>
  <c r="L31" i="4"/>
  <c r="L35" i="4"/>
  <c r="L39" i="4"/>
  <c r="L43" i="4"/>
  <c r="L47" i="4"/>
  <c r="L51" i="4"/>
  <c r="L55" i="4"/>
  <c r="L59" i="4"/>
  <c r="L67" i="4"/>
  <c r="L71" i="4"/>
  <c r="L75" i="4"/>
  <c r="L79" i="4"/>
  <c r="L83" i="4"/>
  <c r="L87" i="4"/>
  <c r="L91" i="4"/>
  <c r="L95" i="4"/>
  <c r="L99" i="4"/>
  <c r="L103" i="4"/>
  <c r="L107" i="4"/>
  <c r="L111" i="4"/>
  <c r="L115" i="4"/>
  <c r="L34" i="4"/>
  <c r="L46" i="4"/>
  <c r="L128" i="4"/>
  <c r="L144" i="4"/>
  <c r="L182" i="4"/>
  <c r="L194" i="4"/>
  <c r="L14" i="4"/>
  <c r="L92" i="4"/>
  <c r="L104" i="4"/>
  <c r="L116" i="4"/>
  <c r="L142" i="4"/>
  <c r="L154" i="4"/>
  <c r="L166" i="4"/>
  <c r="L188" i="4"/>
  <c r="L146" i="4"/>
  <c r="L19" i="4"/>
  <c r="L54" i="4"/>
  <c r="L78" i="4"/>
  <c r="L108" i="4"/>
  <c r="L186" i="4"/>
  <c r="L121" i="4"/>
  <c r="L133" i="4"/>
  <c r="L145" i="4"/>
  <c r="L157" i="4"/>
  <c r="L169" i="4"/>
  <c r="L181" i="4"/>
  <c r="L193" i="4"/>
  <c r="L177" i="4"/>
  <c r="L113" i="4"/>
  <c r="L81" i="4"/>
  <c r="L49" i="4"/>
  <c r="L96" i="4"/>
  <c r="L174" i="4"/>
  <c r="L178" i="4"/>
  <c r="L175" i="4"/>
  <c r="L143" i="4"/>
  <c r="L120" i="4"/>
  <c r="L88" i="4"/>
  <c r="L56" i="4"/>
  <c r="L23" i="4"/>
  <c r="L198" i="4"/>
  <c r="L134" i="4"/>
  <c r="L102" i="4"/>
  <c r="L70" i="4"/>
  <c r="L38" i="4"/>
  <c r="L12" i="4"/>
  <c r="L68" i="4"/>
  <c r="L161" i="4"/>
  <c r="L129" i="4"/>
  <c r="L97" i="4"/>
  <c r="L65" i="4"/>
  <c r="L33" i="4"/>
  <c r="L106" i="4"/>
  <c r="L24" i="4"/>
  <c r="L162" i="4"/>
  <c r="L66" i="4"/>
  <c r="L191" i="4"/>
  <c r="L159" i="4"/>
  <c r="L127" i="4"/>
  <c r="L63" i="4"/>
  <c r="L200" i="4"/>
  <c r="AA105" i="4"/>
  <c r="AD105" i="4" s="1"/>
  <c r="AA18" i="4"/>
  <c r="AD18" i="4" s="1"/>
  <c r="AA146" i="4"/>
  <c r="AD146" i="4" s="1"/>
  <c r="AA15" i="4"/>
  <c r="AD15" i="4" s="1"/>
  <c r="AA144" i="4"/>
  <c r="AD144" i="4" s="1"/>
  <c r="AA176" i="4"/>
  <c r="AD176" i="4" s="1"/>
  <c r="L7" i="2"/>
  <c r="L8" i="2"/>
  <c r="AC3" i="5" l="1"/>
  <c r="AD3" i="5" s="1"/>
  <c r="B3" i="5"/>
  <c r="C3" i="5" s="1"/>
  <c r="C6" i="6" s="1"/>
  <c r="G3" i="5"/>
  <c r="F6" i="6" s="1"/>
  <c r="K3" i="5"/>
  <c r="I6" i="6" s="1"/>
  <c r="E8" i="2"/>
  <c r="D8" i="2" s="1"/>
  <c r="B5" i="5" s="1"/>
  <c r="AA174" i="4"/>
  <c r="AD174" i="4" s="1"/>
  <c r="AA48" i="4"/>
  <c r="AD48" i="4" s="1"/>
  <c r="AA44" i="4"/>
  <c r="AD44" i="4" s="1"/>
  <c r="AA123" i="4"/>
  <c r="AD123" i="4" s="1"/>
  <c r="O7" i="2"/>
  <c r="J4" i="5" s="1"/>
  <c r="P8" i="2"/>
  <c r="AA173" i="4"/>
  <c r="AD173" i="4" s="1"/>
  <c r="AA143" i="4"/>
  <c r="AD143" i="4" s="1"/>
  <c r="AA172" i="4"/>
  <c r="AD172" i="4" s="1"/>
  <c r="AA109" i="4"/>
  <c r="AD109" i="4" s="1"/>
  <c r="AA53" i="4"/>
  <c r="AD53" i="4" s="1"/>
  <c r="AA65" i="4"/>
  <c r="AD65" i="4" s="1"/>
  <c r="AA57" i="4"/>
  <c r="AD57" i="4" s="1"/>
  <c r="AA69" i="4"/>
  <c r="AD69" i="4" s="1"/>
  <c r="AA111" i="4"/>
  <c r="AD111" i="4" s="1"/>
  <c r="AA114" i="4"/>
  <c r="AD114" i="4" s="1"/>
  <c r="AA140" i="4"/>
  <c r="AD140" i="4" s="1"/>
  <c r="AA77" i="4"/>
  <c r="AD77" i="4" s="1"/>
  <c r="AA91" i="4"/>
  <c r="AD91" i="4" s="1"/>
  <c r="AA142" i="4"/>
  <c r="AD142" i="4" s="1"/>
  <c r="AA184" i="4"/>
  <c r="AD184" i="4" s="1"/>
  <c r="AA151" i="4"/>
  <c r="AD151" i="4" s="1"/>
  <c r="AA154" i="4"/>
  <c r="AD154" i="4" s="1"/>
  <c r="AA180" i="4"/>
  <c r="AD180" i="4" s="1"/>
  <c r="AA147" i="4"/>
  <c r="AD147" i="4" s="1"/>
  <c r="AA86" i="4"/>
  <c r="AD86" i="4" s="1"/>
  <c r="AA16" i="4"/>
  <c r="AD16" i="4" s="1"/>
  <c r="AA129" i="4"/>
  <c r="AD129" i="4" s="1"/>
  <c r="AA165" i="4"/>
  <c r="AD165" i="4" s="1"/>
  <c r="AA125" i="4"/>
  <c r="AD125" i="4" s="1"/>
  <c r="AA112" i="4"/>
  <c r="AD112" i="4" s="1"/>
  <c r="AA41" i="4"/>
  <c r="AD41" i="4" s="1"/>
  <c r="AA79" i="4"/>
  <c r="AD79" i="4" s="1"/>
  <c r="AA45" i="4"/>
  <c r="AD45" i="4" s="1"/>
  <c r="AA82" i="4"/>
  <c r="AD82" i="4" s="1"/>
  <c r="AA117" i="4"/>
  <c r="AD117" i="4" s="1"/>
  <c r="AA108" i="4"/>
  <c r="AD108" i="4" s="1"/>
  <c r="AA187" i="4"/>
  <c r="AD187" i="4" s="1"/>
  <c r="AA27" i="4"/>
  <c r="AD27" i="4" s="1"/>
  <c r="AA78" i="4"/>
  <c r="AD78" i="4" s="1"/>
  <c r="AA120" i="4"/>
  <c r="AD120" i="4" s="1"/>
  <c r="AA87" i="4"/>
  <c r="AD87" i="4" s="1"/>
  <c r="AA90" i="4"/>
  <c r="AD90" i="4" s="1"/>
  <c r="AA116" i="4"/>
  <c r="AD116" i="4" s="1"/>
  <c r="AA83" i="4"/>
  <c r="AD83" i="4" s="1"/>
  <c r="AA22" i="4"/>
  <c r="AD22" i="4" s="1"/>
  <c r="AA49" i="4"/>
  <c r="AD49" i="4" s="1"/>
  <c r="AA80" i="4"/>
  <c r="AD80" i="4" s="1"/>
  <c r="AA175" i="4"/>
  <c r="AD175" i="4" s="1"/>
  <c r="AA47" i="4"/>
  <c r="AD47" i="4" s="1"/>
  <c r="AA178" i="4"/>
  <c r="AD178" i="4" s="1"/>
  <c r="AA50" i="4"/>
  <c r="AD50" i="4" s="1"/>
  <c r="AA37" i="4"/>
  <c r="AD37" i="4" s="1"/>
  <c r="AA76" i="4"/>
  <c r="AD76" i="4" s="1"/>
  <c r="AA155" i="4"/>
  <c r="AD155" i="4" s="1"/>
  <c r="AA33" i="4"/>
  <c r="AD33" i="4" s="1"/>
  <c r="AA14" i="4"/>
  <c r="AD14" i="4" s="1"/>
  <c r="AA56" i="4"/>
  <c r="AD56" i="4" s="1"/>
  <c r="AA23" i="4"/>
  <c r="AD23" i="4" s="1"/>
  <c r="AA26" i="4"/>
  <c r="AD26" i="4" s="1"/>
  <c r="AA52" i="4"/>
  <c r="AD52" i="4" s="1"/>
  <c r="AA19" i="4"/>
  <c r="AD19" i="4" s="1"/>
  <c r="AA11" i="4"/>
  <c r="AD11" i="4" s="1"/>
  <c r="AA5" i="4"/>
  <c r="AD5" i="4" s="1"/>
  <c r="AA7" i="4"/>
  <c r="AD7" i="4" s="1"/>
  <c r="AC4" i="5"/>
  <c r="AE4" i="5" s="1"/>
  <c r="C4" i="5"/>
  <c r="AA4" i="4"/>
  <c r="AD4" i="4" s="1"/>
  <c r="AA6" i="4"/>
  <c r="AD6" i="4" s="1"/>
  <c r="AA153" i="4"/>
  <c r="AD153" i="4" s="1"/>
  <c r="AA192" i="4"/>
  <c r="AD192" i="4" s="1"/>
  <c r="AA128" i="4"/>
  <c r="AD128" i="4" s="1"/>
  <c r="AA64" i="4"/>
  <c r="AD64" i="4" s="1"/>
  <c r="AA89" i="4"/>
  <c r="AD89" i="4" s="1"/>
  <c r="AA159" i="4"/>
  <c r="AD159" i="4" s="1"/>
  <c r="AA95" i="4"/>
  <c r="AD95" i="4" s="1"/>
  <c r="AA31" i="4"/>
  <c r="AD31" i="4" s="1"/>
  <c r="AA93" i="4"/>
  <c r="AD93" i="4" s="1"/>
  <c r="AA162" i="4"/>
  <c r="AD162" i="4" s="1"/>
  <c r="AA98" i="4"/>
  <c r="AD98" i="4" s="1"/>
  <c r="AA34" i="4"/>
  <c r="AD34" i="4" s="1"/>
  <c r="AA149" i="4"/>
  <c r="AD149" i="4" s="1"/>
  <c r="AA188" i="4"/>
  <c r="AD188" i="4" s="1"/>
  <c r="AA124" i="4"/>
  <c r="AD124" i="4" s="1"/>
  <c r="AA60" i="4"/>
  <c r="AD60" i="4" s="1"/>
  <c r="AA29" i="4"/>
  <c r="AD29" i="4" s="1"/>
  <c r="AA139" i="4"/>
  <c r="AD139" i="4" s="1"/>
  <c r="AA75" i="4"/>
  <c r="AD75" i="4" s="1"/>
  <c r="AA169" i="4"/>
  <c r="AD169" i="4" s="1"/>
  <c r="AA190" i="4"/>
  <c r="AD190" i="4" s="1"/>
  <c r="AA126" i="4"/>
  <c r="AD126" i="4" s="1"/>
  <c r="AA62" i="4"/>
  <c r="AD62" i="4" s="1"/>
  <c r="AA185" i="4"/>
  <c r="AD185" i="4" s="1"/>
  <c r="AA73" i="4"/>
  <c r="AD73" i="4" s="1"/>
  <c r="AA168" i="4"/>
  <c r="AD168" i="4" s="1"/>
  <c r="AA104" i="4"/>
  <c r="AD104" i="4" s="1"/>
  <c r="AA40" i="4"/>
  <c r="AD40" i="4" s="1"/>
  <c r="AA199" i="4"/>
  <c r="AD199" i="4" s="1"/>
  <c r="AA135" i="4"/>
  <c r="AD135" i="4" s="1"/>
  <c r="AA71" i="4"/>
  <c r="AD71" i="4" s="1"/>
  <c r="AA21" i="4"/>
  <c r="AD21" i="4" s="1"/>
  <c r="AA138" i="4"/>
  <c r="AD138" i="4" s="1"/>
  <c r="AA74" i="4"/>
  <c r="AD74" i="4" s="1"/>
  <c r="AA181" i="4"/>
  <c r="AD181" i="4" s="1"/>
  <c r="AA61" i="4"/>
  <c r="AD61" i="4" s="1"/>
  <c r="AA164" i="4"/>
  <c r="AD164" i="4" s="1"/>
  <c r="AA100" i="4"/>
  <c r="AD100" i="4" s="1"/>
  <c r="AA36" i="4"/>
  <c r="AD36" i="4" s="1"/>
  <c r="AA195" i="4"/>
  <c r="AD195" i="4" s="1"/>
  <c r="AA131" i="4"/>
  <c r="AD131" i="4" s="1"/>
  <c r="AA67" i="4"/>
  <c r="AD67" i="4" s="1"/>
  <c r="AA201" i="4"/>
  <c r="AD201" i="4" s="1"/>
  <c r="AA198" i="4"/>
  <c r="AD198" i="4" s="1"/>
  <c r="AA134" i="4"/>
  <c r="AD134" i="4" s="1"/>
  <c r="AA70" i="4"/>
  <c r="AD70" i="4" s="1"/>
  <c r="AA13" i="4"/>
  <c r="AD13" i="4" s="1"/>
  <c r="AA10" i="4"/>
  <c r="AD10" i="4" s="1"/>
  <c r="AA46" i="4"/>
  <c r="AD46" i="4" s="1"/>
  <c r="AA25" i="4"/>
  <c r="AD25" i="4" s="1"/>
  <c r="AA88" i="4"/>
  <c r="AD88" i="4" s="1"/>
  <c r="AA183" i="4"/>
  <c r="AD183" i="4" s="1"/>
  <c r="AA119" i="4"/>
  <c r="AD119" i="4" s="1"/>
  <c r="AA55" i="4"/>
  <c r="AD55" i="4" s="1"/>
  <c r="AA145" i="4"/>
  <c r="AD145" i="4" s="1"/>
  <c r="AA186" i="4"/>
  <c r="AD186" i="4" s="1"/>
  <c r="AA122" i="4"/>
  <c r="AD122" i="4" s="1"/>
  <c r="AA58" i="4"/>
  <c r="AD58" i="4" s="1"/>
  <c r="AA157" i="4"/>
  <c r="AD157" i="4" s="1"/>
  <c r="AA17" i="4"/>
  <c r="AD17" i="4" s="1"/>
  <c r="AA148" i="4"/>
  <c r="AD148" i="4" s="1"/>
  <c r="AA84" i="4"/>
  <c r="AD84" i="4" s="1"/>
  <c r="AA20" i="4"/>
  <c r="AD20" i="4" s="1"/>
  <c r="AA179" i="4"/>
  <c r="AD179" i="4" s="1"/>
  <c r="AA115" i="4"/>
  <c r="AD115" i="4" s="1"/>
  <c r="AA51" i="4"/>
  <c r="AD51" i="4" s="1"/>
  <c r="AA137" i="4"/>
  <c r="AD137" i="4" s="1"/>
  <c r="AA182" i="4"/>
  <c r="AD182" i="4" s="1"/>
  <c r="AA118" i="4"/>
  <c r="AD118" i="4" s="1"/>
  <c r="AA54" i="4"/>
  <c r="AD54" i="4" s="1"/>
  <c r="AA9" i="4"/>
  <c r="AA59" i="4"/>
  <c r="AD59" i="4" s="1"/>
  <c r="AA121" i="4"/>
  <c r="AD121" i="4" s="1"/>
  <c r="AA110" i="4"/>
  <c r="AD110" i="4" s="1"/>
  <c r="AA161" i="4"/>
  <c r="AD161" i="4" s="1"/>
  <c r="AA152" i="4"/>
  <c r="AD152" i="4" s="1"/>
  <c r="AA24" i="4"/>
  <c r="AD24" i="4" s="1"/>
  <c r="AA97" i="4"/>
  <c r="AD97" i="4" s="1"/>
  <c r="AA160" i="4"/>
  <c r="AD160" i="4" s="1"/>
  <c r="AA96" i="4"/>
  <c r="AD96" i="4" s="1"/>
  <c r="AA32" i="4"/>
  <c r="AD32" i="4" s="1"/>
  <c r="AA191" i="4"/>
  <c r="AD191" i="4" s="1"/>
  <c r="AA127" i="4"/>
  <c r="AD127" i="4" s="1"/>
  <c r="AA63" i="4"/>
  <c r="AD63" i="4" s="1"/>
  <c r="AA189" i="4"/>
  <c r="AD189" i="4" s="1"/>
  <c r="AA194" i="4"/>
  <c r="AD194" i="4" s="1"/>
  <c r="AA130" i="4"/>
  <c r="AD130" i="4" s="1"/>
  <c r="AA66" i="4"/>
  <c r="AD66" i="4" s="1"/>
  <c r="AA197" i="4"/>
  <c r="AD197" i="4" s="1"/>
  <c r="AA85" i="4"/>
  <c r="AD85" i="4" s="1"/>
  <c r="AA156" i="4"/>
  <c r="AD156" i="4" s="1"/>
  <c r="AA92" i="4"/>
  <c r="AD92" i="4" s="1"/>
  <c r="AA28" i="4"/>
  <c r="AD28" i="4" s="1"/>
  <c r="AA171" i="4"/>
  <c r="AD171" i="4" s="1"/>
  <c r="AA107" i="4"/>
  <c r="AD107" i="4" s="1"/>
  <c r="AA43" i="4"/>
  <c r="AD43" i="4" s="1"/>
  <c r="AA81" i="4"/>
  <c r="AD81" i="4" s="1"/>
  <c r="AA158" i="4"/>
  <c r="AD158" i="4" s="1"/>
  <c r="AA94" i="4"/>
  <c r="AD94" i="4" s="1"/>
  <c r="AA30" i="4"/>
  <c r="AD30" i="4" s="1"/>
  <c r="AA141" i="4"/>
  <c r="AD141" i="4" s="1"/>
  <c r="AA200" i="4"/>
  <c r="AD200" i="4" s="1"/>
  <c r="AA136" i="4"/>
  <c r="AD136" i="4" s="1"/>
  <c r="AA72" i="4"/>
  <c r="AD72" i="4" s="1"/>
  <c r="AA193" i="4"/>
  <c r="AD193" i="4" s="1"/>
  <c r="AA167" i="4"/>
  <c r="AD167" i="4" s="1"/>
  <c r="AA103" i="4"/>
  <c r="AD103" i="4" s="1"/>
  <c r="AA39" i="4"/>
  <c r="AD39" i="4" s="1"/>
  <c r="AA113" i="4"/>
  <c r="AD113" i="4" s="1"/>
  <c r="AA170" i="4"/>
  <c r="AD170" i="4" s="1"/>
  <c r="AA106" i="4"/>
  <c r="AD106" i="4" s="1"/>
  <c r="AA42" i="4"/>
  <c r="AD42" i="4" s="1"/>
  <c r="AA133" i="4"/>
  <c r="AD133" i="4" s="1"/>
  <c r="AA196" i="4"/>
  <c r="AD196" i="4" s="1"/>
  <c r="AA132" i="4"/>
  <c r="AD132" i="4" s="1"/>
  <c r="AA68" i="4"/>
  <c r="AD68" i="4" s="1"/>
  <c r="AA177" i="4"/>
  <c r="AD177" i="4" s="1"/>
  <c r="AA163" i="4"/>
  <c r="AD163" i="4" s="1"/>
  <c r="AA99" i="4"/>
  <c r="AD99" i="4" s="1"/>
  <c r="AA35" i="4"/>
  <c r="AD35" i="4" s="1"/>
  <c r="AA101" i="4"/>
  <c r="AD101" i="4" s="1"/>
  <c r="AA166" i="4"/>
  <c r="AD166" i="4" s="1"/>
  <c r="AA102" i="4"/>
  <c r="AD102" i="4" s="1"/>
  <c r="AA38" i="4"/>
  <c r="AD38" i="4" s="1"/>
  <c r="AA12" i="4"/>
  <c r="AD12" i="4" s="1"/>
  <c r="AD204" i="4" l="1"/>
  <c r="AD209" i="4"/>
  <c r="AD9" i="4"/>
  <c r="AE3" i="5"/>
  <c r="N6" i="6" s="1"/>
  <c r="E9" i="2"/>
  <c r="D9" i="2" s="1"/>
  <c r="B6" i="5" s="1"/>
  <c r="B6" i="6"/>
  <c r="AD207" i="4"/>
  <c r="AD215" i="4"/>
  <c r="AD231" i="4"/>
  <c r="AD247" i="4"/>
  <c r="AD263" i="4"/>
  <c r="AD279" i="4"/>
  <c r="AD295" i="4"/>
  <c r="AD311" i="4"/>
  <c r="AD327" i="4"/>
  <c r="AD343" i="4"/>
  <c r="AD359" i="4"/>
  <c r="AD375" i="4"/>
  <c r="AD391" i="4"/>
  <c r="AD212" i="4"/>
  <c r="AD228" i="4"/>
  <c r="AD244" i="4"/>
  <c r="AD260" i="4"/>
  <c r="AD276" i="4"/>
  <c r="AD292" i="4"/>
  <c r="AD308" i="4"/>
  <c r="AD324" i="4"/>
  <c r="AD340" i="4"/>
  <c r="AD356" i="4"/>
  <c r="AD372" i="4"/>
  <c r="AD388" i="4"/>
  <c r="AD205" i="4"/>
  <c r="AD225" i="4"/>
  <c r="AD241" i="4"/>
  <c r="AD257" i="4"/>
  <c r="AD273" i="4"/>
  <c r="AD289" i="4"/>
  <c r="AD305" i="4"/>
  <c r="AD321" i="4"/>
  <c r="AD337" i="4"/>
  <c r="AD353" i="4"/>
  <c r="AD369" i="4"/>
  <c r="AD385" i="4"/>
  <c r="AD401" i="4"/>
  <c r="AD262" i="4"/>
  <c r="AD326" i="4"/>
  <c r="AD390" i="4"/>
  <c r="AD266" i="4"/>
  <c r="AD330" i="4"/>
  <c r="AD394" i="4"/>
  <c r="AD254" i="4"/>
  <c r="AD318" i="4"/>
  <c r="AD382" i="4"/>
  <c r="AD242" i="4"/>
  <c r="AD306" i="4"/>
  <c r="AD370" i="4"/>
  <c r="AD386" i="4"/>
  <c r="AD275" i="4"/>
  <c r="AD323" i="4"/>
  <c r="AD371" i="4"/>
  <c r="AD224" i="4"/>
  <c r="AD272" i="4"/>
  <c r="AD320" i="4"/>
  <c r="AD368" i="4"/>
  <c r="AD221" i="4"/>
  <c r="AD269" i="4"/>
  <c r="AD317" i="4"/>
  <c r="AD365" i="4"/>
  <c r="AD246" i="4"/>
  <c r="AD250" i="4"/>
  <c r="AD238" i="4"/>
  <c r="AD226" i="4"/>
  <c r="AD219" i="4"/>
  <c r="AD235" i="4"/>
  <c r="AD251" i="4"/>
  <c r="AD267" i="4"/>
  <c r="AD283" i="4"/>
  <c r="AD299" i="4"/>
  <c r="AD315" i="4"/>
  <c r="AD331" i="4"/>
  <c r="AD347" i="4"/>
  <c r="AD363" i="4"/>
  <c r="AD379" i="4"/>
  <c r="AD395" i="4"/>
  <c r="AD216" i="4"/>
  <c r="AD232" i="4"/>
  <c r="AD248" i="4"/>
  <c r="AD264" i="4"/>
  <c r="AD280" i="4"/>
  <c r="AD296" i="4"/>
  <c r="AD312" i="4"/>
  <c r="AD328" i="4"/>
  <c r="AD344" i="4"/>
  <c r="AD360" i="4"/>
  <c r="AD376" i="4"/>
  <c r="AD392" i="4"/>
  <c r="AD213" i="4"/>
  <c r="AD229" i="4"/>
  <c r="AD245" i="4"/>
  <c r="AD261" i="4"/>
  <c r="AD277" i="4"/>
  <c r="AD293" i="4"/>
  <c r="AD309" i="4"/>
  <c r="AD325" i="4"/>
  <c r="AD341" i="4"/>
  <c r="AD357" i="4"/>
  <c r="AD373" i="4"/>
  <c r="AD389" i="4"/>
  <c r="AD214" i="4"/>
  <c r="AD278" i="4"/>
  <c r="AD342" i="4"/>
  <c r="AD218" i="4"/>
  <c r="AD282" i="4"/>
  <c r="AD346" i="4"/>
  <c r="AD206" i="4"/>
  <c r="AD270" i="4"/>
  <c r="AD334" i="4"/>
  <c r="AD398" i="4"/>
  <c r="AD258" i="4"/>
  <c r="AD322" i="4"/>
  <c r="AD291" i="4"/>
  <c r="AD339" i="4"/>
  <c r="AD387" i="4"/>
  <c r="AD240" i="4"/>
  <c r="AD288" i="4"/>
  <c r="AD336" i="4"/>
  <c r="AD384" i="4"/>
  <c r="AD237" i="4"/>
  <c r="AD285" i="4"/>
  <c r="AD333" i="4"/>
  <c r="AD381" i="4"/>
  <c r="AD310" i="4"/>
  <c r="AD314" i="4"/>
  <c r="AD302" i="4"/>
  <c r="AD290" i="4"/>
  <c r="AD223" i="4"/>
  <c r="AD239" i="4"/>
  <c r="AD255" i="4"/>
  <c r="AD271" i="4"/>
  <c r="AD287" i="4"/>
  <c r="AD303" i="4"/>
  <c r="AD319" i="4"/>
  <c r="AD335" i="4"/>
  <c r="AD351" i="4"/>
  <c r="AD367" i="4"/>
  <c r="AD383" i="4"/>
  <c r="AD399" i="4"/>
  <c r="AD220" i="4"/>
  <c r="AD236" i="4"/>
  <c r="AD252" i="4"/>
  <c r="AD268" i="4"/>
  <c r="AD284" i="4"/>
  <c r="AD300" i="4"/>
  <c r="AD316" i="4"/>
  <c r="AD332" i="4"/>
  <c r="AD348" i="4"/>
  <c r="AD364" i="4"/>
  <c r="AD380" i="4"/>
  <c r="AD396" i="4"/>
  <c r="AD217" i="4"/>
  <c r="AD233" i="4"/>
  <c r="AD249" i="4"/>
  <c r="AD265" i="4"/>
  <c r="AD281" i="4"/>
  <c r="AD297" i="4"/>
  <c r="AD313" i="4"/>
  <c r="AD329" i="4"/>
  <c r="AD345" i="4"/>
  <c r="AD361" i="4"/>
  <c r="AD377" i="4"/>
  <c r="AD393" i="4"/>
  <c r="AD230" i="4"/>
  <c r="AD294" i="4"/>
  <c r="AD358" i="4"/>
  <c r="AD234" i="4"/>
  <c r="AD298" i="4"/>
  <c r="AD362" i="4"/>
  <c r="AD222" i="4"/>
  <c r="AD286" i="4"/>
  <c r="AD350" i="4"/>
  <c r="AD210" i="4"/>
  <c r="AD274" i="4"/>
  <c r="AD338" i="4"/>
  <c r="AD211" i="4"/>
  <c r="AD227" i="4"/>
  <c r="AD243" i="4"/>
  <c r="AD259" i="4"/>
  <c r="AD307" i="4"/>
  <c r="AD355" i="4"/>
  <c r="AD208" i="4"/>
  <c r="AD256" i="4"/>
  <c r="AD304" i="4"/>
  <c r="AD352" i="4"/>
  <c r="AD400" i="4"/>
  <c r="AD253" i="4"/>
  <c r="AD301" i="4"/>
  <c r="AD349" i="4"/>
  <c r="AD397" i="4"/>
  <c r="AD374" i="4"/>
  <c r="AD378" i="4"/>
  <c r="AD366" i="4"/>
  <c r="AD354" i="4"/>
  <c r="AF3" i="5"/>
  <c r="C7" i="6"/>
  <c r="P9" i="2"/>
  <c r="O8" i="2"/>
  <c r="J5" i="5" s="1"/>
  <c r="H7" i="6"/>
  <c r="K4" i="5"/>
  <c r="B7" i="6"/>
  <c r="AD4" i="5"/>
  <c r="AF4" i="5" s="1"/>
  <c r="C5" i="5"/>
  <c r="AC5" i="5"/>
  <c r="AE5" i="5" s="1"/>
  <c r="E10" i="2" l="1"/>
  <c r="D10" i="2" s="1"/>
  <c r="B7" i="5" s="1"/>
  <c r="O7" i="6"/>
  <c r="N7" i="6"/>
  <c r="I7" i="6"/>
  <c r="O6" i="6"/>
  <c r="C8" i="6"/>
  <c r="H8" i="6"/>
  <c r="K5" i="5"/>
  <c r="P10" i="2"/>
  <c r="O9" i="2"/>
  <c r="J6" i="5" s="1"/>
  <c r="AC6" i="5"/>
  <c r="AE6" i="5" s="1"/>
  <c r="C6" i="5"/>
  <c r="B8" i="6"/>
  <c r="N8" i="6"/>
  <c r="AD5" i="5"/>
  <c r="AF5" i="5" s="1"/>
  <c r="W233" i="2"/>
  <c r="W186" i="2"/>
  <c r="Y186" i="2" s="1"/>
  <c r="AA186" i="2" s="1"/>
  <c r="AB17" i="5"/>
  <c r="AB22" i="5"/>
  <c r="AB19" i="5"/>
  <c r="W270" i="2"/>
  <c r="Y270" i="2" s="1"/>
  <c r="AA270" i="2" s="1"/>
  <c r="W238" i="2"/>
  <c r="W171" i="2"/>
  <c r="W297" i="2"/>
  <c r="Y297" i="2" s="1"/>
  <c r="AA297" i="2" s="1"/>
  <c r="W180" i="2"/>
  <c r="Y180" i="2" s="1"/>
  <c r="AA180" i="2" s="1"/>
  <c r="W182" i="2"/>
  <c r="W252" i="2"/>
  <c r="W289" i="2"/>
  <c r="W305" i="2"/>
  <c r="W205" i="2"/>
  <c r="W190" i="2"/>
  <c r="W151" i="2"/>
  <c r="Y151" i="2" s="1"/>
  <c r="W281" i="2"/>
  <c r="W179" i="2"/>
  <c r="W239" i="2"/>
  <c r="Y239" i="2" s="1"/>
  <c r="AA239" i="2" s="1"/>
  <c r="W300" i="2"/>
  <c r="W295" i="2"/>
  <c r="W176" i="2"/>
  <c r="W255" i="2"/>
  <c r="W228" i="2"/>
  <c r="Y228" i="2" s="1"/>
  <c r="AA228" i="2" s="1"/>
  <c r="W262" i="2"/>
  <c r="Y262" i="2" s="1"/>
  <c r="AA262" i="2" s="1"/>
  <c r="W210" i="2"/>
  <c r="Y210" i="2" s="1"/>
  <c r="AA210" i="2" s="1"/>
  <c r="W273" i="2"/>
  <c r="W259" i="2"/>
  <c r="W199" i="2"/>
  <c r="W196" i="2"/>
  <c r="W303" i="2"/>
  <c r="Y303" i="2" s="1"/>
  <c r="AA303" i="2" s="1"/>
  <c r="W200" i="2"/>
  <c r="W187" i="2"/>
  <c r="W269" i="2"/>
  <c r="AB20" i="5"/>
  <c r="W206" i="2"/>
  <c r="Y206" i="2" s="1"/>
  <c r="AA206" i="2" s="1"/>
  <c r="W209" i="2"/>
  <c r="Y209" i="2" s="1"/>
  <c r="AA209" i="2" s="1"/>
  <c r="W126" i="2"/>
  <c r="Y126" i="2" s="1"/>
  <c r="AA126" i="2" s="1"/>
  <c r="P123" i="5" s="1"/>
  <c r="S123" i="5" s="1"/>
  <c r="W293" i="2"/>
  <c r="W194" i="2"/>
  <c r="W127" i="2"/>
  <c r="W253" i="2"/>
  <c r="W285" i="2"/>
  <c r="W165" i="2"/>
  <c r="W234" i="2"/>
  <c r="W163" i="2"/>
  <c r="Y163" i="2" s="1"/>
  <c r="AA163" i="2" s="1"/>
  <c r="W230" i="2"/>
  <c r="W154" i="2"/>
  <c r="Y154" i="2" s="1"/>
  <c r="AA154" i="2" s="1"/>
  <c r="W79" i="2"/>
  <c r="W246" i="2"/>
  <c r="Y246" i="2" s="1"/>
  <c r="AA246" i="2" s="1"/>
  <c r="W202" i="2"/>
  <c r="W247" i="2"/>
  <c r="Y247" i="2" s="1"/>
  <c r="AA247" i="2" s="1"/>
  <c r="W197" i="2"/>
  <c r="W225" i="2"/>
  <c r="Y225" i="2" s="1"/>
  <c r="AA225" i="2" s="1"/>
  <c r="W261" i="2"/>
  <c r="Y261" i="2" s="1"/>
  <c r="AA261" i="2" s="1"/>
  <c r="W177" i="2"/>
  <c r="Y177" i="2" s="1"/>
  <c r="AA177" i="2" s="1"/>
  <c r="W71" i="2"/>
  <c r="W248" i="2"/>
  <c r="Y248" i="2" s="1"/>
  <c r="AA248" i="2" s="1"/>
  <c r="W214" i="2"/>
  <c r="W217" i="2"/>
  <c r="W143" i="2"/>
  <c r="W212" i="2"/>
  <c r="W265" i="2"/>
  <c r="Y265" i="2" s="1"/>
  <c r="AA265" i="2" s="1"/>
  <c r="W232" i="2"/>
  <c r="Y232" i="2" s="1"/>
  <c r="AA232" i="2" s="1"/>
  <c r="W256" i="2"/>
  <c r="Y256" i="2" s="1"/>
  <c r="AA256" i="2" s="1"/>
  <c r="W224" i="2"/>
  <c r="W169" i="2"/>
  <c r="W157" i="2"/>
  <c r="Y157" i="2" s="1"/>
  <c r="AA157" i="2" s="1"/>
  <c r="W28" i="2"/>
  <c r="W240" i="2"/>
  <c r="W95" i="2"/>
  <c r="W237" i="2"/>
  <c r="W174" i="2"/>
  <c r="W219" i="2"/>
  <c r="Y219" i="2" s="1"/>
  <c r="AA219" i="2" s="1"/>
  <c r="W89" i="2"/>
  <c r="W198" i="2"/>
  <c r="Y198" i="2" s="1"/>
  <c r="AA198" i="2" s="1"/>
  <c r="W166" i="2"/>
  <c r="Y166" i="2" s="1"/>
  <c r="AA166" i="2" s="1"/>
  <c r="W156" i="2"/>
  <c r="W208" i="2"/>
  <c r="W150" i="2"/>
  <c r="Y150" i="2" s="1"/>
  <c r="AA150" i="2" s="1"/>
  <c r="P147" i="5" s="1"/>
  <c r="S147" i="5" s="1"/>
  <c r="W278" i="2"/>
  <c r="W241" i="2"/>
  <c r="W204" i="2"/>
  <c r="W266" i="2"/>
  <c r="W164" i="2"/>
  <c r="Y164" i="2" s="1"/>
  <c r="AA164" i="2" s="1"/>
  <c r="W245" i="2"/>
  <c r="W280" i="2"/>
  <c r="W304" i="2"/>
  <c r="W271" i="2"/>
  <c r="W188" i="2"/>
  <c r="Y188" i="2" s="1"/>
  <c r="AA188" i="2" s="1"/>
  <c r="W272" i="2"/>
  <c r="W175" i="2"/>
  <c r="W277" i="2"/>
  <c r="W115" i="2"/>
  <c r="W70" i="2"/>
  <c r="Y70" i="2" s="1"/>
  <c r="W250" i="2"/>
  <c r="W170" i="2"/>
  <c r="Y170" i="2" s="1"/>
  <c r="AA170" i="2" s="1"/>
  <c r="W120" i="2"/>
  <c r="W276" i="2"/>
  <c r="Y276" i="2" s="1"/>
  <c r="AA276" i="2" s="1"/>
  <c r="W292" i="2"/>
  <c r="W76" i="2"/>
  <c r="W110" i="2"/>
  <c r="Y110" i="2" s="1"/>
  <c r="W43" i="2"/>
  <c r="Y43" i="2" s="1"/>
  <c r="AA43" i="2" s="1"/>
  <c r="P40" i="5" s="1"/>
  <c r="S40" i="5" s="1"/>
  <c r="W118" i="2"/>
  <c r="W91" i="2"/>
  <c r="W59" i="2"/>
  <c r="Y59" i="2" s="1"/>
  <c r="W299" i="2"/>
  <c r="W192" i="2"/>
  <c r="W185" i="2"/>
  <c r="W268" i="2"/>
  <c r="W302" i="2"/>
  <c r="Y302" i="2" s="1"/>
  <c r="AA302" i="2" s="1"/>
  <c r="W296" i="2"/>
  <c r="Y296" i="2" s="1"/>
  <c r="AA296" i="2" s="1"/>
  <c r="W236" i="2"/>
  <c r="W32" i="2"/>
  <c r="Y32" i="2" s="1"/>
  <c r="AA32" i="2" s="1"/>
  <c r="P29" i="5" s="1"/>
  <c r="S29" i="5" s="1"/>
  <c r="W229" i="2"/>
  <c r="Y229" i="2" s="1"/>
  <c r="AA229" i="2" s="1"/>
  <c r="W101" i="2"/>
  <c r="W279" i="2"/>
  <c r="Y279" i="2" s="1"/>
  <c r="AA279" i="2" s="1"/>
  <c r="W111" i="2"/>
  <c r="W149" i="2"/>
  <c r="W137" i="2"/>
  <c r="W33" i="2"/>
  <c r="W172" i="2"/>
  <c r="Y172" i="2" s="1"/>
  <c r="AA172" i="2" s="1"/>
  <c r="W77" i="2"/>
  <c r="W274" i="2"/>
  <c r="W69" i="2"/>
  <c r="Y69" i="2" s="1"/>
  <c r="AA69" i="2" s="1"/>
  <c r="P66" i="5" s="1"/>
  <c r="S66" i="5" s="1"/>
  <c r="W105" i="2"/>
  <c r="Y105" i="2" s="1"/>
  <c r="W222" i="2"/>
  <c r="Y222" i="2" s="1"/>
  <c r="AA222" i="2" s="1"/>
  <c r="W136" i="2"/>
  <c r="W125" i="2"/>
  <c r="W282" i="2"/>
  <c r="Y282" i="2" s="1"/>
  <c r="AA282" i="2" s="1"/>
  <c r="W226" i="2"/>
  <c r="Y226" i="2" s="1"/>
  <c r="AA226" i="2" s="1"/>
  <c r="W36" i="2"/>
  <c r="W283" i="2"/>
  <c r="W140" i="2"/>
  <c r="Y140" i="2" s="1"/>
  <c r="W53" i="2"/>
  <c r="Y53" i="2" s="1"/>
  <c r="W275" i="2"/>
  <c r="W244" i="2"/>
  <c r="Y244" i="2" s="1"/>
  <c r="AA244" i="2" s="1"/>
  <c r="W49" i="2"/>
  <c r="Y49" i="2" s="1"/>
  <c r="AA49" i="2" s="1"/>
  <c r="P46" i="5" s="1"/>
  <c r="S46" i="5" s="1"/>
  <c r="W139" i="2"/>
  <c r="W108" i="2"/>
  <c r="Y108" i="2" s="1"/>
  <c r="N105" i="5" s="1"/>
  <c r="R105" i="5" s="1"/>
  <c r="W153" i="2"/>
  <c r="W181" i="2"/>
  <c r="W290" i="2"/>
  <c r="Y290" i="2" s="1"/>
  <c r="AA290" i="2" s="1"/>
  <c r="W161" i="2"/>
  <c r="W102" i="2"/>
  <c r="W287" i="2"/>
  <c r="Y287" i="2" s="1"/>
  <c r="AA287" i="2" s="1"/>
  <c r="W145" i="2"/>
  <c r="Y145" i="2" s="1"/>
  <c r="W162" i="2"/>
  <c r="Y162" i="2" s="1"/>
  <c r="AA162" i="2" s="1"/>
  <c r="W242" i="2"/>
  <c r="Y242" i="2" s="1"/>
  <c r="AA242" i="2" s="1"/>
  <c r="W218" i="2"/>
  <c r="W193" i="2"/>
  <c r="W55" i="2"/>
  <c r="W80" i="2"/>
  <c r="W116" i="2"/>
  <c r="Y116" i="2" s="1"/>
  <c r="AA116" i="2" s="1"/>
  <c r="P113" i="5" s="1"/>
  <c r="S113" i="5" s="1"/>
  <c r="W87" i="2"/>
  <c r="W184" i="2"/>
  <c r="W92" i="2"/>
  <c r="W122" i="2"/>
  <c r="Y122" i="2" s="1"/>
  <c r="W178" i="2"/>
  <c r="W47" i="2"/>
  <c r="W119" i="2"/>
  <c r="Y119" i="2" s="1"/>
  <c r="W294" i="2"/>
  <c r="W132" i="2"/>
  <c r="Y132" i="2" s="1"/>
  <c r="W20" i="2"/>
  <c r="W147" i="2"/>
  <c r="W160" i="2"/>
  <c r="W254" i="2"/>
  <c r="Y254" i="2" s="1"/>
  <c r="AA254" i="2" s="1"/>
  <c r="W90" i="2"/>
  <c r="W82" i="2"/>
  <c r="W113" i="2"/>
  <c r="W263" i="2"/>
  <c r="W61" i="2"/>
  <c r="W81" i="2"/>
  <c r="W60" i="2"/>
  <c r="Y60" i="2" s="1"/>
  <c r="AA60" i="2" s="1"/>
  <c r="P57" i="5" s="1"/>
  <c r="S57" i="5" s="1"/>
  <c r="W231" i="2"/>
  <c r="W155" i="2"/>
  <c r="W201" i="2"/>
  <c r="W15" i="2"/>
  <c r="Y15" i="2" s="1"/>
  <c r="AA15" i="2" s="1"/>
  <c r="P12" i="5" s="1"/>
  <c r="S12" i="5" s="1"/>
  <c r="W99" i="2"/>
  <c r="W173" i="2"/>
  <c r="Y173" i="2" s="1"/>
  <c r="AA173" i="2" s="1"/>
  <c r="W109" i="2"/>
  <c r="W54" i="2"/>
  <c r="Y54" i="2" s="1"/>
  <c r="W257" i="2"/>
  <c r="Y257" i="2" s="1"/>
  <c r="AA257" i="2" s="1"/>
  <c r="W93" i="2"/>
  <c r="W258" i="2"/>
  <c r="Y258" i="2" s="1"/>
  <c r="AA258" i="2" s="1"/>
  <c r="W23" i="2"/>
  <c r="W107" i="2"/>
  <c r="W213" i="2"/>
  <c r="W301" i="2"/>
  <c r="W96" i="2"/>
  <c r="W35" i="2"/>
  <c r="W158" i="2"/>
  <c r="W189" i="2"/>
  <c r="Y189" i="2" s="1"/>
  <c r="AA189" i="2" s="1"/>
  <c r="W138" i="2"/>
  <c r="W227" i="2"/>
  <c r="W100" i="2"/>
  <c r="W260" i="2"/>
  <c r="W83" i="2"/>
  <c r="W104" i="2"/>
  <c r="W135" i="2"/>
  <c r="Y135" i="2" s="1"/>
  <c r="AA135" i="2" s="1"/>
  <c r="P132" i="5" s="1"/>
  <c r="S132" i="5" s="1"/>
  <c r="W220" i="2"/>
  <c r="W85" i="2"/>
  <c r="W264" i="2"/>
  <c r="Y264" i="2" s="1"/>
  <c r="AA264" i="2" s="1"/>
  <c r="W31" i="2"/>
  <c r="Y31" i="2" s="1"/>
  <c r="AA31" i="2" s="1"/>
  <c r="P28" i="5" s="1"/>
  <c r="S28" i="5" s="1"/>
  <c r="W142" i="2"/>
  <c r="W63" i="2"/>
  <c r="W298" i="2"/>
  <c r="W84" i="2"/>
  <c r="W39" i="2"/>
  <c r="W141" i="2"/>
  <c r="Y141" i="2" s="1"/>
  <c r="W50" i="2"/>
  <c r="Y50" i="2" s="1"/>
  <c r="AA50" i="2" s="1"/>
  <c r="P47" i="5" s="1"/>
  <c r="S47" i="5" s="1"/>
  <c r="W88" i="2"/>
  <c r="Y88" i="2" s="1"/>
  <c r="W129" i="2"/>
  <c r="W159" i="2"/>
  <c r="W68" i="2"/>
  <c r="Y68" i="2" s="1"/>
  <c r="AA68" i="2" s="1"/>
  <c r="P65" i="5" s="1"/>
  <c r="S65" i="5" s="1"/>
  <c r="W67" i="2"/>
  <c r="W94" i="2"/>
  <c r="W34" i="2"/>
  <c r="W98" i="2"/>
  <c r="W46" i="2"/>
  <c r="W123" i="2"/>
  <c r="W146" i="2"/>
  <c r="W103" i="2"/>
  <c r="W65" i="2"/>
  <c r="W168" i="2"/>
  <c r="W133" i="2"/>
  <c r="W216" i="2"/>
  <c r="W62" i="2"/>
  <c r="W27" i="2"/>
  <c r="W223" i="2"/>
  <c r="Y223" i="2" s="1"/>
  <c r="AA223" i="2" s="1"/>
  <c r="W130" i="2"/>
  <c r="W57" i="2"/>
  <c r="W41" i="2"/>
  <c r="W215" i="2"/>
  <c r="Y215" i="2" s="1"/>
  <c r="AA215" i="2" s="1"/>
  <c r="W203" i="2"/>
  <c r="W73" i="2"/>
  <c r="W131" i="2"/>
  <c r="Y131" i="2" s="1"/>
  <c r="AA131" i="2" s="1"/>
  <c r="P128" i="5" s="1"/>
  <c r="S128" i="5" s="1"/>
  <c r="W112" i="2"/>
  <c r="W267" i="2"/>
  <c r="W243" i="2"/>
  <c r="W235" i="2"/>
  <c r="Y235" i="2" s="1"/>
  <c r="AA235" i="2" s="1"/>
  <c r="W9" i="2"/>
  <c r="Y9" i="2" s="1"/>
  <c r="AA9" i="2" s="1"/>
  <c r="P6" i="5" s="1"/>
  <c r="S6" i="5" s="1"/>
  <c r="W11" i="2"/>
  <c r="Y11" i="2" s="1"/>
  <c r="W75" i="2"/>
  <c r="W40" i="2"/>
  <c r="W286" i="2"/>
  <c r="Y286" i="2" s="1"/>
  <c r="AA286" i="2" s="1"/>
  <c r="W56" i="2"/>
  <c r="W64" i="2"/>
  <c r="W37" i="2"/>
  <c r="Y37" i="2" s="1"/>
  <c r="W48" i="2"/>
  <c r="W45" i="2"/>
  <c r="W52" i="2"/>
  <c r="W58" i="2"/>
  <c r="W288" i="2"/>
  <c r="Y288" i="2" s="1"/>
  <c r="AA288" i="2" s="1"/>
  <c r="W249" i="2"/>
  <c r="W30" i="2"/>
  <c r="W128" i="2"/>
  <c r="W17" i="2"/>
  <c r="Y17" i="2" s="1"/>
  <c r="AA17" i="2" s="1"/>
  <c r="P14" i="5" s="1"/>
  <c r="S14" i="5" s="1"/>
  <c r="W106" i="2"/>
  <c r="W7" i="2"/>
  <c r="Y7" i="2" s="1"/>
  <c r="W121" i="2"/>
  <c r="Y121" i="2" s="1"/>
  <c r="W51" i="2"/>
  <c r="W284" i="2"/>
  <c r="W42" i="2"/>
  <c r="W211" i="2"/>
  <c r="Y211" i="2" s="1"/>
  <c r="AA211" i="2" s="1"/>
  <c r="W38" i="2"/>
  <c r="W13" i="2"/>
  <c r="Y13" i="2" s="1"/>
  <c r="N10" i="5" s="1"/>
  <c r="R10" i="5" s="1"/>
  <c r="W124" i="2"/>
  <c r="W19" i="2"/>
  <c r="Y19" i="2" s="1"/>
  <c r="AA19" i="2" s="1"/>
  <c r="P16" i="5" s="1"/>
  <c r="S16" i="5" s="1"/>
  <c r="W44" i="2"/>
  <c r="W167" i="2"/>
  <c r="Y167" i="2" s="1"/>
  <c r="AA167" i="2" s="1"/>
  <c r="W18" i="2"/>
  <c r="W22" i="2"/>
  <c r="Y22" i="2" s="1"/>
  <c r="AA22" i="2" s="1"/>
  <c r="P19" i="5" s="1"/>
  <c r="S19" i="5" s="1"/>
  <c r="W24" i="2"/>
  <c r="W207" i="2"/>
  <c r="Y207" i="2" s="1"/>
  <c r="AA207" i="2" s="1"/>
  <c r="W12" i="2"/>
  <c r="Y12" i="2" s="1"/>
  <c r="W26" i="2"/>
  <c r="Y26" i="2" s="1"/>
  <c r="W74" i="2"/>
  <c r="W114" i="2"/>
  <c r="W134" i="2"/>
  <c r="W66" i="2"/>
  <c r="Y66" i="2" s="1"/>
  <c r="AA66" i="2" s="1"/>
  <c r="P63" i="5" s="1"/>
  <c r="S63" i="5" s="1"/>
  <c r="W21" i="2"/>
  <c r="Y21" i="2" s="1"/>
  <c r="W16" i="2"/>
  <c r="W78" i="2"/>
  <c r="W29" i="2"/>
  <c r="W8" i="2"/>
  <c r="Y8" i="2" s="1"/>
  <c r="AA8" i="2" s="1"/>
  <c r="P5" i="5" s="1"/>
  <c r="S5" i="5" s="1"/>
  <c r="W86" i="2"/>
  <c r="W72" i="2"/>
  <c r="W221" i="2"/>
  <c r="Y221" i="2" s="1"/>
  <c r="AA221" i="2" s="1"/>
  <c r="W195" i="2"/>
  <c r="Y195" i="2" s="1"/>
  <c r="AA195" i="2" s="1"/>
  <c r="W291" i="2"/>
  <c r="Y291" i="2" s="1"/>
  <c r="AA291" i="2" s="1"/>
  <c r="W183" i="2"/>
  <c r="Y183" i="2" s="1"/>
  <c r="AA183" i="2" s="1"/>
  <c r="W148" i="2"/>
  <c r="W97" i="2"/>
  <c r="W152" i="2"/>
  <c r="W117" i="2"/>
  <c r="W144" i="2"/>
  <c r="Y144" i="2" s="1"/>
  <c r="W25" i="2"/>
  <c r="W10" i="2"/>
  <c r="Y10" i="2" s="1"/>
  <c r="N7" i="5" s="1"/>
  <c r="R7" i="5" s="1"/>
  <c r="W191" i="2"/>
  <c r="W6" i="2"/>
  <c r="X6" i="2" s="1"/>
  <c r="W251" i="2"/>
  <c r="Y251" i="2" s="1"/>
  <c r="AA251" i="2" s="1"/>
  <c r="W14" i="2"/>
  <c r="E11" i="2" l="1"/>
  <c r="E12" i="2" s="1"/>
  <c r="D12" i="2" s="1"/>
  <c r="B9" i="5" s="1"/>
  <c r="Y20" i="2"/>
  <c r="U28" i="5"/>
  <c r="V28" i="5"/>
  <c r="U65" i="5"/>
  <c r="V65" i="5"/>
  <c r="U47" i="5"/>
  <c r="V47" i="5"/>
  <c r="U40" i="5"/>
  <c r="V40" i="5"/>
  <c r="U132" i="5"/>
  <c r="V132" i="5"/>
  <c r="U14" i="5"/>
  <c r="V14" i="5"/>
  <c r="U12" i="5"/>
  <c r="V12" i="5"/>
  <c r="U57" i="5"/>
  <c r="V57" i="5"/>
  <c r="U113" i="5"/>
  <c r="V113" i="5"/>
  <c r="U46" i="5"/>
  <c r="V46" i="5"/>
  <c r="U29" i="5"/>
  <c r="V29" i="5"/>
  <c r="U123" i="5"/>
  <c r="V123" i="5"/>
  <c r="U147" i="5"/>
  <c r="V147" i="5"/>
  <c r="U63" i="5"/>
  <c r="V63" i="5"/>
  <c r="U19" i="5"/>
  <c r="V19" i="5"/>
  <c r="U16" i="5"/>
  <c r="V16" i="5"/>
  <c r="U128" i="5"/>
  <c r="V128" i="5"/>
  <c r="U66" i="5"/>
  <c r="V66" i="5"/>
  <c r="U5" i="5"/>
  <c r="V5" i="5"/>
  <c r="U6" i="5"/>
  <c r="V6" i="5"/>
  <c r="X14" i="2"/>
  <c r="W11" i="5" s="1"/>
  <c r="C9" i="6"/>
  <c r="I8" i="6"/>
  <c r="H9" i="6"/>
  <c r="K6" i="5"/>
  <c r="P11" i="2"/>
  <c r="O10" i="2"/>
  <c r="J7" i="5" s="1"/>
  <c r="X86" i="2"/>
  <c r="W83" i="5" s="1"/>
  <c r="X284" i="2"/>
  <c r="X45" i="2"/>
  <c r="W42" i="5" s="1"/>
  <c r="X267" i="2"/>
  <c r="X104" i="2"/>
  <c r="W101" i="5" s="1"/>
  <c r="X231" i="2"/>
  <c r="X149" i="2"/>
  <c r="W146" i="5" s="1"/>
  <c r="X202" i="2"/>
  <c r="X190" i="2"/>
  <c r="X171" i="2"/>
  <c r="X25" i="2"/>
  <c r="W22" i="5" s="1"/>
  <c r="X97" i="2"/>
  <c r="W94" i="5" s="1"/>
  <c r="X24" i="2"/>
  <c r="W21" i="5" s="1"/>
  <c r="X44" i="2"/>
  <c r="W41" i="5" s="1"/>
  <c r="X38" i="2"/>
  <c r="W35" i="5" s="1"/>
  <c r="X48" i="2"/>
  <c r="W45" i="5" s="1"/>
  <c r="X112" i="2"/>
  <c r="W109" i="5" s="1"/>
  <c r="X146" i="2"/>
  <c r="W143" i="5" s="1"/>
  <c r="X34" i="2"/>
  <c r="W31" i="5" s="1"/>
  <c r="X83" i="2"/>
  <c r="W80" i="5" s="1"/>
  <c r="X96" i="2"/>
  <c r="W93" i="5" s="1"/>
  <c r="X160" i="2"/>
  <c r="X218" i="2"/>
  <c r="X181" i="2"/>
  <c r="X120" i="2"/>
  <c r="W117" i="5" s="1"/>
  <c r="X115" i="2"/>
  <c r="W112" i="5" s="1"/>
  <c r="X156" i="2"/>
  <c r="X224" i="2"/>
  <c r="X212" i="2"/>
  <c r="X253" i="2"/>
  <c r="X196" i="2"/>
  <c r="X205" i="2"/>
  <c r="X238" i="2"/>
  <c r="X152" i="2"/>
  <c r="W149" i="5" s="1"/>
  <c r="X16" i="2"/>
  <c r="W13" i="5" s="1"/>
  <c r="X249" i="2"/>
  <c r="X56" i="2"/>
  <c r="W53" i="5" s="1"/>
  <c r="X203" i="2"/>
  <c r="X103" i="2"/>
  <c r="W100" i="5" s="1"/>
  <c r="X87" i="2"/>
  <c r="W84" i="5" s="1"/>
  <c r="X204" i="2"/>
  <c r="X95" i="2"/>
  <c r="W92" i="5" s="1"/>
  <c r="X293" i="2"/>
  <c r="X148" i="2"/>
  <c r="W145" i="5" s="1"/>
  <c r="X128" i="2"/>
  <c r="W125" i="5" s="1"/>
  <c r="X58" i="2"/>
  <c r="W55" i="5" s="1"/>
  <c r="X40" i="2"/>
  <c r="W37" i="5" s="1"/>
  <c r="X41" i="2"/>
  <c r="W38" i="5" s="1"/>
  <c r="X27" i="2"/>
  <c r="W24" i="5" s="1"/>
  <c r="X168" i="2"/>
  <c r="X123" i="2"/>
  <c r="W120" i="5" s="1"/>
  <c r="X94" i="2"/>
  <c r="W91" i="5" s="1"/>
  <c r="X129" i="2"/>
  <c r="W126" i="5" s="1"/>
  <c r="X39" i="2"/>
  <c r="W36" i="5" s="1"/>
  <c r="X142" i="2"/>
  <c r="W139" i="5" s="1"/>
  <c r="X260" i="2"/>
  <c r="X109" i="2"/>
  <c r="W106" i="5" s="1"/>
  <c r="X81" i="2"/>
  <c r="W78" i="5" s="1"/>
  <c r="X82" i="2"/>
  <c r="W79" i="5" s="1"/>
  <c r="X92" i="2"/>
  <c r="W89" i="5" s="1"/>
  <c r="X283" i="2"/>
  <c r="X33" i="2"/>
  <c r="W30" i="5" s="1"/>
  <c r="X91" i="2"/>
  <c r="W88" i="5" s="1"/>
  <c r="X76" i="2"/>
  <c r="W73" i="5" s="1"/>
  <c r="X271" i="2"/>
  <c r="X28" i="2"/>
  <c r="W25" i="5" s="1"/>
  <c r="X143" i="2"/>
  <c r="W140" i="5" s="1"/>
  <c r="X127" i="2"/>
  <c r="W124" i="5" s="1"/>
  <c r="X281" i="2"/>
  <c r="X106" i="2"/>
  <c r="W103" i="5" s="1"/>
  <c r="X130" i="2"/>
  <c r="W127" i="5" s="1"/>
  <c r="X227" i="2"/>
  <c r="X193" i="2"/>
  <c r="X299" i="2"/>
  <c r="X208" i="2"/>
  <c r="X169" i="2"/>
  <c r="X214" i="2"/>
  <c r="X230" i="2"/>
  <c r="X273" i="2"/>
  <c r="X252" i="2"/>
  <c r="X29" i="2"/>
  <c r="W26" i="5" s="1"/>
  <c r="X191" i="2"/>
  <c r="X117" i="2"/>
  <c r="W114" i="5" s="1"/>
  <c r="X72" i="2"/>
  <c r="W69" i="5" s="1"/>
  <c r="X78" i="2"/>
  <c r="W75" i="5" s="1"/>
  <c r="X134" i="2"/>
  <c r="W131" i="5" s="1"/>
  <c r="X18" i="2"/>
  <c r="W15" i="5" s="1"/>
  <c r="X42" i="2"/>
  <c r="W39" i="5" s="1"/>
  <c r="X30" i="2"/>
  <c r="W27" i="5" s="1"/>
  <c r="X52" i="2"/>
  <c r="W49" i="5" s="1"/>
  <c r="X64" i="2"/>
  <c r="W61" i="5" s="1"/>
  <c r="X75" i="2"/>
  <c r="W72" i="5" s="1"/>
  <c r="X73" i="2"/>
  <c r="W70" i="5" s="1"/>
  <c r="X57" i="2"/>
  <c r="W54" i="5" s="1"/>
  <c r="X62" i="2"/>
  <c r="W59" i="5" s="1"/>
  <c r="X46" i="2"/>
  <c r="W43" i="5" s="1"/>
  <c r="X67" i="2"/>
  <c r="W64" i="5" s="1"/>
  <c r="X84" i="2"/>
  <c r="W81" i="5" s="1"/>
  <c r="X100" i="2"/>
  <c r="W97" i="5" s="1"/>
  <c r="X93" i="2"/>
  <c r="W90" i="5" s="1"/>
  <c r="X61" i="2"/>
  <c r="W58" i="5" s="1"/>
  <c r="X90" i="2"/>
  <c r="W87" i="5" s="1"/>
  <c r="X275" i="2"/>
  <c r="X36" i="2"/>
  <c r="W33" i="5" s="1"/>
  <c r="X274" i="2"/>
  <c r="X137" i="2"/>
  <c r="W134" i="5" s="1"/>
  <c r="X101" i="2"/>
  <c r="W98" i="5" s="1"/>
  <c r="X292" i="2"/>
  <c r="X250" i="2"/>
  <c r="X304" i="2"/>
  <c r="X165" i="2"/>
  <c r="X194" i="2"/>
  <c r="X200" i="2"/>
  <c r="X300" i="2"/>
  <c r="X233" i="2"/>
  <c r="Y44" i="2"/>
  <c r="AA44" i="2" s="1"/>
  <c r="P41" i="5" s="1"/>
  <c r="S41" i="5" s="1"/>
  <c r="X264" i="2"/>
  <c r="X131" i="2"/>
  <c r="W128" i="5" s="1"/>
  <c r="B9" i="6"/>
  <c r="C7" i="5"/>
  <c r="AC7" i="5"/>
  <c r="AE7" i="5" s="1"/>
  <c r="X291" i="2"/>
  <c r="X286" i="2"/>
  <c r="Y57" i="2"/>
  <c r="AA57" i="2" s="1"/>
  <c r="P54" i="5" s="1"/>
  <c r="S54" i="5" s="1"/>
  <c r="N9" i="6"/>
  <c r="AD6" i="5"/>
  <c r="AF6" i="5" s="1"/>
  <c r="X15" i="2"/>
  <c r="W12" i="5" s="1"/>
  <c r="Y16" i="2"/>
  <c r="AA16" i="2" s="1"/>
  <c r="P13" i="5" s="1"/>
  <c r="S13" i="5" s="1"/>
  <c r="X258" i="2"/>
  <c r="Y101" i="2"/>
  <c r="AA101" i="2" s="1"/>
  <c r="P98" i="5" s="1"/>
  <c r="S98" i="5" s="1"/>
  <c r="Y28" i="2"/>
  <c r="AA28" i="2" s="1"/>
  <c r="P25" i="5" s="1"/>
  <c r="S25" i="5" s="1"/>
  <c r="N65" i="5"/>
  <c r="R65" i="5" s="1"/>
  <c r="Y83" i="2"/>
  <c r="AA83" i="2" s="1"/>
  <c r="P80" i="5" s="1"/>
  <c r="S80" i="5" s="1"/>
  <c r="Y227" i="2"/>
  <c r="AA227" i="2" s="1"/>
  <c r="X206" i="2"/>
  <c r="Y202" i="2"/>
  <c r="AA202" i="2" s="1"/>
  <c r="X303" i="2"/>
  <c r="X37" i="2"/>
  <c r="W34" i="5" s="1"/>
  <c r="Y112" i="2"/>
  <c r="AA112" i="2" s="1"/>
  <c r="P109" i="5" s="1"/>
  <c r="S109" i="5" s="1"/>
  <c r="X116" i="2"/>
  <c r="W113" i="5" s="1"/>
  <c r="Y193" i="2"/>
  <c r="AA193" i="2" s="1"/>
  <c r="Y275" i="2"/>
  <c r="AA275" i="2" s="1"/>
  <c r="Y299" i="2"/>
  <c r="AA299" i="2" s="1"/>
  <c r="Y218" i="2"/>
  <c r="AA218" i="2" s="1"/>
  <c r="Y194" i="2"/>
  <c r="AA194" i="2" s="1"/>
  <c r="N128" i="5"/>
  <c r="R128" i="5" s="1"/>
  <c r="Y123" i="2"/>
  <c r="AA123" i="2" s="1"/>
  <c r="P120" i="5" s="1"/>
  <c r="S120" i="5" s="1"/>
  <c r="X251" i="2"/>
  <c r="Y58" i="2"/>
  <c r="AA58" i="2" s="1"/>
  <c r="P55" i="5" s="1"/>
  <c r="S55" i="5" s="1"/>
  <c r="Y39" i="2"/>
  <c r="N36" i="5" s="1"/>
  <c r="R36" i="5" s="1"/>
  <c r="Y82" i="2"/>
  <c r="AA82" i="2" s="1"/>
  <c r="P79" i="5" s="1"/>
  <c r="S79" i="5" s="1"/>
  <c r="X122" i="2"/>
  <c r="W119" i="5" s="1"/>
  <c r="Y87" i="2"/>
  <c r="N84" i="5" s="1"/>
  <c r="R84" i="5" s="1"/>
  <c r="Y274" i="2"/>
  <c r="AA274" i="2" s="1"/>
  <c r="Y238" i="2"/>
  <c r="AA238" i="2" s="1"/>
  <c r="X17" i="2"/>
  <c r="W14" i="5" s="1"/>
  <c r="Y252" i="2"/>
  <c r="AA252" i="2" s="1"/>
  <c r="Y205" i="2"/>
  <c r="AA205" i="2" s="1"/>
  <c r="X13" i="2"/>
  <c r="W10" i="5" s="1"/>
  <c r="Y284" i="2"/>
  <c r="AA284" i="2" s="1"/>
  <c r="Y64" i="2"/>
  <c r="AA64" i="2" s="1"/>
  <c r="P61" i="5" s="1"/>
  <c r="S61" i="5" s="1"/>
  <c r="X26" i="2"/>
  <c r="W23" i="5" s="1"/>
  <c r="Y62" i="2"/>
  <c r="N59" i="5" s="1"/>
  <c r="R59" i="5" s="1"/>
  <c r="Y146" i="2"/>
  <c r="AA146" i="2" s="1"/>
  <c r="P143" i="5" s="1"/>
  <c r="S143" i="5" s="1"/>
  <c r="Y129" i="2"/>
  <c r="AA129" i="2" s="1"/>
  <c r="P126" i="5" s="1"/>
  <c r="S126" i="5" s="1"/>
  <c r="X257" i="2"/>
  <c r="N66" i="5"/>
  <c r="R66" i="5" s="1"/>
  <c r="Y95" i="2"/>
  <c r="AA95" i="2" s="1"/>
  <c r="P92" i="5" s="1"/>
  <c r="S92" i="5" s="1"/>
  <c r="X177" i="2"/>
  <c r="X210" i="2"/>
  <c r="Y190" i="2"/>
  <c r="AA190" i="2" s="1"/>
  <c r="Y171" i="2"/>
  <c r="AA171" i="2" s="1"/>
  <c r="X186" i="2"/>
  <c r="Y292" i="2"/>
  <c r="AA292" i="2" s="1"/>
  <c r="X163" i="2"/>
  <c r="Y148" i="2"/>
  <c r="AA148" i="2" s="1"/>
  <c r="P145" i="5" s="1"/>
  <c r="S145" i="5" s="1"/>
  <c r="X66" i="2"/>
  <c r="W63" i="5" s="1"/>
  <c r="Y24" i="2"/>
  <c r="AA24" i="2" s="1"/>
  <c r="P21" i="5" s="1"/>
  <c r="S21" i="5" s="1"/>
  <c r="Y249" i="2"/>
  <c r="AA249" i="2" s="1"/>
  <c r="Y75" i="2"/>
  <c r="AA75" i="2" s="1"/>
  <c r="P72" i="5" s="1"/>
  <c r="S72" i="5" s="1"/>
  <c r="Y94" i="2"/>
  <c r="AA94" i="2" s="1"/>
  <c r="P91" i="5" s="1"/>
  <c r="S91" i="5" s="1"/>
  <c r="Y142" i="2"/>
  <c r="AA142" i="2" s="1"/>
  <c r="P139" i="5" s="1"/>
  <c r="S139" i="5" s="1"/>
  <c r="X189" i="2"/>
  <c r="Y96" i="2"/>
  <c r="N93" i="5" s="1"/>
  <c r="R93" i="5" s="1"/>
  <c r="Y81" i="2"/>
  <c r="AA81" i="2" s="1"/>
  <c r="P78" i="5" s="1"/>
  <c r="S78" i="5" s="1"/>
  <c r="X254" i="2"/>
  <c r="X20" i="2"/>
  <c r="W17" i="5" s="1"/>
  <c r="X276" i="2"/>
  <c r="X70" i="2"/>
  <c r="W67" i="5" s="1"/>
  <c r="X150" i="2"/>
  <c r="W147" i="5" s="1"/>
  <c r="X43" i="2"/>
  <c r="W40" i="5" s="1"/>
  <c r="X256" i="2"/>
  <c r="Y224" i="2"/>
  <c r="AA224" i="2" s="1"/>
  <c r="Y165" i="2"/>
  <c r="AA165" i="2" s="1"/>
  <c r="N123" i="5"/>
  <c r="R123" i="5" s="1"/>
  <c r="X270" i="2"/>
  <c r="AA70" i="2"/>
  <c r="P67" i="5" s="1"/>
  <c r="S67" i="5" s="1"/>
  <c r="N67" i="5"/>
  <c r="R67" i="5" s="1"/>
  <c r="N4" i="5"/>
  <c r="R4" i="5" s="1"/>
  <c r="AA7" i="2"/>
  <c r="P4" i="5" s="1"/>
  <c r="S4" i="5" s="1"/>
  <c r="Y300" i="2"/>
  <c r="AA300" i="2" s="1"/>
  <c r="X88" i="2"/>
  <c r="W85" i="5" s="1"/>
  <c r="AA108" i="2"/>
  <c r="P105" i="5" s="1"/>
  <c r="S105" i="5" s="1"/>
  <c r="Y169" i="2"/>
  <c r="AA169" i="2" s="1"/>
  <c r="X225" i="2"/>
  <c r="X247" i="2"/>
  <c r="X151" i="2"/>
  <c r="W148" i="5" s="1"/>
  <c r="X49" i="2"/>
  <c r="W46" i="5" s="1"/>
  <c r="X296" i="2"/>
  <c r="X54" i="2"/>
  <c r="W51" i="5" s="1"/>
  <c r="Y61" i="2"/>
  <c r="N58" i="5" s="1"/>
  <c r="R58" i="5" s="1"/>
  <c r="Y152" i="2"/>
  <c r="N149" i="5" s="1"/>
  <c r="R149" i="5" s="1"/>
  <c r="Y86" i="2"/>
  <c r="AA86" i="2" s="1"/>
  <c r="P83" i="5" s="1"/>
  <c r="S83" i="5" s="1"/>
  <c r="X167" i="2"/>
  <c r="Y38" i="2"/>
  <c r="AA38" i="2" s="1"/>
  <c r="P35" i="5" s="1"/>
  <c r="S35" i="5" s="1"/>
  <c r="Y42" i="2"/>
  <c r="Y30" i="2"/>
  <c r="X288" i="2"/>
  <c r="Y56" i="2"/>
  <c r="AA56" i="2" s="1"/>
  <c r="P53" i="5" s="1"/>
  <c r="S53" i="5" s="1"/>
  <c r="Y40" i="2"/>
  <c r="AA40" i="2" s="1"/>
  <c r="P37" i="5" s="1"/>
  <c r="S37" i="5" s="1"/>
  <c r="X215" i="2"/>
  <c r="Y168" i="2"/>
  <c r="AA168" i="2" s="1"/>
  <c r="X22" i="2"/>
  <c r="W19" i="5" s="1"/>
  <c r="Y34" i="2"/>
  <c r="AA34" i="2" s="1"/>
  <c r="P31" i="5" s="1"/>
  <c r="S31" i="5" s="1"/>
  <c r="Y67" i="2"/>
  <c r="AA67" i="2" s="1"/>
  <c r="P64" i="5" s="1"/>
  <c r="S64" i="5" s="1"/>
  <c r="X141" i="2"/>
  <c r="W138" i="5" s="1"/>
  <c r="Y104" i="2"/>
  <c r="N101" i="5" s="1"/>
  <c r="R101" i="5" s="1"/>
  <c r="Y109" i="2"/>
  <c r="AA109" i="2" s="1"/>
  <c r="P106" i="5" s="1"/>
  <c r="S106" i="5" s="1"/>
  <c r="X173" i="2"/>
  <c r="Y231" i="2"/>
  <c r="AA231" i="2" s="1"/>
  <c r="Y90" i="2"/>
  <c r="N87" i="5" s="1"/>
  <c r="R87" i="5" s="1"/>
  <c r="Y160" i="2"/>
  <c r="AA160" i="2" s="1"/>
  <c r="X119" i="2"/>
  <c r="W116" i="5" s="1"/>
  <c r="Y92" i="2"/>
  <c r="AA92" i="2" s="1"/>
  <c r="P89" i="5" s="1"/>
  <c r="S89" i="5" s="1"/>
  <c r="X244" i="2"/>
  <c r="X53" i="2"/>
  <c r="W50" i="5" s="1"/>
  <c r="X279" i="2"/>
  <c r="X32" i="2"/>
  <c r="W29" i="5" s="1"/>
  <c r="N40" i="5"/>
  <c r="R40" i="5" s="1"/>
  <c r="X170" i="2"/>
  <c r="Y208" i="2"/>
  <c r="AA208" i="2" s="1"/>
  <c r="X162" i="2"/>
  <c r="Y250" i="2"/>
  <c r="AA250" i="2" s="1"/>
  <c r="X154" i="2"/>
  <c r="X209" i="2"/>
  <c r="Y196" i="2"/>
  <c r="AA196" i="2" s="1"/>
  <c r="X126" i="2"/>
  <c r="W123" i="5" s="1"/>
  <c r="Y200" i="2"/>
  <c r="AA200" i="2" s="1"/>
  <c r="Y281" i="2"/>
  <c r="AA281" i="2" s="1"/>
  <c r="X180" i="2"/>
  <c r="Y233" i="2"/>
  <c r="AA233" i="2" s="1"/>
  <c r="Y267" i="2"/>
  <c r="AA267" i="2" s="1"/>
  <c r="Y203" i="2"/>
  <c r="AA203" i="2" s="1"/>
  <c r="Y130" i="2"/>
  <c r="AA130" i="2" s="1"/>
  <c r="P127" i="5" s="1"/>
  <c r="S127" i="5" s="1"/>
  <c r="X144" i="2"/>
  <c r="W141" i="5" s="1"/>
  <c r="X221" i="2"/>
  <c r="Y78" i="2"/>
  <c r="AA78" i="2" s="1"/>
  <c r="P75" i="5" s="1"/>
  <c r="S75" i="5" s="1"/>
  <c r="X207" i="2"/>
  <c r="X121" i="2"/>
  <c r="W118" i="5" s="1"/>
  <c r="Y106" i="2"/>
  <c r="AA106" i="2" s="1"/>
  <c r="P103" i="5" s="1"/>
  <c r="S103" i="5" s="1"/>
  <c r="Y128" i="2"/>
  <c r="AA128" i="2" s="1"/>
  <c r="P125" i="5" s="1"/>
  <c r="S125" i="5" s="1"/>
  <c r="Y73" i="2"/>
  <c r="AA73" i="2" s="1"/>
  <c r="P70" i="5" s="1"/>
  <c r="S70" i="5" s="1"/>
  <c r="Y27" i="2"/>
  <c r="Y103" i="2"/>
  <c r="Y46" i="2"/>
  <c r="N43" i="5" s="1"/>
  <c r="R43" i="5" s="1"/>
  <c r="N28" i="5"/>
  <c r="R28" i="5" s="1"/>
  <c r="Y100" i="2"/>
  <c r="AA100" i="2" s="1"/>
  <c r="P97" i="5" s="1"/>
  <c r="S97" i="5" s="1"/>
  <c r="Y93" i="2"/>
  <c r="N90" i="5" s="1"/>
  <c r="R90" i="5" s="1"/>
  <c r="X132" i="2"/>
  <c r="W129" i="5" s="1"/>
  <c r="N46" i="5"/>
  <c r="R46" i="5" s="1"/>
  <c r="X226" i="2"/>
  <c r="X172" i="2"/>
  <c r="Y149" i="2"/>
  <c r="AA149" i="2" s="1"/>
  <c r="P146" i="5" s="1"/>
  <c r="S146" i="5" s="1"/>
  <c r="X229" i="2"/>
  <c r="Y91" i="2"/>
  <c r="Y120" i="2"/>
  <c r="X219" i="2"/>
  <c r="X228" i="2"/>
  <c r="N9" i="5"/>
  <c r="R9" i="5" s="1"/>
  <c r="AA12" i="2"/>
  <c r="P9" i="5" s="1"/>
  <c r="S9" i="5" s="1"/>
  <c r="N18" i="5"/>
  <c r="R18" i="5" s="1"/>
  <c r="AA21" i="2"/>
  <c r="P18" i="5" s="1"/>
  <c r="S18" i="5" s="1"/>
  <c r="AA26" i="2"/>
  <c r="P23" i="5" s="1"/>
  <c r="S23" i="5" s="1"/>
  <c r="N23" i="5"/>
  <c r="R23" i="5" s="1"/>
  <c r="Y25" i="2"/>
  <c r="X12" i="2"/>
  <c r="X21" i="2"/>
  <c r="Y65" i="2"/>
  <c r="X65" i="2"/>
  <c r="X98" i="2"/>
  <c r="Y98" i="2"/>
  <c r="Y159" i="2"/>
  <c r="AA159" i="2" s="1"/>
  <c r="X159" i="2"/>
  <c r="X11" i="2"/>
  <c r="X85" i="2"/>
  <c r="Y85" i="2"/>
  <c r="Y138" i="2"/>
  <c r="X138" i="2"/>
  <c r="Y158" i="2"/>
  <c r="AA158" i="2" s="1"/>
  <c r="X158" i="2"/>
  <c r="X201" i="2"/>
  <c r="Y201" i="2"/>
  <c r="AA201" i="2" s="1"/>
  <c r="Y155" i="2"/>
  <c r="AA155" i="2" s="1"/>
  <c r="X155" i="2"/>
  <c r="X147" i="2"/>
  <c r="Y147" i="2"/>
  <c r="Y294" i="2"/>
  <c r="AA294" i="2" s="1"/>
  <c r="X294" i="2"/>
  <c r="X178" i="2"/>
  <c r="Y178" i="2"/>
  <c r="AA178" i="2" s="1"/>
  <c r="Y184" i="2"/>
  <c r="AA184" i="2" s="1"/>
  <c r="X184" i="2"/>
  <c r="Y153" i="2"/>
  <c r="X153" i="2"/>
  <c r="X139" i="2"/>
  <c r="Y139" i="2"/>
  <c r="Y125" i="2"/>
  <c r="X125" i="2"/>
  <c r="AA105" i="2"/>
  <c r="P102" i="5" s="1"/>
  <c r="S102" i="5" s="1"/>
  <c r="N102" i="5"/>
  <c r="R102" i="5" s="1"/>
  <c r="X77" i="2"/>
  <c r="Y77" i="2"/>
  <c r="N56" i="5"/>
  <c r="R56" i="5" s="1"/>
  <c r="AA59" i="2"/>
  <c r="P56" i="5" s="1"/>
  <c r="S56" i="5" s="1"/>
  <c r="N107" i="5"/>
  <c r="R107" i="5" s="1"/>
  <c r="AA110" i="2"/>
  <c r="P107" i="5" s="1"/>
  <c r="S107" i="5" s="1"/>
  <c r="X266" i="2"/>
  <c r="Y266" i="2"/>
  <c r="AA266" i="2" s="1"/>
  <c r="X59" i="2"/>
  <c r="X217" i="2"/>
  <c r="Y217" i="2"/>
  <c r="AA217" i="2" s="1"/>
  <c r="Y14" i="2"/>
  <c r="Y191" i="2"/>
  <c r="AA191" i="2" s="1"/>
  <c r="AA10" i="2"/>
  <c r="P7" i="5" s="1"/>
  <c r="S7" i="5" s="1"/>
  <c r="AA144" i="2"/>
  <c r="P141" i="5" s="1"/>
  <c r="S141" i="5" s="1"/>
  <c r="N141" i="5"/>
  <c r="R141" i="5" s="1"/>
  <c r="Y117" i="2"/>
  <c r="Y97" i="2"/>
  <c r="X183" i="2"/>
  <c r="N5" i="5"/>
  <c r="R5" i="5" s="1"/>
  <c r="Y74" i="2"/>
  <c r="X74" i="2"/>
  <c r="N19" i="5"/>
  <c r="R19" i="5" s="1"/>
  <c r="N14" i="5"/>
  <c r="R14" i="5" s="1"/>
  <c r="AA37" i="2"/>
  <c r="P34" i="5" s="1"/>
  <c r="S34" i="5" s="1"/>
  <c r="N34" i="5"/>
  <c r="R34" i="5" s="1"/>
  <c r="Y41" i="2"/>
  <c r="X133" i="2"/>
  <c r="Y133" i="2"/>
  <c r="Y134" i="2"/>
  <c r="X235" i="2"/>
  <c r="N47" i="5"/>
  <c r="R47" i="5" s="1"/>
  <c r="X63" i="2"/>
  <c r="Y63" i="2"/>
  <c r="Y301" i="2"/>
  <c r="AA301" i="2" s="1"/>
  <c r="X301" i="2"/>
  <c r="X99" i="2"/>
  <c r="Y99" i="2"/>
  <c r="Y260" i="2"/>
  <c r="AA260" i="2" s="1"/>
  <c r="Y263" i="2"/>
  <c r="AA263" i="2" s="1"/>
  <c r="X263" i="2"/>
  <c r="X60" i="2"/>
  <c r="AA119" i="2"/>
  <c r="P116" i="5" s="1"/>
  <c r="S116" i="5" s="1"/>
  <c r="N116" i="5"/>
  <c r="R116" i="5" s="1"/>
  <c r="N12" i="5"/>
  <c r="R12" i="5" s="1"/>
  <c r="X80" i="2"/>
  <c r="Y80" i="2"/>
  <c r="X55" i="2"/>
  <c r="Y55" i="2"/>
  <c r="Y102" i="2"/>
  <c r="X102" i="2"/>
  <c r="AA53" i="2"/>
  <c r="P50" i="5" s="1"/>
  <c r="S50" i="5" s="1"/>
  <c r="N50" i="5"/>
  <c r="R50" i="5" s="1"/>
  <c r="Y181" i="2"/>
  <c r="AA181" i="2" s="1"/>
  <c r="X50" i="2"/>
  <c r="Y84" i="2"/>
  <c r="X68" i="2"/>
  <c r="Y305" i="2"/>
  <c r="AA305" i="2" s="1"/>
  <c r="X305" i="2"/>
  <c r="B191" i="2"/>
  <c r="A191" i="2" s="1"/>
  <c r="B140" i="2"/>
  <c r="A140" i="2" s="1"/>
  <c r="B85" i="2"/>
  <c r="A85" i="2" s="1"/>
  <c r="B48" i="2"/>
  <c r="A48" i="2" s="1"/>
  <c r="B239" i="2"/>
  <c r="A239" i="2" s="1"/>
  <c r="B188" i="2"/>
  <c r="A188" i="2" s="1"/>
  <c r="B203" i="2"/>
  <c r="A203" i="2" s="1"/>
  <c r="B240" i="2"/>
  <c r="A240" i="2" s="1"/>
  <c r="B104" i="2"/>
  <c r="A104" i="2" s="1"/>
  <c r="B244" i="2"/>
  <c r="A244" i="2" s="1"/>
  <c r="B96" i="2"/>
  <c r="A96" i="2" s="1"/>
  <c r="B269" i="2"/>
  <c r="A269" i="2" s="1"/>
  <c r="B195" i="2"/>
  <c r="A195" i="2" s="1"/>
  <c r="B43" i="2"/>
  <c r="A43" i="2" s="1"/>
  <c r="B91" i="2"/>
  <c r="A91" i="2" s="1"/>
  <c r="B292" i="2"/>
  <c r="A292" i="2" s="1"/>
  <c r="B103" i="2"/>
  <c r="A103" i="2" s="1"/>
  <c r="B263" i="2"/>
  <c r="A263" i="2" s="1"/>
  <c r="B181" i="2"/>
  <c r="A181" i="2" s="1"/>
  <c r="B78" i="2"/>
  <c r="A78" i="2" s="1"/>
  <c r="B122" i="2"/>
  <c r="A122" i="2" s="1"/>
  <c r="B176" i="2"/>
  <c r="A176" i="2" s="1"/>
  <c r="B57" i="2"/>
  <c r="A57" i="2" s="1"/>
  <c r="B301" i="2"/>
  <c r="A301" i="2" s="1"/>
  <c r="B153" i="2"/>
  <c r="A153" i="2" s="1"/>
  <c r="B202" i="2"/>
  <c r="A202" i="2" s="1"/>
  <c r="B233" i="2"/>
  <c r="A233" i="2" s="1"/>
  <c r="B250" i="2"/>
  <c r="A250" i="2" s="1"/>
  <c r="B255" i="2"/>
  <c r="A255" i="2" s="1"/>
  <c r="B204" i="2"/>
  <c r="A204" i="2" s="1"/>
  <c r="B267" i="2"/>
  <c r="A267" i="2" s="1"/>
  <c r="B47" i="2"/>
  <c r="A47" i="2" s="1"/>
  <c r="B227" i="2"/>
  <c r="A227" i="2" s="1"/>
  <c r="B112" i="2"/>
  <c r="A112" i="2" s="1"/>
  <c r="B237" i="2"/>
  <c r="A237" i="2" s="1"/>
  <c r="B87" i="2"/>
  <c r="A87" i="2" s="1"/>
  <c r="B102" i="2"/>
  <c r="A102" i="2" s="1"/>
  <c r="B139" i="2"/>
  <c r="A139" i="2" s="1"/>
  <c r="B16" i="2"/>
  <c r="A16" i="2" s="1"/>
  <c r="B224" i="2"/>
  <c r="A224" i="2" s="1"/>
  <c r="B296" i="2"/>
  <c r="A296" i="2" s="1"/>
  <c r="B213" i="2"/>
  <c r="A213" i="2" s="1"/>
  <c r="B53" i="2"/>
  <c r="A53" i="2" s="1"/>
  <c r="B75" i="2"/>
  <c r="A75" i="2" s="1"/>
  <c r="B275" i="2"/>
  <c r="A275" i="2" s="1"/>
  <c r="B97" i="2"/>
  <c r="A97" i="2" s="1"/>
  <c r="B149" i="2"/>
  <c r="A149" i="2" s="1"/>
  <c r="B241" i="2"/>
  <c r="A241" i="2" s="1"/>
  <c r="B236" i="2"/>
  <c r="A236" i="2" s="1"/>
  <c r="B37" i="2"/>
  <c r="A37" i="2" s="1"/>
  <c r="B123" i="2"/>
  <c r="A123" i="2" s="1"/>
  <c r="B83" i="2"/>
  <c r="A83" i="2" s="1"/>
  <c r="B73" i="2"/>
  <c r="A73" i="2" s="1"/>
  <c r="B77" i="2"/>
  <c r="A77" i="2" s="1"/>
  <c r="B226" i="2"/>
  <c r="A226" i="2" s="1"/>
  <c r="B63" i="2"/>
  <c r="A63" i="2" s="1"/>
  <c r="B106" i="2"/>
  <c r="A106" i="2" s="1"/>
  <c r="B268" i="2"/>
  <c r="A268" i="2" s="1"/>
  <c r="B216" i="2"/>
  <c r="A216" i="2" s="1"/>
  <c r="B111" i="2"/>
  <c r="A111" i="2" s="1"/>
  <c r="B60" i="2"/>
  <c r="A60" i="2" s="1"/>
  <c r="B70" i="2"/>
  <c r="A70" i="2" s="1"/>
  <c r="B35" i="2"/>
  <c r="A35" i="2" s="1"/>
  <c r="B177" i="2"/>
  <c r="A177" i="2" s="1"/>
  <c r="B39" i="2"/>
  <c r="A39" i="2" s="1"/>
  <c r="B105" i="2"/>
  <c r="A105" i="2" s="1"/>
  <c r="B141" i="2"/>
  <c r="A141" i="2" s="1"/>
  <c r="B100" i="2"/>
  <c r="A100" i="2" s="1"/>
  <c r="B199" i="2"/>
  <c r="A199" i="2" s="1"/>
  <c r="B251" i="2"/>
  <c r="A251" i="2" s="1"/>
  <c r="B72" i="2"/>
  <c r="A72" i="2" s="1"/>
  <c r="B243" i="2"/>
  <c r="A243" i="2" s="1"/>
  <c r="B157" i="2"/>
  <c r="A157" i="2" s="1"/>
  <c r="B256" i="2"/>
  <c r="A256" i="2" s="1"/>
  <c r="B247" i="2"/>
  <c r="A247" i="2" s="1"/>
  <c r="B274" i="2"/>
  <c r="A274" i="2" s="1"/>
  <c r="B108" i="2"/>
  <c r="A108" i="2" s="1"/>
  <c r="B220" i="2"/>
  <c r="A220" i="2" s="1"/>
  <c r="B61" i="2"/>
  <c r="A61" i="2" s="1"/>
  <c r="B248" i="2"/>
  <c r="A248" i="2" s="1"/>
  <c r="B299" i="2"/>
  <c r="A299" i="2" s="1"/>
  <c r="B127" i="2"/>
  <c r="A127" i="2" s="1"/>
  <c r="B76" i="2"/>
  <c r="A76" i="2" s="1"/>
  <c r="B130" i="2"/>
  <c r="A130" i="2" s="1"/>
  <c r="B99" i="2"/>
  <c r="A99" i="2" s="1"/>
  <c r="B175" i="2"/>
  <c r="A175" i="2" s="1"/>
  <c r="B124" i="2"/>
  <c r="A124" i="2" s="1"/>
  <c r="B69" i="2"/>
  <c r="A69" i="2" s="1"/>
  <c r="B172" i="2"/>
  <c r="A172" i="2" s="1"/>
  <c r="B144" i="2"/>
  <c r="A144" i="2" s="1"/>
  <c r="B113" i="2"/>
  <c r="A113" i="2" s="1"/>
  <c r="B295" i="2"/>
  <c r="A295" i="2" s="1"/>
  <c r="B151" i="2"/>
  <c r="A151" i="2" s="1"/>
  <c r="B148" i="2"/>
  <c r="A148" i="2" s="1"/>
  <c r="B84" i="2"/>
  <c r="A84" i="2" s="1"/>
  <c r="B164" i="2"/>
  <c r="A164" i="2" s="1"/>
  <c r="B174" i="2"/>
  <c r="A174" i="2" s="1"/>
  <c r="B232" i="2"/>
  <c r="A232" i="2" s="1"/>
  <c r="B207" i="2"/>
  <c r="A207" i="2" s="1"/>
  <c r="B132" i="2"/>
  <c r="A132" i="2" s="1"/>
  <c r="B221" i="2"/>
  <c r="A221" i="2" s="1"/>
  <c r="B31" i="2"/>
  <c r="A31" i="2" s="1"/>
  <c r="B304" i="2"/>
  <c r="A304" i="2" s="1"/>
  <c r="B257" i="2"/>
  <c r="A257" i="2" s="1"/>
  <c r="B234" i="2"/>
  <c r="A234" i="2" s="1"/>
  <c r="B133" i="2"/>
  <c r="A133" i="2" s="1"/>
  <c r="B28" i="2"/>
  <c r="A28" i="2" s="1"/>
  <c r="B264" i="2"/>
  <c r="A264" i="2" s="1"/>
  <c r="B165" i="2"/>
  <c r="A165" i="2" s="1"/>
  <c r="B36" i="2"/>
  <c r="A36" i="2" s="1"/>
  <c r="B212" i="2"/>
  <c r="A212" i="2" s="1"/>
  <c r="B142" i="2"/>
  <c r="A142" i="2" s="1"/>
  <c r="B33" i="2"/>
  <c r="A33" i="2" s="1"/>
  <c r="B163" i="2"/>
  <c r="A163" i="2" s="1"/>
  <c r="B173" i="2"/>
  <c r="A173" i="2" s="1"/>
  <c r="B288" i="2"/>
  <c r="A288" i="2" s="1"/>
  <c r="B235" i="2"/>
  <c r="A235" i="2" s="1"/>
  <c r="B135" i="2"/>
  <c r="A135" i="2" s="1"/>
  <c r="B64" i="2"/>
  <c r="A64" i="2" s="1"/>
  <c r="B238" i="2"/>
  <c r="A238" i="2" s="1"/>
  <c r="B300" i="2"/>
  <c r="A300" i="2" s="1"/>
  <c r="B160" i="2"/>
  <c r="A160" i="2" s="1"/>
  <c r="B27" i="2"/>
  <c r="A27" i="2" s="1"/>
  <c r="B305" i="2"/>
  <c r="A305" i="2" s="1"/>
  <c r="B62" i="2"/>
  <c r="A62" i="2" s="1"/>
  <c r="B79" i="2"/>
  <c r="A79" i="2" s="1"/>
  <c r="B156" i="2"/>
  <c r="A156" i="2" s="1"/>
  <c r="B303" i="2"/>
  <c r="A303" i="2" s="1"/>
  <c r="B152" i="2"/>
  <c r="A152" i="2" s="1"/>
  <c r="B155" i="2"/>
  <c r="A155" i="2" s="1"/>
  <c r="B41" i="2"/>
  <c r="A41" i="2" s="1"/>
  <c r="B45" i="2"/>
  <c r="A45" i="2" s="1"/>
  <c r="B231" i="2"/>
  <c r="A231" i="2" s="1"/>
  <c r="B193" i="2"/>
  <c r="A193" i="2" s="1"/>
  <c r="B245" i="2"/>
  <c r="A245" i="2" s="1"/>
  <c r="B271" i="2"/>
  <c r="A271" i="2" s="1"/>
  <c r="B223" i="2"/>
  <c r="A223" i="2" s="1"/>
  <c r="B168" i="2"/>
  <c r="A168" i="2" s="1"/>
  <c r="B290" i="2"/>
  <c r="A290" i="2" s="1"/>
  <c r="B208" i="2"/>
  <c r="A208" i="2" s="1"/>
  <c r="B182" i="2"/>
  <c r="A182" i="2" s="1"/>
  <c r="B228" i="2"/>
  <c r="A228" i="2" s="1"/>
  <c r="B178" i="2"/>
  <c r="A178" i="2" s="1"/>
  <c r="B170" i="2"/>
  <c r="A170" i="2" s="1"/>
  <c r="B219" i="2"/>
  <c r="A219" i="2" s="1"/>
  <c r="B282" i="2"/>
  <c r="A282" i="2" s="1"/>
  <c r="B230" i="2"/>
  <c r="A230" i="2" s="1"/>
  <c r="B145" i="2"/>
  <c r="A145" i="2" s="1"/>
  <c r="B40" i="2"/>
  <c r="A40" i="2" s="1"/>
  <c r="B229" i="2"/>
  <c r="A229" i="2" s="1"/>
  <c r="B192" i="2"/>
  <c r="A192" i="2" s="1"/>
  <c r="B286" i="2"/>
  <c r="A286" i="2" s="1"/>
  <c r="B259" i="2"/>
  <c r="A259" i="2" s="1"/>
  <c r="B280" i="2"/>
  <c r="A280" i="2" s="1"/>
  <c r="B187" i="2"/>
  <c r="A187" i="2" s="1"/>
  <c r="B298" i="2"/>
  <c r="A298" i="2" s="1"/>
  <c r="B74" i="2"/>
  <c r="A74" i="2" s="1"/>
  <c r="B119" i="2"/>
  <c r="A119" i="2" s="1"/>
  <c r="B217" i="2"/>
  <c r="A217" i="2" s="1"/>
  <c r="B68" i="2"/>
  <c r="A68" i="2" s="1"/>
  <c r="B158" i="2"/>
  <c r="A158" i="2" s="1"/>
  <c r="B272" i="2"/>
  <c r="A272" i="2" s="1"/>
  <c r="B128" i="2"/>
  <c r="A128" i="2" s="1"/>
  <c r="B116" i="2"/>
  <c r="A116" i="2" s="1"/>
  <c r="B291" i="2"/>
  <c r="A291" i="2" s="1"/>
  <c r="B120" i="2"/>
  <c r="A120" i="2" s="1"/>
  <c r="B205" i="2"/>
  <c r="A205" i="2" s="1"/>
  <c r="B80" i="2"/>
  <c r="A80" i="2" s="1"/>
  <c r="B189" i="2"/>
  <c r="A189" i="2" s="1"/>
  <c r="B200" i="2"/>
  <c r="A200" i="2" s="1"/>
  <c r="B81" i="2"/>
  <c r="A81" i="2" s="1"/>
  <c r="B159" i="2"/>
  <c r="A159" i="2" s="1"/>
  <c r="B42" i="2"/>
  <c r="A42" i="2" s="1"/>
  <c r="B56" i="2"/>
  <c r="A56" i="2" s="1"/>
  <c r="B86" i="2"/>
  <c r="A86" i="2" s="1"/>
  <c r="B209" i="2"/>
  <c r="A209" i="2" s="1"/>
  <c r="B281" i="2"/>
  <c r="A281" i="2" s="1"/>
  <c r="B222" i="2"/>
  <c r="A222" i="2" s="1"/>
  <c r="B107" i="2"/>
  <c r="A107" i="2" s="1"/>
  <c r="B38" i="2"/>
  <c r="A38" i="2" s="1"/>
  <c r="B71" i="2"/>
  <c r="A71" i="2" s="1"/>
  <c r="B51" i="2"/>
  <c r="A51" i="2" s="1"/>
  <c r="B210" i="2"/>
  <c r="A210" i="2" s="1"/>
  <c r="B161" i="2"/>
  <c r="A161" i="2" s="1"/>
  <c r="B52" i="2"/>
  <c r="A52" i="2" s="1"/>
  <c r="B197" i="2"/>
  <c r="A197" i="2" s="1"/>
  <c r="B287" i="2"/>
  <c r="A287" i="2" s="1"/>
  <c r="B92" i="2"/>
  <c r="A92" i="2" s="1"/>
  <c r="B167" i="2"/>
  <c r="A167" i="2" s="1"/>
  <c r="B138" i="2"/>
  <c r="A138" i="2" s="1"/>
  <c r="B285" i="2"/>
  <c r="A285" i="2" s="1"/>
  <c r="B110" i="2"/>
  <c r="A110" i="2" s="1"/>
  <c r="B179" i="2"/>
  <c r="A179" i="2" s="1"/>
  <c r="B211" i="2"/>
  <c r="A211" i="2" s="1"/>
  <c r="B261" i="2"/>
  <c r="A261" i="2" s="1"/>
  <c r="B198" i="2"/>
  <c r="A198" i="2" s="1"/>
  <c r="B115" i="2"/>
  <c r="A115" i="2" s="1"/>
  <c r="B253" i="2"/>
  <c r="A253" i="2" s="1"/>
  <c r="B30" i="2"/>
  <c r="A30" i="2" s="1"/>
  <c r="B185" i="2"/>
  <c r="A185" i="2" s="1"/>
  <c r="B297" i="2"/>
  <c r="A297" i="2" s="1"/>
  <c r="B252" i="2"/>
  <c r="A252" i="2" s="1"/>
  <c r="B169" i="2"/>
  <c r="A169" i="2" s="1"/>
  <c r="B283" i="2"/>
  <c r="A283" i="2" s="1"/>
  <c r="B201" i="2"/>
  <c r="A201" i="2" s="1"/>
  <c r="B246" i="2"/>
  <c r="A246" i="2" s="1"/>
  <c r="B126" i="2"/>
  <c r="A126" i="2" s="1"/>
  <c r="B218" i="2"/>
  <c r="A218" i="2" s="1"/>
  <c r="B190" i="2"/>
  <c r="A190" i="2" s="1"/>
  <c r="B146" i="2"/>
  <c r="A146" i="2" s="1"/>
  <c r="B242" i="2"/>
  <c r="A242" i="2" s="1"/>
  <c r="B29" i="2"/>
  <c r="A29" i="2" s="1"/>
  <c r="B262" i="2"/>
  <c r="A262" i="2" s="1"/>
  <c r="B186" i="2"/>
  <c r="A186" i="2" s="1"/>
  <c r="B166" i="2"/>
  <c r="A166" i="2" s="1"/>
  <c r="B93" i="2"/>
  <c r="A93" i="2" s="1"/>
  <c r="B101" i="2"/>
  <c r="A101" i="2" s="1"/>
  <c r="B109" i="2"/>
  <c r="A109" i="2" s="1"/>
  <c r="B276" i="2"/>
  <c r="A276" i="2" s="1"/>
  <c r="B59" i="2"/>
  <c r="A59" i="2" s="1"/>
  <c r="B117" i="2"/>
  <c r="A117" i="2" s="1"/>
  <c r="B89" i="2"/>
  <c r="A89" i="2" s="1"/>
  <c r="B196" i="2"/>
  <c r="A196" i="2" s="1"/>
  <c r="B143" i="2"/>
  <c r="A143" i="2" s="1"/>
  <c r="B125" i="2"/>
  <c r="A125" i="2" s="1"/>
  <c r="B82" i="2"/>
  <c r="A82" i="2" s="1"/>
  <c r="B302" i="2"/>
  <c r="A302" i="2" s="1"/>
  <c r="B266" i="2"/>
  <c r="A266" i="2" s="1"/>
  <c r="B171" i="2"/>
  <c r="A171" i="2" s="1"/>
  <c r="B55" i="2"/>
  <c r="A55" i="2" s="1"/>
  <c r="B277" i="2"/>
  <c r="A277" i="2" s="1"/>
  <c r="B66" i="2"/>
  <c r="A66" i="2" s="1"/>
  <c r="B137" i="2"/>
  <c r="A137" i="2" s="1"/>
  <c r="B26" i="2"/>
  <c r="A26" i="2" s="1"/>
  <c r="B129" i="2"/>
  <c r="A129" i="2" s="1"/>
  <c r="B49" i="2"/>
  <c r="A49" i="2" s="1"/>
  <c r="B50" i="2"/>
  <c r="A50" i="2" s="1"/>
  <c r="B131" i="2"/>
  <c r="A131" i="2" s="1"/>
  <c r="B58" i="2"/>
  <c r="A58" i="2" s="1"/>
  <c r="B134" i="2"/>
  <c r="A134" i="2" s="1"/>
  <c r="B95" i="2"/>
  <c r="A95" i="2" s="1"/>
  <c r="B254" i="2"/>
  <c r="A254" i="2" s="1"/>
  <c r="B293" i="2"/>
  <c r="A293" i="2" s="1"/>
  <c r="B150" i="2"/>
  <c r="A150" i="2" s="1"/>
  <c r="B88" i="2"/>
  <c r="A88" i="2" s="1"/>
  <c r="B206" i="2"/>
  <c r="A206" i="2" s="1"/>
  <c r="B32" i="2"/>
  <c r="A32" i="2" s="1"/>
  <c r="B98" i="2"/>
  <c r="A98" i="2" s="1"/>
  <c r="B258" i="2"/>
  <c r="A258" i="2" s="1"/>
  <c r="B215" i="2"/>
  <c r="A215" i="2" s="1"/>
  <c r="B65" i="2"/>
  <c r="A65" i="2" s="1"/>
  <c r="B180" i="2"/>
  <c r="A180" i="2" s="1"/>
  <c r="B278" i="2"/>
  <c r="A278" i="2" s="1"/>
  <c r="B294" i="2"/>
  <c r="A294" i="2" s="1"/>
  <c r="B154" i="2"/>
  <c r="A154" i="2" s="1"/>
  <c r="B44" i="2"/>
  <c r="A44" i="2" s="1"/>
  <c r="B114" i="2"/>
  <c r="A114" i="2" s="1"/>
  <c r="B94" i="2"/>
  <c r="A94" i="2" s="1"/>
  <c r="B162" i="2"/>
  <c r="A162" i="2" s="1"/>
  <c r="B194" i="2"/>
  <c r="A194" i="2" s="1"/>
  <c r="B284" i="2"/>
  <c r="A284" i="2" s="1"/>
  <c r="B265" i="2"/>
  <c r="A265" i="2" s="1"/>
  <c r="B249" i="2"/>
  <c r="A249" i="2" s="1"/>
  <c r="B183" i="2"/>
  <c r="A183" i="2" s="1"/>
  <c r="B46" i="2"/>
  <c r="A46" i="2" s="1"/>
  <c r="B54" i="2"/>
  <c r="A54" i="2" s="1"/>
  <c r="B214" i="2"/>
  <c r="A214" i="2" s="1"/>
  <c r="B273" i="2"/>
  <c r="A273" i="2" s="1"/>
  <c r="B270" i="2"/>
  <c r="A270" i="2" s="1"/>
  <c r="B121" i="2"/>
  <c r="A121" i="2" s="1"/>
  <c r="B260" i="2"/>
  <c r="A260" i="2" s="1"/>
  <c r="B34" i="2"/>
  <c r="A34" i="2" s="1"/>
  <c r="B67" i="2"/>
  <c r="A67" i="2" s="1"/>
  <c r="B289" i="2"/>
  <c r="A289" i="2" s="1"/>
  <c r="B136" i="2"/>
  <c r="A136" i="2" s="1"/>
  <c r="B118" i="2"/>
  <c r="A118" i="2" s="1"/>
  <c r="AB13" i="5"/>
  <c r="B225" i="2"/>
  <c r="A225" i="2" s="1"/>
  <c r="B147" i="2"/>
  <c r="A147" i="2" s="1"/>
  <c r="B20" i="2"/>
  <c r="A20" i="2" s="1"/>
  <c r="B90" i="2"/>
  <c r="A90" i="2" s="1"/>
  <c r="B184" i="2"/>
  <c r="A184" i="2" s="1"/>
  <c r="B279" i="2"/>
  <c r="A279" i="2" s="1"/>
  <c r="X7" i="2"/>
  <c r="N6" i="5"/>
  <c r="R6" i="5" s="1"/>
  <c r="AA88" i="2"/>
  <c r="P85" i="5" s="1"/>
  <c r="S85" i="5" s="1"/>
  <c r="N85" i="5"/>
  <c r="R85" i="5" s="1"/>
  <c r="Y298" i="2"/>
  <c r="AA298" i="2" s="1"/>
  <c r="X298" i="2"/>
  <c r="Y220" i="2"/>
  <c r="AA220" i="2" s="1"/>
  <c r="X220" i="2"/>
  <c r="Y35" i="2"/>
  <c r="X35" i="2"/>
  <c r="Y107" i="2"/>
  <c r="X107" i="2"/>
  <c r="AA54" i="2"/>
  <c r="P51" i="5" s="1"/>
  <c r="S51" i="5" s="1"/>
  <c r="N51" i="5"/>
  <c r="R51" i="5" s="1"/>
  <c r="N63" i="5"/>
  <c r="R63" i="5" s="1"/>
  <c r="Y52" i="2"/>
  <c r="X135" i="2"/>
  <c r="X113" i="2"/>
  <c r="Y113" i="2"/>
  <c r="AA13" i="2"/>
  <c r="P10" i="5" s="1"/>
  <c r="S10" i="5" s="1"/>
  <c r="N132" i="5"/>
  <c r="R132" i="5" s="1"/>
  <c r="AA20" i="2"/>
  <c r="P17" i="5" s="1"/>
  <c r="S17" i="5" s="1"/>
  <c r="N17" i="5"/>
  <c r="R17" i="5" s="1"/>
  <c r="AA122" i="2"/>
  <c r="P119" i="5" s="1"/>
  <c r="S119" i="5" s="1"/>
  <c r="N119" i="5"/>
  <c r="R119" i="5" s="1"/>
  <c r="AA145" i="2"/>
  <c r="P142" i="5" s="1"/>
  <c r="S142" i="5" s="1"/>
  <c r="N142" i="5"/>
  <c r="R142" i="5" s="1"/>
  <c r="Y161" i="2"/>
  <c r="AA161" i="2" s="1"/>
  <c r="X161" i="2"/>
  <c r="X31" i="2"/>
  <c r="X277" i="2"/>
  <c r="Y277" i="2"/>
  <c r="AA277" i="2" s="1"/>
  <c r="X241" i="2"/>
  <c r="Y241" i="2"/>
  <c r="AA241" i="2" s="1"/>
  <c r="X240" i="2"/>
  <c r="Y240" i="2"/>
  <c r="AA240" i="2" s="1"/>
  <c r="W3" i="5"/>
  <c r="Z6" i="2"/>
  <c r="AB6" i="2" s="1"/>
  <c r="Y124" i="2"/>
  <c r="X124" i="2"/>
  <c r="AA11" i="2"/>
  <c r="P8" i="5" s="1"/>
  <c r="S8" i="5" s="1"/>
  <c r="N8" i="5"/>
  <c r="R8" i="5" s="1"/>
  <c r="X9" i="2"/>
  <c r="Y29" i="2"/>
  <c r="X243" i="2"/>
  <c r="Y243" i="2"/>
  <c r="AA243" i="2" s="1"/>
  <c r="Y6" i="2"/>
  <c r="X10" i="2"/>
  <c r="X195" i="2"/>
  <c r="Y72" i="2"/>
  <c r="X8" i="2"/>
  <c r="X114" i="2"/>
  <c r="Y114" i="2"/>
  <c r="Y18" i="2"/>
  <c r="X19" i="2"/>
  <c r="X211" i="2"/>
  <c r="Y51" i="2"/>
  <c r="X51" i="2"/>
  <c r="AA121" i="2"/>
  <c r="P118" i="5" s="1"/>
  <c r="S118" i="5" s="1"/>
  <c r="N118" i="5"/>
  <c r="R118" i="5" s="1"/>
  <c r="Y45" i="2"/>
  <c r="Y48" i="2"/>
  <c r="N16" i="5"/>
  <c r="R16" i="5" s="1"/>
  <c r="X223" i="2"/>
  <c r="Y216" i="2"/>
  <c r="AA216" i="2" s="1"/>
  <c r="X216" i="2"/>
  <c r="X213" i="2"/>
  <c r="Y213" i="2"/>
  <c r="AA213" i="2" s="1"/>
  <c r="X23" i="2"/>
  <c r="Y23" i="2"/>
  <c r="N57" i="5"/>
  <c r="R57" i="5" s="1"/>
  <c r="X47" i="2"/>
  <c r="Y47" i="2"/>
  <c r="Y136" i="2"/>
  <c r="X136" i="2"/>
  <c r="X145" i="2"/>
  <c r="Y175" i="2"/>
  <c r="AA175" i="2" s="1"/>
  <c r="X175" i="2"/>
  <c r="X282" i="2"/>
  <c r="AA132" i="2"/>
  <c r="P129" i="5" s="1"/>
  <c r="S129" i="5" s="1"/>
  <c r="N129" i="5"/>
  <c r="R129" i="5" s="1"/>
  <c r="X242" i="2"/>
  <c r="X287" i="2"/>
  <c r="X290" i="2"/>
  <c r="X108" i="2"/>
  <c r="X140" i="2"/>
  <c r="Y283" i="2"/>
  <c r="AA283" i="2" s="1"/>
  <c r="Y36" i="2"/>
  <c r="X105" i="2"/>
  <c r="X69" i="2"/>
  <c r="Y33" i="2"/>
  <c r="X302" i="2"/>
  <c r="Y192" i="2"/>
  <c r="AA192" i="2" s="1"/>
  <c r="X192" i="2"/>
  <c r="X222" i="2"/>
  <c r="N29" i="5"/>
  <c r="R29" i="5" s="1"/>
  <c r="B24" i="2"/>
  <c r="A24" i="2" s="1"/>
  <c r="Y115" i="2"/>
  <c r="Y278" i="2"/>
  <c r="AA278" i="2" s="1"/>
  <c r="X278" i="2"/>
  <c r="X89" i="2"/>
  <c r="Y89" i="2"/>
  <c r="X237" i="2"/>
  <c r="Y237" i="2"/>
  <c r="AA237" i="2" s="1"/>
  <c r="Y71" i="2"/>
  <c r="X71" i="2"/>
  <c r="X197" i="2"/>
  <c r="Y197" i="2"/>
  <c r="AA197" i="2" s="1"/>
  <c r="X79" i="2"/>
  <c r="Y79" i="2"/>
  <c r="N113" i="5"/>
  <c r="R113" i="5" s="1"/>
  <c r="X295" i="2"/>
  <c r="Y295" i="2"/>
  <c r="AA295" i="2" s="1"/>
  <c r="X182" i="2"/>
  <c r="Y182" i="2"/>
  <c r="AA182" i="2" s="1"/>
  <c r="AA140" i="2"/>
  <c r="P137" i="5" s="1"/>
  <c r="S137" i="5" s="1"/>
  <c r="N137" i="5"/>
  <c r="R137" i="5" s="1"/>
  <c r="Y111" i="2"/>
  <c r="X111" i="2"/>
  <c r="Y137" i="2"/>
  <c r="Y185" i="2"/>
  <c r="AA185" i="2" s="1"/>
  <c r="X185" i="2"/>
  <c r="Y280" i="2"/>
  <c r="AA280" i="2" s="1"/>
  <c r="X280" i="2"/>
  <c r="X174" i="2"/>
  <c r="Y174" i="2"/>
  <c r="AA174" i="2" s="1"/>
  <c r="Y234" i="2"/>
  <c r="AA234" i="2" s="1"/>
  <c r="X234" i="2"/>
  <c r="Y285" i="2"/>
  <c r="AA285" i="2" s="1"/>
  <c r="X285" i="2"/>
  <c r="Y187" i="2"/>
  <c r="AA187" i="2" s="1"/>
  <c r="X187" i="2"/>
  <c r="X199" i="2"/>
  <c r="Y199" i="2"/>
  <c r="AA199" i="2" s="1"/>
  <c r="N147" i="5"/>
  <c r="R147" i="5" s="1"/>
  <c r="X179" i="2"/>
  <c r="Y179" i="2"/>
  <c r="AA179" i="2" s="1"/>
  <c r="X289" i="2"/>
  <c r="Y289" i="2"/>
  <c r="AA289" i="2" s="1"/>
  <c r="AA141" i="2"/>
  <c r="P138" i="5" s="1"/>
  <c r="S138" i="5" s="1"/>
  <c r="N138" i="5"/>
  <c r="R138" i="5" s="1"/>
  <c r="B18" i="2"/>
  <c r="A18" i="2" s="1"/>
  <c r="AB15" i="5"/>
  <c r="Y236" i="2"/>
  <c r="AA236" i="2" s="1"/>
  <c r="X236" i="2"/>
  <c r="X268" i="2"/>
  <c r="Y268" i="2"/>
  <c r="AA268" i="2" s="1"/>
  <c r="X118" i="2"/>
  <c r="Y118" i="2"/>
  <c r="X272" i="2"/>
  <c r="Y272" i="2"/>
  <c r="AA272" i="2" s="1"/>
  <c r="AB21" i="5"/>
  <c r="X245" i="2"/>
  <c r="Y245" i="2"/>
  <c r="AA245" i="2" s="1"/>
  <c r="Y127" i="2"/>
  <c r="X188" i="2"/>
  <c r="X110" i="2"/>
  <c r="Y76" i="2"/>
  <c r="Y271" i="2"/>
  <c r="AA271" i="2" s="1"/>
  <c r="X164" i="2"/>
  <c r="X198" i="2"/>
  <c r="X232" i="2"/>
  <c r="Y212" i="2"/>
  <c r="AA212" i="2" s="1"/>
  <c r="X248" i="2"/>
  <c r="X246" i="2"/>
  <c r="Y253" i="2"/>
  <c r="AA253" i="2" s="1"/>
  <c r="Y293" i="2"/>
  <c r="AA293" i="2" s="1"/>
  <c r="Y255" i="2"/>
  <c r="AA255" i="2" s="1"/>
  <c r="X255" i="2"/>
  <c r="Y176" i="2"/>
  <c r="AA176" i="2" s="1"/>
  <c r="X176" i="2"/>
  <c r="Y156" i="2"/>
  <c r="AA156" i="2" s="1"/>
  <c r="N148" i="5"/>
  <c r="R148" i="5" s="1"/>
  <c r="AA151" i="2"/>
  <c r="P148" i="5" s="1"/>
  <c r="S148" i="5" s="1"/>
  <c r="Y304" i="2"/>
  <c r="AA304" i="2" s="1"/>
  <c r="Y204" i="2"/>
  <c r="AA204" i="2" s="1"/>
  <c r="X166" i="2"/>
  <c r="X157" i="2"/>
  <c r="X265" i="2"/>
  <c r="Y143" i="2"/>
  <c r="Y214" i="2"/>
  <c r="AA214" i="2" s="1"/>
  <c r="X261" i="2"/>
  <c r="Y230" i="2"/>
  <c r="AA230" i="2" s="1"/>
  <c r="Y259" i="2"/>
  <c r="AA259" i="2" s="1"/>
  <c r="X259" i="2"/>
  <c r="Y273" i="2"/>
  <c r="AA273" i="2" s="1"/>
  <c r="X262" i="2"/>
  <c r="Y269" i="2"/>
  <c r="AA269" i="2" s="1"/>
  <c r="X269" i="2"/>
  <c r="X239" i="2"/>
  <c r="X297" i="2"/>
  <c r="B25" i="2"/>
  <c r="A25" i="2" s="1"/>
  <c r="B23" i="2"/>
  <c r="A23" i="2" s="1"/>
  <c r="B19" i="2"/>
  <c r="A19" i="2" s="1"/>
  <c r="B22" i="2"/>
  <c r="A22" i="2" s="1"/>
  <c r="B17" i="2"/>
  <c r="A17" i="2" s="1"/>
  <c r="AB14" i="5"/>
  <c r="B21" i="2"/>
  <c r="A21" i="2" s="1"/>
  <c r="AB18" i="5"/>
  <c r="AB16" i="5"/>
  <c r="E13" i="2" l="1"/>
  <c r="E14" i="2" s="1"/>
  <c r="D11" i="2"/>
  <c r="U31" i="5"/>
  <c r="V31" i="5"/>
  <c r="U72" i="5"/>
  <c r="V72" i="5"/>
  <c r="U92" i="5"/>
  <c r="V92" i="5"/>
  <c r="U137" i="5"/>
  <c r="V137" i="5"/>
  <c r="U129" i="5"/>
  <c r="V129" i="5"/>
  <c r="U118" i="5"/>
  <c r="V118" i="5"/>
  <c r="U119" i="5"/>
  <c r="V119" i="5"/>
  <c r="U51" i="5"/>
  <c r="V51" i="5"/>
  <c r="U50" i="5"/>
  <c r="V50" i="5"/>
  <c r="U23" i="5"/>
  <c r="V23" i="5"/>
  <c r="U97" i="5"/>
  <c r="V97" i="5"/>
  <c r="U53" i="5"/>
  <c r="V53" i="5"/>
  <c r="U35" i="5"/>
  <c r="V35" i="5"/>
  <c r="U105" i="5"/>
  <c r="V105" i="5"/>
  <c r="U79" i="5"/>
  <c r="V79" i="5"/>
  <c r="U120" i="5"/>
  <c r="V120" i="5"/>
  <c r="U109" i="5"/>
  <c r="V109" i="5"/>
  <c r="U25" i="5"/>
  <c r="V25" i="5"/>
  <c r="U138" i="5"/>
  <c r="V138" i="5"/>
  <c r="U34" i="5"/>
  <c r="V34" i="5"/>
  <c r="U107" i="5"/>
  <c r="V107" i="5"/>
  <c r="U106" i="5"/>
  <c r="V106" i="5"/>
  <c r="U145" i="5"/>
  <c r="V145" i="5"/>
  <c r="U143" i="5"/>
  <c r="V143" i="5"/>
  <c r="U54" i="5"/>
  <c r="V54" i="5"/>
  <c r="U41" i="5"/>
  <c r="V41" i="5"/>
  <c r="U148" i="5"/>
  <c r="V148" i="5"/>
  <c r="U10" i="5"/>
  <c r="V10" i="5"/>
  <c r="U116" i="5"/>
  <c r="V116" i="5"/>
  <c r="U56" i="5"/>
  <c r="V56" i="5"/>
  <c r="U18" i="5"/>
  <c r="V18" i="5"/>
  <c r="U9" i="5"/>
  <c r="V9" i="5"/>
  <c r="U70" i="5"/>
  <c r="V70" i="5"/>
  <c r="U127" i="5"/>
  <c r="V127" i="5"/>
  <c r="U89" i="5"/>
  <c r="V89" i="5"/>
  <c r="U139" i="5"/>
  <c r="V139" i="5"/>
  <c r="U21" i="5"/>
  <c r="V21" i="5"/>
  <c r="U98" i="5"/>
  <c r="V98" i="5"/>
  <c r="U17" i="5"/>
  <c r="V17" i="5"/>
  <c r="U103" i="5"/>
  <c r="V103" i="5"/>
  <c r="U37" i="5"/>
  <c r="V37" i="5"/>
  <c r="U13" i="5"/>
  <c r="V13" i="5"/>
  <c r="U142" i="5"/>
  <c r="V142" i="5"/>
  <c r="U85" i="5"/>
  <c r="V85" i="5"/>
  <c r="U141" i="5"/>
  <c r="V141" i="5"/>
  <c r="U102" i="5"/>
  <c r="V102" i="5"/>
  <c r="U146" i="5"/>
  <c r="V146" i="5"/>
  <c r="U125" i="5"/>
  <c r="V125" i="5"/>
  <c r="U75" i="5"/>
  <c r="V75" i="5"/>
  <c r="U64" i="5"/>
  <c r="V64" i="5"/>
  <c r="U83" i="5"/>
  <c r="V83" i="5"/>
  <c r="U67" i="5"/>
  <c r="V67" i="5"/>
  <c r="U78" i="5"/>
  <c r="V78" i="5"/>
  <c r="U91" i="5"/>
  <c r="V91" i="5"/>
  <c r="U126" i="5"/>
  <c r="V126" i="5"/>
  <c r="U61" i="5"/>
  <c r="V61" i="5"/>
  <c r="U55" i="5"/>
  <c r="V55" i="5"/>
  <c r="U80" i="5"/>
  <c r="V80" i="5"/>
  <c r="U4" i="5"/>
  <c r="V4" i="5"/>
  <c r="U7" i="5"/>
  <c r="V7" i="5"/>
  <c r="U8" i="5"/>
  <c r="V8" i="5"/>
  <c r="N21" i="5"/>
  <c r="R21" i="5" s="1"/>
  <c r="AA61" i="2"/>
  <c r="P58" i="5" s="1"/>
  <c r="S58" i="5" s="1"/>
  <c r="C10" i="6"/>
  <c r="I9" i="6"/>
  <c r="O8" i="6"/>
  <c r="H10" i="6"/>
  <c r="K7" i="5"/>
  <c r="O11" i="2"/>
  <c r="J8" i="5" s="1"/>
  <c r="P12" i="2"/>
  <c r="O9" i="6"/>
  <c r="N25" i="5"/>
  <c r="R25" i="5" s="1"/>
  <c r="N41" i="5"/>
  <c r="R41" i="5" s="1"/>
  <c r="AA104" i="2"/>
  <c r="P101" i="5" s="1"/>
  <c r="S101" i="5" s="1"/>
  <c r="AA96" i="2"/>
  <c r="P93" i="5" s="1"/>
  <c r="S93" i="5" s="1"/>
  <c r="N92" i="5"/>
  <c r="R92" i="5" s="1"/>
  <c r="N13" i="5"/>
  <c r="R13" i="5" s="1"/>
  <c r="N54" i="5"/>
  <c r="R54" i="5" s="1"/>
  <c r="N80" i="5"/>
  <c r="R80" i="5" s="1"/>
  <c r="N61" i="5"/>
  <c r="R61" i="5" s="1"/>
  <c r="N64" i="5"/>
  <c r="R64" i="5" s="1"/>
  <c r="AA87" i="2"/>
  <c r="P84" i="5" s="1"/>
  <c r="S84" i="5" s="1"/>
  <c r="N10" i="6"/>
  <c r="AD7" i="5"/>
  <c r="AF7" i="5" s="1"/>
  <c r="B10" i="6"/>
  <c r="N125" i="5"/>
  <c r="R125" i="5" s="1"/>
  <c r="AA39" i="2"/>
  <c r="P36" i="5" s="1"/>
  <c r="S36" i="5" s="1"/>
  <c r="N139" i="5"/>
  <c r="R139" i="5" s="1"/>
  <c r="N98" i="5"/>
  <c r="R98" i="5" s="1"/>
  <c r="N72" i="5"/>
  <c r="R72" i="5" s="1"/>
  <c r="N143" i="5"/>
  <c r="R143" i="5" s="1"/>
  <c r="N120" i="5"/>
  <c r="R120" i="5" s="1"/>
  <c r="AA46" i="2"/>
  <c r="P43" i="5" s="1"/>
  <c r="S43" i="5" s="1"/>
  <c r="AA93" i="2"/>
  <c r="P90" i="5" s="1"/>
  <c r="S90" i="5" s="1"/>
  <c r="AA62" i="2"/>
  <c r="P59" i="5" s="1"/>
  <c r="S59" i="5" s="1"/>
  <c r="N97" i="5"/>
  <c r="R97" i="5" s="1"/>
  <c r="N109" i="5"/>
  <c r="R109" i="5" s="1"/>
  <c r="N103" i="5"/>
  <c r="R103" i="5" s="1"/>
  <c r="N79" i="5"/>
  <c r="R79" i="5" s="1"/>
  <c r="N89" i="5"/>
  <c r="R89" i="5" s="1"/>
  <c r="N53" i="5"/>
  <c r="R53" i="5" s="1"/>
  <c r="N75" i="5"/>
  <c r="R75" i="5" s="1"/>
  <c r="AA90" i="2"/>
  <c r="P87" i="5" s="1"/>
  <c r="S87" i="5" s="1"/>
  <c r="N35" i="5"/>
  <c r="R35" i="5" s="1"/>
  <c r="N145" i="5"/>
  <c r="R145" i="5" s="1"/>
  <c r="N83" i="5"/>
  <c r="R83" i="5" s="1"/>
  <c r="N126" i="5"/>
  <c r="R126" i="5" s="1"/>
  <c r="N91" i="5"/>
  <c r="R91" i="5" s="1"/>
  <c r="N55" i="5"/>
  <c r="R55" i="5" s="1"/>
  <c r="N78" i="5"/>
  <c r="R78" i="5" s="1"/>
  <c r="N106" i="5"/>
  <c r="R106" i="5" s="1"/>
  <c r="N127" i="5"/>
  <c r="R127" i="5" s="1"/>
  <c r="N31" i="5"/>
  <c r="R31" i="5" s="1"/>
  <c r="N70" i="5"/>
  <c r="R70" i="5" s="1"/>
  <c r="AA152" i="2"/>
  <c r="P149" i="5" s="1"/>
  <c r="S149" i="5" s="1"/>
  <c r="AA120" i="2"/>
  <c r="P117" i="5" s="1"/>
  <c r="S117" i="5" s="1"/>
  <c r="N117" i="5"/>
  <c r="R117" i="5" s="1"/>
  <c r="N146" i="5"/>
  <c r="R146" i="5" s="1"/>
  <c r="AA91" i="2"/>
  <c r="P88" i="5" s="1"/>
  <c r="S88" i="5" s="1"/>
  <c r="N88" i="5"/>
  <c r="R88" i="5" s="1"/>
  <c r="AA103" i="2"/>
  <c r="P100" i="5" s="1"/>
  <c r="S100" i="5" s="1"/>
  <c r="N100" i="5"/>
  <c r="R100" i="5" s="1"/>
  <c r="AA42" i="2"/>
  <c r="P39" i="5" s="1"/>
  <c r="S39" i="5" s="1"/>
  <c r="N39" i="5"/>
  <c r="R39" i="5" s="1"/>
  <c r="N37" i="5"/>
  <c r="R37" i="5" s="1"/>
  <c r="AA27" i="2"/>
  <c r="P24" i="5" s="1"/>
  <c r="S24" i="5" s="1"/>
  <c r="N24" i="5"/>
  <c r="R24" i="5" s="1"/>
  <c r="AA30" i="2"/>
  <c r="P27" i="5" s="1"/>
  <c r="S27" i="5" s="1"/>
  <c r="N27" i="5"/>
  <c r="R27" i="5" s="1"/>
  <c r="AA48" i="2"/>
  <c r="P45" i="5" s="1"/>
  <c r="S45" i="5" s="1"/>
  <c r="N45" i="5"/>
  <c r="R45" i="5" s="1"/>
  <c r="W16" i="5"/>
  <c r="AA52" i="2"/>
  <c r="P49" i="5" s="1"/>
  <c r="S49" i="5" s="1"/>
  <c r="N49" i="5"/>
  <c r="R49" i="5" s="1"/>
  <c r="W65" i="5"/>
  <c r="W47" i="5"/>
  <c r="W99" i="5"/>
  <c r="W52" i="5"/>
  <c r="W60" i="5"/>
  <c r="AA41" i="2"/>
  <c r="P38" i="5" s="1"/>
  <c r="S38" i="5" s="1"/>
  <c r="N38" i="5"/>
  <c r="R38" i="5" s="1"/>
  <c r="W71" i="5"/>
  <c r="W74" i="5"/>
  <c r="N122" i="5"/>
  <c r="R122" i="5" s="1"/>
  <c r="AA125" i="2"/>
  <c r="P122" i="5" s="1"/>
  <c r="S122" i="5" s="1"/>
  <c r="AA153" i="2"/>
  <c r="P150" i="5" s="1"/>
  <c r="S150" i="5" s="1"/>
  <c r="N150" i="5"/>
  <c r="R150" i="5" s="1"/>
  <c r="AA85" i="2"/>
  <c r="P82" i="5" s="1"/>
  <c r="S82" i="5" s="1"/>
  <c r="N82" i="5"/>
  <c r="R82" i="5" s="1"/>
  <c r="W18" i="5"/>
  <c r="W68" i="5"/>
  <c r="AA51" i="2"/>
  <c r="P48" i="5" s="1"/>
  <c r="S48" i="5" s="1"/>
  <c r="N48" i="5"/>
  <c r="R48" i="5" s="1"/>
  <c r="W111" i="5"/>
  <c r="W115" i="5"/>
  <c r="W76" i="5"/>
  <c r="N68" i="5"/>
  <c r="R68" i="5" s="1"/>
  <c r="AA71" i="2"/>
  <c r="P68" i="5" s="1"/>
  <c r="S68" i="5" s="1"/>
  <c r="AA36" i="2"/>
  <c r="P33" i="5" s="1"/>
  <c r="S33" i="5" s="1"/>
  <c r="N33" i="5"/>
  <c r="R33" i="5" s="1"/>
  <c r="W105" i="5"/>
  <c r="W133" i="5"/>
  <c r="W44" i="5"/>
  <c r="AA45" i="2"/>
  <c r="P42" i="5" s="1"/>
  <c r="S42" i="5" s="1"/>
  <c r="N42" i="5"/>
  <c r="R42" i="5" s="1"/>
  <c r="W28" i="5"/>
  <c r="AA113" i="2"/>
  <c r="P110" i="5" s="1"/>
  <c r="S110" i="5" s="1"/>
  <c r="N110" i="5"/>
  <c r="R110" i="5" s="1"/>
  <c r="W4" i="5"/>
  <c r="Z7" i="2"/>
  <c r="AB7" i="2" s="1"/>
  <c r="AA102" i="2"/>
  <c r="P99" i="5" s="1"/>
  <c r="S99" i="5" s="1"/>
  <c r="N99" i="5"/>
  <c r="R99" i="5" s="1"/>
  <c r="AA80" i="2"/>
  <c r="P77" i="5" s="1"/>
  <c r="S77" i="5" s="1"/>
  <c r="N77" i="5"/>
  <c r="R77" i="5" s="1"/>
  <c r="AA134" i="2"/>
  <c r="P131" i="5" s="1"/>
  <c r="S131" i="5" s="1"/>
  <c r="N131" i="5"/>
  <c r="R131" i="5" s="1"/>
  <c r="AA74" i="2"/>
  <c r="P71" i="5" s="1"/>
  <c r="S71" i="5" s="1"/>
  <c r="N71" i="5"/>
  <c r="R71" i="5" s="1"/>
  <c r="AA97" i="2"/>
  <c r="P94" i="5" s="1"/>
  <c r="S94" i="5" s="1"/>
  <c r="N94" i="5"/>
  <c r="R94" i="5" s="1"/>
  <c r="W56" i="5"/>
  <c r="AA139" i="2"/>
  <c r="P136" i="5" s="1"/>
  <c r="S136" i="5" s="1"/>
  <c r="N136" i="5"/>
  <c r="R136" i="5" s="1"/>
  <c r="AA147" i="2"/>
  <c r="P144" i="5" s="1"/>
  <c r="S144" i="5" s="1"/>
  <c r="N144" i="5"/>
  <c r="R144" i="5" s="1"/>
  <c r="W82" i="5"/>
  <c r="W62" i="5"/>
  <c r="W9" i="5"/>
  <c r="Z12" i="2"/>
  <c r="AB12" i="2" s="1"/>
  <c r="N140" i="5"/>
  <c r="R140" i="5" s="1"/>
  <c r="AA143" i="2"/>
  <c r="P140" i="5" s="1"/>
  <c r="S140" i="5" s="1"/>
  <c r="AA118" i="2"/>
  <c r="P115" i="5" s="1"/>
  <c r="S115" i="5" s="1"/>
  <c r="N115" i="5"/>
  <c r="R115" i="5" s="1"/>
  <c r="AA47" i="2"/>
  <c r="P44" i="5" s="1"/>
  <c r="S44" i="5" s="1"/>
  <c r="N44" i="5"/>
  <c r="R44" i="5" s="1"/>
  <c r="AA127" i="2"/>
  <c r="P124" i="5" s="1"/>
  <c r="S124" i="5" s="1"/>
  <c r="N124" i="5"/>
  <c r="R124" i="5" s="1"/>
  <c r="W108" i="5"/>
  <c r="AA89" i="2"/>
  <c r="P86" i="5" s="1"/>
  <c r="S86" i="5" s="1"/>
  <c r="N86" i="5"/>
  <c r="R86" i="5" s="1"/>
  <c r="AA115" i="2"/>
  <c r="P112" i="5" s="1"/>
  <c r="S112" i="5" s="1"/>
  <c r="N112" i="5"/>
  <c r="R112" i="5" s="1"/>
  <c r="N30" i="5"/>
  <c r="R30" i="5" s="1"/>
  <c r="AA33" i="2"/>
  <c r="P30" i="5" s="1"/>
  <c r="S30" i="5" s="1"/>
  <c r="AA136" i="2"/>
  <c r="P133" i="5" s="1"/>
  <c r="S133" i="5" s="1"/>
  <c r="N133" i="5"/>
  <c r="R133" i="5" s="1"/>
  <c r="AA23" i="2"/>
  <c r="P20" i="5" s="1"/>
  <c r="S20" i="5" s="1"/>
  <c r="N20" i="5"/>
  <c r="R20" i="5" s="1"/>
  <c r="N15" i="5"/>
  <c r="R15" i="5" s="1"/>
  <c r="AA18" i="2"/>
  <c r="P15" i="5" s="1"/>
  <c r="S15" i="5" s="1"/>
  <c r="W7" i="5"/>
  <c r="Z10" i="2"/>
  <c r="AB10" i="2" s="1"/>
  <c r="W121" i="5"/>
  <c r="W110" i="5"/>
  <c r="W104" i="5"/>
  <c r="W32" i="5"/>
  <c r="W77" i="5"/>
  <c r="AA99" i="2"/>
  <c r="P96" i="5" s="1"/>
  <c r="S96" i="5" s="1"/>
  <c r="N96" i="5"/>
  <c r="R96" i="5" s="1"/>
  <c r="AA133" i="2"/>
  <c r="P130" i="5" s="1"/>
  <c r="S130" i="5" s="1"/>
  <c r="N130" i="5"/>
  <c r="R130" i="5" s="1"/>
  <c r="AA117" i="2"/>
  <c r="P114" i="5" s="1"/>
  <c r="S114" i="5" s="1"/>
  <c r="N114" i="5"/>
  <c r="R114" i="5" s="1"/>
  <c r="W136" i="5"/>
  <c r="W144" i="5"/>
  <c r="W135" i="5"/>
  <c r="AA98" i="2"/>
  <c r="P95" i="5" s="1"/>
  <c r="S95" i="5" s="1"/>
  <c r="N95" i="5"/>
  <c r="R95" i="5" s="1"/>
  <c r="AA65" i="2"/>
  <c r="P62" i="5" s="1"/>
  <c r="S62" i="5" s="1"/>
  <c r="N62" i="5"/>
  <c r="R62" i="5" s="1"/>
  <c r="AA25" i="2"/>
  <c r="P22" i="5" s="1"/>
  <c r="S22" i="5" s="1"/>
  <c r="N22" i="5"/>
  <c r="R22" i="5" s="1"/>
  <c r="W107" i="5"/>
  <c r="AA79" i="2"/>
  <c r="P76" i="5" s="1"/>
  <c r="S76" i="5" s="1"/>
  <c r="N76" i="5"/>
  <c r="R76" i="5" s="1"/>
  <c r="W102" i="5"/>
  <c r="W142" i="5"/>
  <c r="N69" i="5"/>
  <c r="R69" i="5" s="1"/>
  <c r="AA72" i="2"/>
  <c r="P69" i="5" s="1"/>
  <c r="S69" i="5" s="1"/>
  <c r="W6" i="5"/>
  <c r="Z9" i="2"/>
  <c r="AB9" i="2" s="1"/>
  <c r="O3" i="5"/>
  <c r="T3" i="5"/>
  <c r="AA76" i="2"/>
  <c r="P73" i="5" s="1"/>
  <c r="S73" i="5" s="1"/>
  <c r="N73" i="5"/>
  <c r="R73" i="5" s="1"/>
  <c r="AA137" i="2"/>
  <c r="P134" i="5" s="1"/>
  <c r="S134" i="5" s="1"/>
  <c r="N134" i="5"/>
  <c r="R134" i="5" s="1"/>
  <c r="AA111" i="2"/>
  <c r="P108" i="5" s="1"/>
  <c r="S108" i="5" s="1"/>
  <c r="N108" i="5"/>
  <c r="R108" i="5" s="1"/>
  <c r="W86" i="5"/>
  <c r="W66" i="5"/>
  <c r="W137" i="5"/>
  <c r="W20" i="5"/>
  <c r="W48" i="5"/>
  <c r="AA114" i="2"/>
  <c r="P111" i="5" s="1"/>
  <c r="S111" i="5" s="1"/>
  <c r="N111" i="5"/>
  <c r="R111" i="5" s="1"/>
  <c r="W5" i="5"/>
  <c r="Z8" i="2"/>
  <c r="AB8" i="2" s="1"/>
  <c r="N3" i="5"/>
  <c r="R3" i="5" s="1"/>
  <c r="AA6" i="2"/>
  <c r="P3" i="5" s="1"/>
  <c r="AA29" i="2"/>
  <c r="P26" i="5" s="1"/>
  <c r="S26" i="5" s="1"/>
  <c r="N26" i="5"/>
  <c r="R26" i="5" s="1"/>
  <c r="AA124" i="2"/>
  <c r="P121" i="5" s="1"/>
  <c r="S121" i="5" s="1"/>
  <c r="N121" i="5"/>
  <c r="R121" i="5" s="1"/>
  <c r="W132" i="5"/>
  <c r="AA107" i="2"/>
  <c r="P104" i="5" s="1"/>
  <c r="S104" i="5" s="1"/>
  <c r="N104" i="5"/>
  <c r="R104" i="5" s="1"/>
  <c r="AA35" i="2"/>
  <c r="P32" i="5" s="1"/>
  <c r="S32" i="5" s="1"/>
  <c r="N32" i="5"/>
  <c r="R32" i="5" s="1"/>
  <c r="AA84" i="2"/>
  <c r="P81" i="5" s="1"/>
  <c r="S81" i="5" s="1"/>
  <c r="N81" i="5"/>
  <c r="R81" i="5" s="1"/>
  <c r="AA55" i="2"/>
  <c r="P52" i="5" s="1"/>
  <c r="S52" i="5" s="1"/>
  <c r="N52" i="5"/>
  <c r="R52" i="5" s="1"/>
  <c r="W57" i="5"/>
  <c r="W96" i="5"/>
  <c r="AA63" i="2"/>
  <c r="P60" i="5" s="1"/>
  <c r="S60" i="5" s="1"/>
  <c r="N60" i="5"/>
  <c r="R60" i="5" s="1"/>
  <c r="W130" i="5"/>
  <c r="AA14" i="2"/>
  <c r="P11" i="5" s="1"/>
  <c r="S11" i="5" s="1"/>
  <c r="N11" i="5"/>
  <c r="R11" i="5" s="1"/>
  <c r="AA77" i="2"/>
  <c r="P74" i="5" s="1"/>
  <c r="S74" i="5" s="1"/>
  <c r="N74" i="5"/>
  <c r="R74" i="5" s="1"/>
  <c r="W122" i="5"/>
  <c r="W150" i="5"/>
  <c r="N135" i="5"/>
  <c r="R135" i="5" s="1"/>
  <c r="AA138" i="2"/>
  <c r="P135" i="5" s="1"/>
  <c r="S135" i="5" s="1"/>
  <c r="Z11" i="2"/>
  <c r="AB11" i="2" s="1"/>
  <c r="W8" i="5"/>
  <c r="W95" i="5"/>
  <c r="B8" i="5" l="1"/>
  <c r="C8" i="5" s="1"/>
  <c r="C11" i="6" s="1"/>
  <c r="U3" i="5"/>
  <c r="S3" i="5"/>
  <c r="AC8" i="5"/>
  <c r="AE8" i="5" s="1"/>
  <c r="N11" i="6" s="1"/>
  <c r="D13" i="2"/>
  <c r="B10" i="5" s="1"/>
  <c r="E15" i="2"/>
  <c r="D14" i="2"/>
  <c r="B11" i="5" s="1"/>
  <c r="U81" i="5"/>
  <c r="V81" i="5"/>
  <c r="U15" i="5"/>
  <c r="V15" i="5"/>
  <c r="U94" i="5"/>
  <c r="V94" i="5"/>
  <c r="U110" i="5"/>
  <c r="V110" i="5"/>
  <c r="U38" i="5"/>
  <c r="V38" i="5"/>
  <c r="U74" i="5"/>
  <c r="V74" i="5"/>
  <c r="U121" i="5"/>
  <c r="V121" i="5"/>
  <c r="U111" i="5"/>
  <c r="V111" i="5"/>
  <c r="U73" i="5"/>
  <c r="V73" i="5"/>
  <c r="U133" i="5"/>
  <c r="V133" i="5"/>
  <c r="U112" i="5"/>
  <c r="V112" i="5"/>
  <c r="U136" i="5"/>
  <c r="V136" i="5"/>
  <c r="U68" i="5"/>
  <c r="V68" i="5"/>
  <c r="U39" i="5"/>
  <c r="V39" i="5"/>
  <c r="U88" i="5"/>
  <c r="V88" i="5"/>
  <c r="U149" i="5"/>
  <c r="V149" i="5"/>
  <c r="U87" i="5"/>
  <c r="V87" i="5"/>
  <c r="U59" i="5"/>
  <c r="V59" i="5"/>
  <c r="U36" i="5"/>
  <c r="V36" i="5"/>
  <c r="U62" i="5"/>
  <c r="V62" i="5"/>
  <c r="U96" i="5"/>
  <c r="V96" i="5"/>
  <c r="U44" i="5"/>
  <c r="V44" i="5"/>
  <c r="U99" i="5"/>
  <c r="V99" i="5"/>
  <c r="U48" i="5"/>
  <c r="V48" i="5"/>
  <c r="U27" i="5"/>
  <c r="V27" i="5"/>
  <c r="U84" i="5"/>
  <c r="V84" i="5"/>
  <c r="U101" i="5"/>
  <c r="V101" i="5"/>
  <c r="U58" i="5"/>
  <c r="V58" i="5"/>
  <c r="U104" i="5"/>
  <c r="V104" i="5"/>
  <c r="U134" i="5"/>
  <c r="V134" i="5"/>
  <c r="U69" i="5"/>
  <c r="V69" i="5"/>
  <c r="U22" i="5"/>
  <c r="V22" i="5"/>
  <c r="U95" i="5"/>
  <c r="V95" i="5"/>
  <c r="U130" i="5"/>
  <c r="V130" i="5"/>
  <c r="U30" i="5"/>
  <c r="V30" i="5"/>
  <c r="U124" i="5"/>
  <c r="V124" i="5"/>
  <c r="U115" i="5"/>
  <c r="V115" i="5"/>
  <c r="U71" i="5"/>
  <c r="V71" i="5"/>
  <c r="U77" i="5"/>
  <c r="V77" i="5"/>
  <c r="U150" i="5"/>
  <c r="V150" i="5"/>
  <c r="U45" i="5"/>
  <c r="V45" i="5"/>
  <c r="U24" i="5"/>
  <c r="V24" i="5"/>
  <c r="U90" i="5"/>
  <c r="V90" i="5"/>
  <c r="U135" i="5"/>
  <c r="V135" i="5"/>
  <c r="U32" i="5"/>
  <c r="V32" i="5"/>
  <c r="U108" i="5"/>
  <c r="V108" i="5"/>
  <c r="U114" i="5"/>
  <c r="V114" i="5"/>
  <c r="U131" i="5"/>
  <c r="V131" i="5"/>
  <c r="U33" i="5"/>
  <c r="V33" i="5"/>
  <c r="U82" i="5"/>
  <c r="V82" i="5"/>
  <c r="U117" i="5"/>
  <c r="V117" i="5"/>
  <c r="U60" i="5"/>
  <c r="V60" i="5"/>
  <c r="U52" i="5"/>
  <c r="V52" i="5"/>
  <c r="U11" i="5"/>
  <c r="V11" i="5"/>
  <c r="U26" i="5"/>
  <c r="V26" i="5"/>
  <c r="U76" i="5"/>
  <c r="V76" i="5"/>
  <c r="U20" i="5"/>
  <c r="V20" i="5"/>
  <c r="U86" i="5"/>
  <c r="V86" i="5"/>
  <c r="U140" i="5"/>
  <c r="V140" i="5"/>
  <c r="U144" i="5"/>
  <c r="V144" i="5"/>
  <c r="U42" i="5"/>
  <c r="V42" i="5"/>
  <c r="U122" i="5"/>
  <c r="V122" i="5"/>
  <c r="U49" i="5"/>
  <c r="V49" i="5"/>
  <c r="U100" i="5"/>
  <c r="V100" i="5"/>
  <c r="U43" i="5"/>
  <c r="V43" i="5"/>
  <c r="U93" i="5"/>
  <c r="V93" i="5"/>
  <c r="V3" i="5"/>
  <c r="I10" i="6"/>
  <c r="P13" i="2"/>
  <c r="O12" i="2"/>
  <c r="J9" i="5" s="1"/>
  <c r="H11" i="6"/>
  <c r="K8" i="5"/>
  <c r="O10" i="6"/>
  <c r="Q31" i="5"/>
  <c r="C9" i="5"/>
  <c r="AC9" i="5"/>
  <c r="AE9" i="5" s="1"/>
  <c r="Q61" i="5"/>
  <c r="Q59" i="5"/>
  <c r="Q18" i="5"/>
  <c r="Q36" i="5"/>
  <c r="Q109" i="5"/>
  <c r="Q21" i="5"/>
  <c r="Q141" i="5"/>
  <c r="Q103" i="5"/>
  <c r="Q132" i="5"/>
  <c r="Q35" i="5"/>
  <c r="Q54" i="5"/>
  <c r="Q12" i="5"/>
  <c r="Q74" i="5"/>
  <c r="O8" i="5"/>
  <c r="T8" i="5"/>
  <c r="Q135" i="5"/>
  <c r="Q11" i="5"/>
  <c r="Q87" i="5"/>
  <c r="Q27" i="5"/>
  <c r="Q98" i="5"/>
  <c r="Q100" i="5"/>
  <c r="Q88" i="5"/>
  <c r="Q105" i="5"/>
  <c r="Q24" i="5"/>
  <c r="Q128" i="5"/>
  <c r="Q40" i="5"/>
  <c r="Q28" i="5"/>
  <c r="Q46" i="5"/>
  <c r="Q123" i="5"/>
  <c r="Q4" i="5"/>
  <c r="Q143" i="5"/>
  <c r="Q10" i="5"/>
  <c r="Q117" i="5"/>
  <c r="Q149" i="5"/>
  <c r="Q66" i="5"/>
  <c r="Q67" i="5"/>
  <c r="Q7" i="5"/>
  <c r="Q39" i="5"/>
  <c r="Q65" i="5"/>
  <c r="Q111" i="5"/>
  <c r="Q29" i="5"/>
  <c r="Q69" i="5"/>
  <c r="Q83" i="5"/>
  <c r="Q19" i="5"/>
  <c r="Q15" i="5"/>
  <c r="Q23" i="5"/>
  <c r="Q120" i="5"/>
  <c r="Q94" i="5"/>
  <c r="Q71" i="5"/>
  <c r="Q131" i="5"/>
  <c r="Q77" i="5"/>
  <c r="Q127" i="5"/>
  <c r="Q110" i="5"/>
  <c r="Q41" i="5"/>
  <c r="Q118" i="5"/>
  <c r="Q137" i="5"/>
  <c r="Q48" i="5"/>
  <c r="Q57" i="5"/>
  <c r="Q146" i="5"/>
  <c r="Q34" i="5"/>
  <c r="Q116" i="5"/>
  <c r="Q50" i="5"/>
  <c r="X3" i="5"/>
  <c r="Q3" i="5"/>
  <c r="Q108" i="5"/>
  <c r="Q142" i="5"/>
  <c r="T6" i="5"/>
  <c r="O6" i="5"/>
  <c r="Q76" i="5"/>
  <c r="Q56" i="5"/>
  <c r="Q114" i="5"/>
  <c r="Q13" i="5"/>
  <c r="Q130" i="5"/>
  <c r="Q96" i="5"/>
  <c r="Q85" i="5"/>
  <c r="Q106" i="5"/>
  <c r="Q119" i="5"/>
  <c r="Q86" i="5"/>
  <c r="Q124" i="5"/>
  <c r="Q102" i="5"/>
  <c r="Q90" i="5"/>
  <c r="Q125" i="5"/>
  <c r="Q42" i="5"/>
  <c r="Q70" i="5"/>
  <c r="Q91" i="5"/>
  <c r="Q68" i="5"/>
  <c r="Q138" i="5"/>
  <c r="Q107" i="5"/>
  <c r="Q38" i="5"/>
  <c r="Q49" i="5"/>
  <c r="Q104" i="5"/>
  <c r="Q73" i="5"/>
  <c r="Q84" i="5"/>
  <c r="Q95" i="5"/>
  <c r="Q14" i="5"/>
  <c r="O7" i="5"/>
  <c r="T7" i="5"/>
  <c r="Q75" i="5"/>
  <c r="Q133" i="5"/>
  <c r="Q30" i="5"/>
  <c r="Q148" i="5"/>
  <c r="Q79" i="5"/>
  <c r="Q72" i="5"/>
  <c r="Q99" i="5"/>
  <c r="O4" i="5"/>
  <c r="T4" i="5"/>
  <c r="Q63" i="5"/>
  <c r="Q17" i="5"/>
  <c r="Q147" i="5"/>
  <c r="Q93" i="5"/>
  <c r="Q58" i="5"/>
  <c r="Q97" i="5"/>
  <c r="Q82" i="5"/>
  <c r="Q122" i="5"/>
  <c r="Q145" i="5"/>
  <c r="Q89" i="5"/>
  <c r="Q45" i="5"/>
  <c r="Q121" i="5"/>
  <c r="Q26" i="5"/>
  <c r="O5" i="5"/>
  <c r="T5" i="5"/>
  <c r="Q60" i="5"/>
  <c r="Q52" i="5"/>
  <c r="Q81" i="5"/>
  <c r="Q32" i="5"/>
  <c r="Q64" i="5"/>
  <c r="Q113" i="5"/>
  <c r="Q134" i="5"/>
  <c r="Q6" i="5"/>
  <c r="Q25" i="5"/>
  <c r="Q9" i="5"/>
  <c r="Q22" i="5"/>
  <c r="Q62" i="5"/>
  <c r="Q37" i="5"/>
  <c r="Q101" i="5"/>
  <c r="Q78" i="5"/>
  <c r="Q55" i="5"/>
  <c r="Q139" i="5"/>
  <c r="Q20" i="5"/>
  <c r="Q112" i="5"/>
  <c r="Q92" i="5"/>
  <c r="Q16" i="5"/>
  <c r="Q44" i="5"/>
  <c r="Q115" i="5"/>
  <c r="Q140" i="5"/>
  <c r="T9" i="5"/>
  <c r="O9" i="5"/>
  <c r="Q144" i="5"/>
  <c r="Q136" i="5"/>
  <c r="Q5" i="5"/>
  <c r="Q47" i="5"/>
  <c r="Q8" i="5"/>
  <c r="Q53" i="5"/>
  <c r="Q43" i="5"/>
  <c r="Q126" i="5"/>
  <c r="Q129" i="5"/>
  <c r="Q33" i="5"/>
  <c r="Q80" i="5"/>
  <c r="Q51" i="5"/>
  <c r="Q150" i="5"/>
  <c r="Y9" i="5" l="1"/>
  <c r="Y7" i="5"/>
  <c r="Y4" i="5"/>
  <c r="Y3" i="5"/>
  <c r="B11" i="6"/>
  <c r="AD8" i="5"/>
  <c r="AF8" i="5" s="1"/>
  <c r="O11" i="6" s="1"/>
  <c r="X5" i="5"/>
  <c r="K8" i="6" s="1"/>
  <c r="X8" i="5"/>
  <c r="K11" i="6" s="1"/>
  <c r="X9" i="5"/>
  <c r="K12" i="6" s="1"/>
  <c r="X7" i="5"/>
  <c r="K10" i="6" s="1"/>
  <c r="X6" i="5"/>
  <c r="K9" i="6" s="1"/>
  <c r="X4" i="5"/>
  <c r="K7" i="6" s="1"/>
  <c r="E16" i="2"/>
  <c r="D15" i="2"/>
  <c r="B12" i="5" s="1"/>
  <c r="Z13" i="2"/>
  <c r="AB13" i="2" s="1"/>
  <c r="T10" i="5" s="1"/>
  <c r="C12" i="6"/>
  <c r="K6" i="6"/>
  <c r="I11" i="6"/>
  <c r="H12" i="6"/>
  <c r="K9" i="5"/>
  <c r="P14" i="2"/>
  <c r="O13" i="2"/>
  <c r="J10" i="5" s="1"/>
  <c r="Z14" i="2"/>
  <c r="AB14" i="2" s="1"/>
  <c r="N12" i="6"/>
  <c r="AD9" i="5"/>
  <c r="AF9" i="5" s="1"/>
  <c r="AC10" i="5"/>
  <c r="AE10" i="5" s="1"/>
  <c r="C10" i="5"/>
  <c r="B12" i="6"/>
  <c r="Y5" i="5" l="1"/>
  <c r="Y6" i="5" s="1"/>
  <c r="Y8" i="5" s="1"/>
  <c r="D16" i="2"/>
  <c r="B13" i="5" s="1"/>
  <c r="E17" i="2"/>
  <c r="O10" i="5"/>
  <c r="L6" i="6"/>
  <c r="Q6" i="6" s="1"/>
  <c r="R6" i="6" s="1"/>
  <c r="I12" i="6"/>
  <c r="K10" i="5"/>
  <c r="I13" i="6" s="1"/>
  <c r="H13" i="6"/>
  <c r="P15" i="2"/>
  <c r="O14" i="2"/>
  <c r="J11" i="5" s="1"/>
  <c r="O12" i="6"/>
  <c r="Z15" i="2"/>
  <c r="AB15" i="2" s="1"/>
  <c r="O11" i="5"/>
  <c r="Y11" i="5" s="1"/>
  <c r="T11" i="5"/>
  <c r="B13" i="6"/>
  <c r="C13" i="6"/>
  <c r="N13" i="6"/>
  <c r="AD10" i="5"/>
  <c r="AF10" i="5" s="1"/>
  <c r="AC11" i="5"/>
  <c r="AE11" i="5" s="1"/>
  <c r="C11" i="5"/>
  <c r="Y10" i="5" l="1"/>
  <c r="L7" i="6"/>
  <c r="Q7" i="6" s="1"/>
  <c r="R7" i="6" s="1"/>
  <c r="L10" i="6"/>
  <c r="Q10" i="6" s="1"/>
  <c r="R10" i="6" s="1"/>
  <c r="L12" i="6"/>
  <c r="Q12" i="6" s="1"/>
  <c r="R12" i="6" s="1"/>
  <c r="L8" i="6"/>
  <c r="Q8" i="6" s="1"/>
  <c r="R8" i="6" s="1"/>
  <c r="X11" i="5"/>
  <c r="K14" i="6" s="1"/>
  <c r="L14" i="6"/>
  <c r="X10" i="5"/>
  <c r="K13" i="6" s="1"/>
  <c r="E18" i="2"/>
  <c r="D17" i="2"/>
  <c r="B14" i="5" s="1"/>
  <c r="H14" i="6"/>
  <c r="K11" i="5"/>
  <c r="I14" i="6" s="1"/>
  <c r="O15" i="2"/>
  <c r="J12" i="5" s="1"/>
  <c r="P16" i="2"/>
  <c r="O13" i="6"/>
  <c r="Z16" i="2"/>
  <c r="AB16" i="2" s="1"/>
  <c r="O12" i="5"/>
  <c r="Y12" i="5" s="1"/>
  <c r="T12" i="5"/>
  <c r="AC12" i="5"/>
  <c r="AE12" i="5" s="1"/>
  <c r="C12" i="5"/>
  <c r="N14" i="6"/>
  <c r="AD11" i="5"/>
  <c r="AF11" i="5" s="1"/>
  <c r="C14" i="6"/>
  <c r="B14" i="6"/>
  <c r="L9" i="6" l="1"/>
  <c r="Q9" i="6" s="1"/>
  <c r="R9" i="6" s="1"/>
  <c r="L15" i="6"/>
  <c r="X12" i="5"/>
  <c r="K15" i="6" s="1"/>
  <c r="E19" i="2"/>
  <c r="D18" i="2"/>
  <c r="B15" i="5" s="1"/>
  <c r="P17" i="2"/>
  <c r="O16" i="2"/>
  <c r="J13" i="5" s="1"/>
  <c r="H15" i="6"/>
  <c r="K12" i="5"/>
  <c r="I15" i="6" s="1"/>
  <c r="O14" i="6"/>
  <c r="Q14" i="6" s="1"/>
  <c r="R14" i="6" s="1"/>
  <c r="O13" i="5"/>
  <c r="Y13" i="5" s="1"/>
  <c r="T13" i="5"/>
  <c r="Z17" i="2"/>
  <c r="AB17" i="2" s="1"/>
  <c r="N15" i="6"/>
  <c r="AD12" i="5"/>
  <c r="AF12" i="5" s="1"/>
  <c r="AC13" i="5"/>
  <c r="AE13" i="5" s="1"/>
  <c r="C13" i="5"/>
  <c r="B15" i="6"/>
  <c r="C15" i="6"/>
  <c r="L16" i="6" l="1"/>
  <c r="L11" i="6"/>
  <c r="Q11" i="6" s="1"/>
  <c r="R11" i="6" s="1"/>
  <c r="L13" i="6"/>
  <c r="Q13" i="6" s="1"/>
  <c r="R13" i="6" s="1"/>
  <c r="X13" i="5"/>
  <c r="K16" i="6" s="1"/>
  <c r="E20" i="2"/>
  <c r="D19" i="2"/>
  <c r="B16" i="5" s="1"/>
  <c r="H16" i="6"/>
  <c r="K13" i="5"/>
  <c r="I16" i="6" s="1"/>
  <c r="P18" i="2"/>
  <c r="O17" i="2"/>
  <c r="J14" i="5" s="1"/>
  <c r="O15" i="6"/>
  <c r="Q15" i="6" s="1"/>
  <c r="R15" i="6" s="1"/>
  <c r="T14" i="5"/>
  <c r="O14" i="5"/>
  <c r="Y14" i="5" s="1"/>
  <c r="Z18" i="2"/>
  <c r="AB18" i="2" s="1"/>
  <c r="AC14" i="5"/>
  <c r="AE14" i="5" s="1"/>
  <c r="C14" i="5"/>
  <c r="AD13" i="5"/>
  <c r="AF13" i="5" s="1"/>
  <c r="N16" i="6"/>
  <c r="B16" i="6"/>
  <c r="C16" i="6"/>
  <c r="L17" i="6" l="1"/>
  <c r="X14" i="5"/>
  <c r="K17" i="6" s="1"/>
  <c r="E21" i="2"/>
  <c r="D20" i="2"/>
  <c r="B17" i="5" s="1"/>
  <c r="H17" i="6"/>
  <c r="K14" i="5"/>
  <c r="I17" i="6" s="1"/>
  <c r="O18" i="2"/>
  <c r="J15" i="5" s="1"/>
  <c r="P19" i="2"/>
  <c r="O16" i="6"/>
  <c r="Q16" i="6" s="1"/>
  <c r="R16" i="6" s="1"/>
  <c r="T15" i="5"/>
  <c r="O15" i="5"/>
  <c r="Y15" i="5" s="1"/>
  <c r="Z19" i="2"/>
  <c r="AB19" i="2" s="1"/>
  <c r="AD14" i="5"/>
  <c r="AF14" i="5" s="1"/>
  <c r="N17" i="6"/>
  <c r="B17" i="6"/>
  <c r="C17" i="6"/>
  <c r="C15" i="5"/>
  <c r="AC15" i="5"/>
  <c r="AE15" i="5" s="1"/>
  <c r="X15" i="5" l="1"/>
  <c r="K18" i="6" s="1"/>
  <c r="L18" i="6"/>
  <c r="D21" i="2"/>
  <c r="B18" i="5" s="1"/>
  <c r="E22" i="2"/>
  <c r="P20" i="2"/>
  <c r="O19" i="2"/>
  <c r="J16" i="5" s="1"/>
  <c r="K15" i="5"/>
  <c r="I18" i="6" s="1"/>
  <c r="H18" i="6"/>
  <c r="O17" i="6"/>
  <c r="Q17" i="6" s="1"/>
  <c r="R17" i="6" s="1"/>
  <c r="O16" i="5"/>
  <c r="Y16" i="5" s="1"/>
  <c r="T16" i="5"/>
  <c r="Z20" i="2"/>
  <c r="AB20" i="2" s="1"/>
  <c r="AD15" i="5"/>
  <c r="AF15" i="5" s="1"/>
  <c r="N18" i="6"/>
  <c r="AC16" i="5"/>
  <c r="AE16" i="5" s="1"/>
  <c r="C16" i="5"/>
  <c r="B18" i="6"/>
  <c r="C18" i="6"/>
  <c r="L19" i="6" l="1"/>
  <c r="X16" i="5"/>
  <c r="K19" i="6" s="1"/>
  <c r="E23" i="2"/>
  <c r="D22" i="2"/>
  <c r="B19" i="5" s="1"/>
  <c r="K16" i="5"/>
  <c r="I19" i="6" s="1"/>
  <c r="H19" i="6"/>
  <c r="P21" i="2"/>
  <c r="O20" i="2"/>
  <c r="J17" i="5" s="1"/>
  <c r="O18" i="6"/>
  <c r="Q18" i="6" s="1"/>
  <c r="R18" i="6" s="1"/>
  <c r="O17" i="5"/>
  <c r="Y17" i="5" s="1"/>
  <c r="T17" i="5"/>
  <c r="Z21" i="2"/>
  <c r="AB21" i="2" s="1"/>
  <c r="B19" i="6"/>
  <c r="C19" i="6"/>
  <c r="C17" i="5"/>
  <c r="AC17" i="5"/>
  <c r="AE17" i="5" s="1"/>
  <c r="AD16" i="5"/>
  <c r="AF16" i="5" s="1"/>
  <c r="N19" i="6"/>
  <c r="L20" i="6" l="1"/>
  <c r="X17" i="5"/>
  <c r="K20" i="6" s="1"/>
  <c r="E24" i="2"/>
  <c r="D23" i="2"/>
  <c r="B20" i="5" s="1"/>
  <c r="K17" i="5"/>
  <c r="I20" i="6" s="1"/>
  <c r="H20" i="6"/>
  <c r="P22" i="2"/>
  <c r="O21" i="2"/>
  <c r="J18" i="5" s="1"/>
  <c r="O19" i="6"/>
  <c r="Q19" i="6" s="1"/>
  <c r="R19" i="6" s="1"/>
  <c r="T18" i="5"/>
  <c r="O18" i="5"/>
  <c r="Y18" i="5" s="1"/>
  <c r="Z22" i="2"/>
  <c r="AB22" i="2" s="1"/>
  <c r="C18" i="5"/>
  <c r="AC18" i="5"/>
  <c r="AE18" i="5" s="1"/>
  <c r="AD17" i="5"/>
  <c r="AF17" i="5" s="1"/>
  <c r="N20" i="6"/>
  <c r="C20" i="6"/>
  <c r="B20" i="6"/>
  <c r="L21" i="6" l="1"/>
  <c r="X18" i="5"/>
  <c r="K21" i="6" s="1"/>
  <c r="E25" i="2"/>
  <c r="D24" i="2"/>
  <c r="B21" i="5" s="1"/>
  <c r="H21" i="6"/>
  <c r="K18" i="5"/>
  <c r="I21" i="6" s="1"/>
  <c r="O22" i="2"/>
  <c r="J19" i="5" s="1"/>
  <c r="P23" i="2"/>
  <c r="O20" i="6"/>
  <c r="Q20" i="6" s="1"/>
  <c r="R20" i="6" s="1"/>
  <c r="O19" i="5"/>
  <c r="Y19" i="5" s="1"/>
  <c r="T19" i="5"/>
  <c r="Z23" i="2"/>
  <c r="AB23" i="2" s="1"/>
  <c r="AC19" i="5"/>
  <c r="AE19" i="5" s="1"/>
  <c r="C19" i="5"/>
  <c r="N21" i="6"/>
  <c r="AD18" i="5"/>
  <c r="AF18" i="5" s="1"/>
  <c r="B21" i="6"/>
  <c r="C21" i="6"/>
  <c r="L22" i="6" l="1"/>
  <c r="X19" i="5"/>
  <c r="K22" i="6" s="1"/>
  <c r="D25" i="2"/>
  <c r="B22" i="5" s="1"/>
  <c r="E26" i="2"/>
  <c r="P24" i="2"/>
  <c r="O23" i="2"/>
  <c r="J20" i="5" s="1"/>
  <c r="H22" i="6"/>
  <c r="K19" i="5"/>
  <c r="I22" i="6" s="1"/>
  <c r="O21" i="6"/>
  <c r="Q21" i="6" s="1"/>
  <c r="R21" i="6" s="1"/>
  <c r="O20" i="5"/>
  <c r="Y20" i="5" s="1"/>
  <c r="T20" i="5"/>
  <c r="Z24" i="2"/>
  <c r="AB24" i="2" s="1"/>
  <c r="B22" i="6"/>
  <c r="C22" i="6"/>
  <c r="C20" i="5"/>
  <c r="AC20" i="5"/>
  <c r="AE20" i="5" s="1"/>
  <c r="N22" i="6"/>
  <c r="AD19" i="5"/>
  <c r="AF19" i="5" s="1"/>
  <c r="L23" i="6" l="1"/>
  <c r="X20" i="5"/>
  <c r="K23" i="6" s="1"/>
  <c r="E27" i="2"/>
  <c r="D26" i="2"/>
  <c r="B23" i="5" s="1"/>
  <c r="O24" i="2"/>
  <c r="J21" i="5" s="1"/>
  <c r="P25" i="2"/>
  <c r="K20" i="5"/>
  <c r="I23" i="6" s="1"/>
  <c r="H23" i="6"/>
  <c r="O22" i="6"/>
  <c r="Q22" i="6" s="1"/>
  <c r="R22" i="6" s="1"/>
  <c r="O21" i="5"/>
  <c r="Y21" i="5" s="1"/>
  <c r="T21" i="5"/>
  <c r="Z25" i="2"/>
  <c r="AB25" i="2" s="1"/>
  <c r="C23" i="6"/>
  <c r="B23" i="6"/>
  <c r="C21" i="5"/>
  <c r="AC21" i="5"/>
  <c r="AE21" i="5" s="1"/>
  <c r="AD20" i="5"/>
  <c r="AF20" i="5" s="1"/>
  <c r="N23" i="6"/>
  <c r="L24" i="6" l="1"/>
  <c r="X21" i="5"/>
  <c r="K24" i="6" s="1"/>
  <c r="E28" i="2"/>
  <c r="D27" i="2"/>
  <c r="B24" i="5" s="1"/>
  <c r="P26" i="2"/>
  <c r="O25" i="2"/>
  <c r="J22" i="5" s="1"/>
  <c r="H24" i="6"/>
  <c r="K21" i="5"/>
  <c r="I24" i="6" s="1"/>
  <c r="O23" i="6"/>
  <c r="Q23" i="6" s="1"/>
  <c r="R23" i="6" s="1"/>
  <c r="T22" i="5"/>
  <c r="O22" i="5"/>
  <c r="Y22" i="5" s="1"/>
  <c r="Z26" i="2"/>
  <c r="AB26" i="2" s="1"/>
  <c r="C24" i="6"/>
  <c r="B24" i="6"/>
  <c r="N24" i="6"/>
  <c r="AD21" i="5"/>
  <c r="AF21" i="5" s="1"/>
  <c r="AC22" i="5"/>
  <c r="AE22" i="5" s="1"/>
  <c r="C22" i="5"/>
  <c r="X22" i="5" l="1"/>
  <c r="K25" i="6" s="1"/>
  <c r="L25" i="6"/>
  <c r="E29" i="2"/>
  <c r="D28" i="2"/>
  <c r="B25" i="5" s="1"/>
  <c r="K22" i="5"/>
  <c r="I25" i="6" s="1"/>
  <c r="H25" i="6"/>
  <c r="P27" i="2"/>
  <c r="O26" i="2"/>
  <c r="J23" i="5" s="1"/>
  <c r="O24" i="6"/>
  <c r="Q24" i="6" s="1"/>
  <c r="R24" i="6" s="1"/>
  <c r="O23" i="5"/>
  <c r="Y23" i="5" s="1"/>
  <c r="T23" i="5"/>
  <c r="Z27" i="2"/>
  <c r="AB27" i="2" s="1"/>
  <c r="C25" i="6"/>
  <c r="B25" i="6"/>
  <c r="C23" i="5"/>
  <c r="AC23" i="5"/>
  <c r="AE23" i="5" s="1"/>
  <c r="AD22" i="5"/>
  <c r="AF22" i="5" s="1"/>
  <c r="N25" i="6"/>
  <c r="L26" i="6" l="1"/>
  <c r="X23" i="5"/>
  <c r="K26" i="6" s="1"/>
  <c r="E30" i="2"/>
  <c r="D29" i="2"/>
  <c r="B26" i="5" s="1"/>
  <c r="H26" i="6"/>
  <c r="K23" i="5"/>
  <c r="I26" i="6" s="1"/>
  <c r="P28" i="2"/>
  <c r="O27" i="2"/>
  <c r="J24" i="5" s="1"/>
  <c r="O25" i="6"/>
  <c r="Q25" i="6" s="1"/>
  <c r="R25" i="6" s="1"/>
  <c r="O24" i="5"/>
  <c r="Y24" i="5" s="1"/>
  <c r="T24" i="5"/>
  <c r="Z28" i="2"/>
  <c r="AB28" i="2" s="1"/>
  <c r="C24" i="5"/>
  <c r="AC24" i="5"/>
  <c r="AE24" i="5" s="1"/>
  <c r="AD23" i="5"/>
  <c r="AF23" i="5" s="1"/>
  <c r="N26" i="6"/>
  <c r="B26" i="6"/>
  <c r="C26" i="6"/>
  <c r="L27" i="6" l="1"/>
  <c r="X24" i="5"/>
  <c r="K27" i="6" s="1"/>
  <c r="E31" i="2"/>
  <c r="D30" i="2"/>
  <c r="B27" i="5" s="1"/>
  <c r="K24" i="5"/>
  <c r="I27" i="6" s="1"/>
  <c r="H27" i="6"/>
  <c r="P29" i="2"/>
  <c r="O28" i="2"/>
  <c r="J25" i="5" s="1"/>
  <c r="O26" i="6"/>
  <c r="Q26" i="6" s="1"/>
  <c r="R26" i="6" s="1"/>
  <c r="T25" i="5"/>
  <c r="O25" i="5"/>
  <c r="Y25" i="5" s="1"/>
  <c r="Z29" i="2"/>
  <c r="AB29" i="2" s="1"/>
  <c r="AC25" i="5"/>
  <c r="AE25" i="5" s="1"/>
  <c r="C25" i="5"/>
  <c r="AD24" i="5"/>
  <c r="AF24" i="5" s="1"/>
  <c r="N27" i="6"/>
  <c r="C27" i="6"/>
  <c r="B27" i="6"/>
  <c r="X25" i="5" l="1"/>
  <c r="K28" i="6" s="1"/>
  <c r="L28" i="6"/>
  <c r="E32" i="2"/>
  <c r="D31" i="2"/>
  <c r="B28" i="5" s="1"/>
  <c r="K25" i="5"/>
  <c r="I28" i="6" s="1"/>
  <c r="H28" i="6"/>
  <c r="P30" i="2"/>
  <c r="O29" i="2"/>
  <c r="J26" i="5" s="1"/>
  <c r="O27" i="6"/>
  <c r="Q27" i="6" s="1"/>
  <c r="R27" i="6" s="1"/>
  <c r="T26" i="5"/>
  <c r="O26" i="5"/>
  <c r="Y26" i="5" s="1"/>
  <c r="Z30" i="2"/>
  <c r="AB30" i="2" s="1"/>
  <c r="C26" i="5"/>
  <c r="AC26" i="5"/>
  <c r="AE26" i="5" s="1"/>
  <c r="B28" i="6"/>
  <c r="C28" i="6"/>
  <c r="N28" i="6"/>
  <c r="AD25" i="5"/>
  <c r="AF25" i="5" s="1"/>
  <c r="L29" i="6" l="1"/>
  <c r="X26" i="5"/>
  <c r="K29" i="6" s="1"/>
  <c r="D32" i="2"/>
  <c r="B29" i="5" s="1"/>
  <c r="E33" i="2"/>
  <c r="H29" i="6"/>
  <c r="K26" i="5"/>
  <c r="I29" i="6" s="1"/>
  <c r="O30" i="2"/>
  <c r="J27" i="5" s="1"/>
  <c r="P31" i="2"/>
  <c r="O28" i="6"/>
  <c r="Q28" i="6" s="1"/>
  <c r="R28" i="6" s="1"/>
  <c r="T27" i="5"/>
  <c r="O27" i="5"/>
  <c r="Y27" i="5" s="1"/>
  <c r="Z31" i="2"/>
  <c r="AB31" i="2" s="1"/>
  <c r="N29" i="6"/>
  <c r="AD26" i="5"/>
  <c r="AF26" i="5" s="1"/>
  <c r="AC27" i="5"/>
  <c r="AE27" i="5" s="1"/>
  <c r="C27" i="5"/>
  <c r="B29" i="6"/>
  <c r="C29" i="6"/>
  <c r="L30" i="6" l="1"/>
  <c r="X27" i="5"/>
  <c r="K30" i="6" s="1"/>
  <c r="E34" i="2"/>
  <c r="D33" i="2"/>
  <c r="B30" i="5" s="1"/>
  <c r="O31" i="2"/>
  <c r="J28" i="5" s="1"/>
  <c r="P32" i="2"/>
  <c r="H30" i="6"/>
  <c r="K27" i="5"/>
  <c r="I30" i="6" s="1"/>
  <c r="O29" i="6"/>
  <c r="Q29" i="6" s="1"/>
  <c r="R29" i="6" s="1"/>
  <c r="O28" i="5"/>
  <c r="Y28" i="5" s="1"/>
  <c r="T28" i="5"/>
  <c r="Z32" i="2"/>
  <c r="AB32" i="2" s="1"/>
  <c r="AD27" i="5"/>
  <c r="AF27" i="5" s="1"/>
  <c r="N30" i="6"/>
  <c r="C28" i="5"/>
  <c r="AC28" i="5"/>
  <c r="AE28" i="5" s="1"/>
  <c r="B30" i="6"/>
  <c r="C30" i="6"/>
  <c r="L31" i="6" l="1"/>
  <c r="X28" i="5"/>
  <c r="K31" i="6" s="1"/>
  <c r="E35" i="2"/>
  <c r="D34" i="2"/>
  <c r="B31" i="5" s="1"/>
  <c r="P33" i="2"/>
  <c r="O32" i="2"/>
  <c r="J29" i="5" s="1"/>
  <c r="H31" i="6"/>
  <c r="K28" i="5"/>
  <c r="I31" i="6" s="1"/>
  <c r="O30" i="6"/>
  <c r="Q30" i="6" s="1"/>
  <c r="R30" i="6" s="1"/>
  <c r="O29" i="5"/>
  <c r="Y29" i="5" s="1"/>
  <c r="T29" i="5"/>
  <c r="Z33" i="2"/>
  <c r="AB33" i="2" s="1"/>
  <c r="B31" i="6"/>
  <c r="C31" i="6"/>
  <c r="N31" i="6"/>
  <c r="AD28" i="5"/>
  <c r="AF28" i="5" s="1"/>
  <c r="AC29" i="5"/>
  <c r="AE29" i="5" s="1"/>
  <c r="C29" i="5"/>
  <c r="L32" i="6" l="1"/>
  <c r="X29" i="5"/>
  <c r="K32" i="6" s="1"/>
  <c r="E36" i="2"/>
  <c r="D35" i="2"/>
  <c r="B32" i="5" s="1"/>
  <c r="H32" i="6"/>
  <c r="K29" i="5"/>
  <c r="I32" i="6" s="1"/>
  <c r="P34" i="2"/>
  <c r="O33" i="2"/>
  <c r="J30" i="5" s="1"/>
  <c r="O31" i="6"/>
  <c r="Q31" i="6" s="1"/>
  <c r="R31" i="6" s="1"/>
  <c r="O30" i="5"/>
  <c r="Y30" i="5" s="1"/>
  <c r="T30" i="5"/>
  <c r="Z34" i="2"/>
  <c r="AB34" i="2" s="1"/>
  <c r="C30" i="5"/>
  <c r="AC30" i="5"/>
  <c r="AE30" i="5" s="1"/>
  <c r="B32" i="6"/>
  <c r="C32" i="6"/>
  <c r="AD29" i="5"/>
  <c r="AF29" i="5" s="1"/>
  <c r="N32" i="6"/>
  <c r="L33" i="6" l="1"/>
  <c r="X30" i="5"/>
  <c r="K33" i="6" s="1"/>
  <c r="E37" i="2"/>
  <c r="D36" i="2"/>
  <c r="B33" i="5" s="1"/>
  <c r="H33" i="6"/>
  <c r="K30" i="5"/>
  <c r="I33" i="6" s="1"/>
  <c r="O34" i="2"/>
  <c r="J31" i="5" s="1"/>
  <c r="P35" i="2"/>
  <c r="O32" i="6"/>
  <c r="Q32" i="6" s="1"/>
  <c r="R32" i="6" s="1"/>
  <c r="T31" i="5"/>
  <c r="O31" i="5"/>
  <c r="Y31" i="5" s="1"/>
  <c r="Z35" i="2"/>
  <c r="AB35" i="2" s="1"/>
  <c r="N33" i="6"/>
  <c r="AD30" i="5"/>
  <c r="AF30" i="5" s="1"/>
  <c r="AC31" i="5"/>
  <c r="AE31" i="5" s="1"/>
  <c r="C31" i="5"/>
  <c r="B33" i="6"/>
  <c r="C33" i="6"/>
  <c r="X31" i="5" l="1"/>
  <c r="K34" i="6" s="1"/>
  <c r="L34" i="6"/>
  <c r="E38" i="2"/>
  <c r="D37" i="2"/>
  <c r="B34" i="5" s="1"/>
  <c r="O35" i="2"/>
  <c r="J32" i="5" s="1"/>
  <c r="P36" i="2"/>
  <c r="H34" i="6"/>
  <c r="K31" i="5"/>
  <c r="I34" i="6" s="1"/>
  <c r="O33" i="6"/>
  <c r="Q33" i="6" s="1"/>
  <c r="R33" i="6" s="1"/>
  <c r="O32" i="5"/>
  <c r="Y32" i="5" s="1"/>
  <c r="T32" i="5"/>
  <c r="Z36" i="2"/>
  <c r="AB36" i="2" s="1"/>
  <c r="B34" i="6"/>
  <c r="C34" i="6"/>
  <c r="AC32" i="5"/>
  <c r="AE32" i="5" s="1"/>
  <c r="C32" i="5"/>
  <c r="AD31" i="5"/>
  <c r="AF31" i="5" s="1"/>
  <c r="N34" i="6"/>
  <c r="L35" i="6" l="1"/>
  <c r="X32" i="5"/>
  <c r="K35" i="6" s="1"/>
  <c r="E39" i="2"/>
  <c r="D38" i="2"/>
  <c r="B35" i="5" s="1"/>
  <c r="O36" i="2"/>
  <c r="J33" i="5" s="1"/>
  <c r="P37" i="2"/>
  <c r="H35" i="6"/>
  <c r="K32" i="5"/>
  <c r="I35" i="6" s="1"/>
  <c r="O34" i="6"/>
  <c r="Q34" i="6" s="1"/>
  <c r="R34" i="6" s="1"/>
  <c r="O33" i="5"/>
  <c r="Y33" i="5" s="1"/>
  <c r="T33" i="5"/>
  <c r="Z37" i="2"/>
  <c r="AB37" i="2" s="1"/>
  <c r="B35" i="6"/>
  <c r="C35" i="6"/>
  <c r="C33" i="5"/>
  <c r="AC33" i="5"/>
  <c r="AE33" i="5" s="1"/>
  <c r="N35" i="6"/>
  <c r="AD32" i="5"/>
  <c r="AF32" i="5" s="1"/>
  <c r="L36" i="6" l="1"/>
  <c r="X33" i="5"/>
  <c r="K36" i="6" s="1"/>
  <c r="E40" i="2"/>
  <c r="D39" i="2"/>
  <c r="B36" i="5" s="1"/>
  <c r="O37" i="2"/>
  <c r="J34" i="5" s="1"/>
  <c r="P38" i="2"/>
  <c r="H36" i="6"/>
  <c r="K33" i="5"/>
  <c r="I36" i="6" s="1"/>
  <c r="O35" i="6"/>
  <c r="Q35" i="6" s="1"/>
  <c r="R35" i="6" s="1"/>
  <c r="T34" i="5"/>
  <c r="O34" i="5"/>
  <c r="Y34" i="5" s="1"/>
  <c r="Z38" i="2"/>
  <c r="AB38" i="2" s="1"/>
  <c r="C34" i="5"/>
  <c r="AC34" i="5"/>
  <c r="AE34" i="5" s="1"/>
  <c r="N36" i="6"/>
  <c r="AD33" i="5"/>
  <c r="AF33" i="5" s="1"/>
  <c r="B36" i="6"/>
  <c r="C36" i="6"/>
  <c r="X34" i="5" l="1"/>
  <c r="K37" i="6" s="1"/>
  <c r="L37" i="6"/>
  <c r="D40" i="2"/>
  <c r="B37" i="5" s="1"/>
  <c r="E41" i="2"/>
  <c r="O38" i="2"/>
  <c r="J35" i="5" s="1"/>
  <c r="P39" i="2"/>
  <c r="H37" i="6"/>
  <c r="K34" i="5"/>
  <c r="I37" i="6" s="1"/>
  <c r="O36" i="6"/>
  <c r="Q36" i="6" s="1"/>
  <c r="R36" i="6" s="1"/>
  <c r="O35" i="5"/>
  <c r="Y35" i="5" s="1"/>
  <c r="T35" i="5"/>
  <c r="Z39" i="2"/>
  <c r="AB39" i="2" s="1"/>
  <c r="AD34" i="5"/>
  <c r="AF34" i="5" s="1"/>
  <c r="N37" i="6"/>
  <c r="B37" i="6"/>
  <c r="C37" i="6"/>
  <c r="AC35" i="5"/>
  <c r="AE35" i="5" s="1"/>
  <c r="C35" i="5"/>
  <c r="X35" i="5" l="1"/>
  <c r="K38" i="6" s="1"/>
  <c r="L38" i="6"/>
  <c r="E42" i="2"/>
  <c r="D41" i="2"/>
  <c r="B38" i="5" s="1"/>
  <c r="P40" i="2"/>
  <c r="O39" i="2"/>
  <c r="J36" i="5" s="1"/>
  <c r="H38" i="6"/>
  <c r="K35" i="5"/>
  <c r="I38" i="6" s="1"/>
  <c r="O37" i="6"/>
  <c r="Q37" i="6" s="1"/>
  <c r="R37" i="6" s="1"/>
  <c r="T36" i="5"/>
  <c r="O36" i="5"/>
  <c r="Y36" i="5" s="1"/>
  <c r="Z40" i="2"/>
  <c r="AB40" i="2" s="1"/>
  <c r="B38" i="6"/>
  <c r="C38" i="6"/>
  <c r="N38" i="6"/>
  <c r="AD35" i="5"/>
  <c r="AF35" i="5" s="1"/>
  <c r="C36" i="5"/>
  <c r="AC36" i="5"/>
  <c r="AE36" i="5" s="1"/>
  <c r="L39" i="6" l="1"/>
  <c r="X36" i="5"/>
  <c r="K39" i="6" s="1"/>
  <c r="E43" i="2"/>
  <c r="D42" i="2"/>
  <c r="B39" i="5" s="1"/>
  <c r="H39" i="6"/>
  <c r="K36" i="5"/>
  <c r="I39" i="6" s="1"/>
  <c r="O40" i="2"/>
  <c r="J37" i="5" s="1"/>
  <c r="P41" i="2"/>
  <c r="O38" i="6"/>
  <c r="Q38" i="6" s="1"/>
  <c r="R38" i="6" s="1"/>
  <c r="T37" i="5"/>
  <c r="O37" i="5"/>
  <c r="Y37" i="5" s="1"/>
  <c r="Z41" i="2"/>
  <c r="AB41" i="2" s="1"/>
  <c r="AC37" i="5"/>
  <c r="AE37" i="5" s="1"/>
  <c r="C37" i="5"/>
  <c r="AD36" i="5"/>
  <c r="AF36" i="5" s="1"/>
  <c r="N39" i="6"/>
  <c r="B39" i="6"/>
  <c r="C39" i="6"/>
  <c r="L40" i="6" l="1"/>
  <c r="X37" i="5"/>
  <c r="K40" i="6" s="1"/>
  <c r="E44" i="2"/>
  <c r="D43" i="2"/>
  <c r="B40" i="5" s="1"/>
  <c r="O41" i="2"/>
  <c r="J38" i="5" s="1"/>
  <c r="P42" i="2"/>
  <c r="H40" i="6"/>
  <c r="K37" i="5"/>
  <c r="I40" i="6" s="1"/>
  <c r="O39" i="6"/>
  <c r="Q39" i="6" s="1"/>
  <c r="R39" i="6" s="1"/>
  <c r="T38" i="5"/>
  <c r="O38" i="5"/>
  <c r="Y38" i="5" s="1"/>
  <c r="Z42" i="2"/>
  <c r="AB42" i="2" s="1"/>
  <c r="AC38" i="5"/>
  <c r="AE38" i="5" s="1"/>
  <c r="C38" i="5"/>
  <c r="B40" i="6"/>
  <c r="C40" i="6"/>
  <c r="AD37" i="5"/>
  <c r="AF37" i="5" s="1"/>
  <c r="N40" i="6"/>
  <c r="L41" i="6" l="1"/>
  <c r="X38" i="5"/>
  <c r="K41" i="6" s="1"/>
  <c r="D44" i="2"/>
  <c r="B41" i="5" s="1"/>
  <c r="E45" i="2"/>
  <c r="O42" i="2"/>
  <c r="J39" i="5" s="1"/>
  <c r="P43" i="2"/>
  <c r="H41" i="6"/>
  <c r="K38" i="5"/>
  <c r="I41" i="6" s="1"/>
  <c r="O40" i="6"/>
  <c r="Q40" i="6" s="1"/>
  <c r="R40" i="6" s="1"/>
  <c r="O39" i="5"/>
  <c r="Y39" i="5" s="1"/>
  <c r="T39" i="5"/>
  <c r="Z43" i="2"/>
  <c r="AB43" i="2" s="1"/>
  <c r="B41" i="6"/>
  <c r="C41" i="6"/>
  <c r="N41" i="6"/>
  <c r="AD38" i="5"/>
  <c r="AF38" i="5" s="1"/>
  <c r="AC39" i="5"/>
  <c r="AE39" i="5" s="1"/>
  <c r="C39" i="5"/>
  <c r="L42" i="6" l="1"/>
  <c r="X39" i="5"/>
  <c r="K42" i="6" s="1"/>
  <c r="E46" i="2"/>
  <c r="D45" i="2"/>
  <c r="B42" i="5" s="1"/>
  <c r="O43" i="2"/>
  <c r="J40" i="5" s="1"/>
  <c r="P44" i="2"/>
  <c r="H42" i="6"/>
  <c r="K39" i="5"/>
  <c r="I42" i="6" s="1"/>
  <c r="O41" i="6"/>
  <c r="Q41" i="6" s="1"/>
  <c r="R41" i="6" s="1"/>
  <c r="O40" i="5"/>
  <c r="Y40" i="5" s="1"/>
  <c r="T40" i="5"/>
  <c r="Z44" i="2"/>
  <c r="AB44" i="2" s="1"/>
  <c r="B42" i="6"/>
  <c r="C42" i="6"/>
  <c r="AD39" i="5"/>
  <c r="AF39" i="5" s="1"/>
  <c r="N42" i="6"/>
  <c r="C40" i="5"/>
  <c r="AC40" i="5"/>
  <c r="AE40" i="5" s="1"/>
  <c r="L43" i="6" l="1"/>
  <c r="X40" i="5"/>
  <c r="K43" i="6" s="1"/>
  <c r="D46" i="2"/>
  <c r="B43" i="5" s="1"/>
  <c r="E47" i="2"/>
  <c r="O44" i="2"/>
  <c r="J41" i="5" s="1"/>
  <c r="P45" i="2"/>
  <c r="H43" i="6"/>
  <c r="K40" i="5"/>
  <c r="I43" i="6" s="1"/>
  <c r="O42" i="6"/>
  <c r="Q42" i="6" s="1"/>
  <c r="R42" i="6" s="1"/>
  <c r="O41" i="5"/>
  <c r="Y41" i="5" s="1"/>
  <c r="T41" i="5"/>
  <c r="Z45" i="2"/>
  <c r="AB45" i="2" s="1"/>
  <c r="N43" i="6"/>
  <c r="AD40" i="5"/>
  <c r="AF40" i="5" s="1"/>
  <c r="AC41" i="5"/>
  <c r="AE41" i="5" s="1"/>
  <c r="C41" i="5"/>
  <c r="B43" i="6"/>
  <c r="C43" i="6"/>
  <c r="L44" i="6" l="1"/>
  <c r="X41" i="5"/>
  <c r="K44" i="6" s="1"/>
  <c r="E48" i="2"/>
  <c r="D47" i="2"/>
  <c r="B44" i="5" s="1"/>
  <c r="P46" i="2"/>
  <c r="O45" i="2"/>
  <c r="J42" i="5" s="1"/>
  <c r="H44" i="6"/>
  <c r="K41" i="5"/>
  <c r="I44" i="6" s="1"/>
  <c r="O43" i="6"/>
  <c r="Q43" i="6" s="1"/>
  <c r="R43" i="6" s="1"/>
  <c r="O42" i="5"/>
  <c r="Y42" i="5" s="1"/>
  <c r="T42" i="5"/>
  <c r="Z46" i="2"/>
  <c r="AB46" i="2" s="1"/>
  <c r="N44" i="6"/>
  <c r="AD41" i="5"/>
  <c r="AF41" i="5" s="1"/>
  <c r="B44" i="6"/>
  <c r="C44" i="6"/>
  <c r="AC42" i="5"/>
  <c r="AE42" i="5" s="1"/>
  <c r="C42" i="5"/>
  <c r="L45" i="6" l="1"/>
  <c r="X42" i="5"/>
  <c r="K45" i="6" s="1"/>
  <c r="E49" i="2"/>
  <c r="D48" i="2"/>
  <c r="B45" i="5" s="1"/>
  <c r="H45" i="6"/>
  <c r="K42" i="5"/>
  <c r="I45" i="6" s="1"/>
  <c r="P47" i="2"/>
  <c r="O46" i="2"/>
  <c r="J43" i="5" s="1"/>
  <c r="O44" i="6"/>
  <c r="Q44" i="6" s="1"/>
  <c r="R44" i="6" s="1"/>
  <c r="O43" i="5"/>
  <c r="Y43" i="5" s="1"/>
  <c r="T43" i="5"/>
  <c r="Z47" i="2"/>
  <c r="AB47" i="2" s="1"/>
  <c r="AD42" i="5"/>
  <c r="AF42" i="5" s="1"/>
  <c r="N45" i="6"/>
  <c r="C43" i="5"/>
  <c r="AC43" i="5"/>
  <c r="AE43" i="5" s="1"/>
  <c r="B45" i="6"/>
  <c r="C45" i="6"/>
  <c r="L46" i="6" l="1"/>
  <c r="X43" i="5"/>
  <c r="K46" i="6" s="1"/>
  <c r="E50" i="2"/>
  <c r="D49" i="2"/>
  <c r="B46" i="5" s="1"/>
  <c r="H46" i="6"/>
  <c r="K43" i="5"/>
  <c r="I46" i="6" s="1"/>
  <c r="P48" i="2"/>
  <c r="O47" i="2"/>
  <c r="J44" i="5" s="1"/>
  <c r="O45" i="6"/>
  <c r="Q45" i="6" s="1"/>
  <c r="R45" i="6" s="1"/>
  <c r="Z48" i="2"/>
  <c r="AB48" i="2" s="1"/>
  <c r="T44" i="5"/>
  <c r="O44" i="5"/>
  <c r="Y44" i="5" s="1"/>
  <c r="N46" i="6"/>
  <c r="AD43" i="5"/>
  <c r="AF43" i="5" s="1"/>
  <c r="AC44" i="5"/>
  <c r="AE44" i="5" s="1"/>
  <c r="C44" i="5"/>
  <c r="C46" i="6"/>
  <c r="B46" i="6"/>
  <c r="L47" i="6" l="1"/>
  <c r="X44" i="5"/>
  <c r="K47" i="6" s="1"/>
  <c r="D50" i="2"/>
  <c r="B47" i="5" s="1"/>
  <c r="E51" i="2"/>
  <c r="H47" i="6"/>
  <c r="K44" i="5"/>
  <c r="I47" i="6" s="1"/>
  <c r="P49" i="2"/>
  <c r="O48" i="2"/>
  <c r="J45" i="5" s="1"/>
  <c r="O46" i="6"/>
  <c r="Q46" i="6" s="1"/>
  <c r="R46" i="6" s="1"/>
  <c r="Z49" i="2"/>
  <c r="AB49" i="2" s="1"/>
  <c r="T45" i="5"/>
  <c r="O45" i="5"/>
  <c r="Y45" i="5" s="1"/>
  <c r="B47" i="6"/>
  <c r="C47" i="6"/>
  <c r="AC45" i="5"/>
  <c r="AE45" i="5" s="1"/>
  <c r="C45" i="5"/>
  <c r="N47" i="6"/>
  <c r="AD44" i="5"/>
  <c r="AF44" i="5" s="1"/>
  <c r="X45" i="5" l="1"/>
  <c r="K48" i="6" s="1"/>
  <c r="L48" i="6"/>
  <c r="E52" i="2"/>
  <c r="D51" i="2"/>
  <c r="B48" i="5" s="1"/>
  <c r="H48" i="6"/>
  <c r="K45" i="5"/>
  <c r="I48" i="6" s="1"/>
  <c r="P50" i="2"/>
  <c r="O49" i="2"/>
  <c r="J46" i="5" s="1"/>
  <c r="O47" i="6"/>
  <c r="Q47" i="6" s="1"/>
  <c r="R47" i="6" s="1"/>
  <c r="Z50" i="2"/>
  <c r="AB50" i="2" s="1"/>
  <c r="O46" i="5"/>
  <c r="Y46" i="5" s="1"/>
  <c r="T46" i="5"/>
  <c r="C48" i="6"/>
  <c r="B48" i="6"/>
  <c r="AD45" i="5"/>
  <c r="AF45" i="5" s="1"/>
  <c r="N48" i="6"/>
  <c r="AC46" i="5"/>
  <c r="AE46" i="5" s="1"/>
  <c r="C46" i="5"/>
  <c r="L49" i="6" l="1"/>
  <c r="X46" i="5"/>
  <c r="K49" i="6" s="1"/>
  <c r="E53" i="2"/>
  <c r="D52" i="2"/>
  <c r="B49" i="5" s="1"/>
  <c r="H49" i="6"/>
  <c r="K46" i="5"/>
  <c r="I49" i="6" s="1"/>
  <c r="P51" i="2"/>
  <c r="O50" i="2"/>
  <c r="J47" i="5" s="1"/>
  <c r="O48" i="6"/>
  <c r="Q48" i="6" s="1"/>
  <c r="R48" i="6" s="1"/>
  <c r="O47" i="5"/>
  <c r="Y47" i="5" s="1"/>
  <c r="T47" i="5"/>
  <c r="Z51" i="2"/>
  <c r="AB51" i="2" s="1"/>
  <c r="B49" i="6"/>
  <c r="C49" i="6"/>
  <c r="AD46" i="5"/>
  <c r="AF46" i="5" s="1"/>
  <c r="N49" i="6"/>
  <c r="AC47" i="5"/>
  <c r="AE47" i="5" s="1"/>
  <c r="C47" i="5"/>
  <c r="L50" i="6" l="1"/>
  <c r="X47" i="5"/>
  <c r="K50" i="6" s="1"/>
  <c r="E54" i="2"/>
  <c r="D53" i="2"/>
  <c r="B50" i="5" s="1"/>
  <c r="H50" i="6"/>
  <c r="K47" i="5"/>
  <c r="I50" i="6" s="1"/>
  <c r="O51" i="2"/>
  <c r="J48" i="5" s="1"/>
  <c r="P52" i="2"/>
  <c r="O49" i="6"/>
  <c r="Q49" i="6" s="1"/>
  <c r="R49" i="6" s="1"/>
  <c r="O48" i="5"/>
  <c r="Y48" i="5" s="1"/>
  <c r="T48" i="5"/>
  <c r="Z52" i="2"/>
  <c r="AB52" i="2" s="1"/>
  <c r="B50" i="6"/>
  <c r="C50" i="6"/>
  <c r="AD47" i="5"/>
  <c r="AF47" i="5" s="1"/>
  <c r="N50" i="6"/>
  <c r="C48" i="5"/>
  <c r="AC48" i="5"/>
  <c r="AE48" i="5" s="1"/>
  <c r="L51" i="6" l="1"/>
  <c r="X48" i="5"/>
  <c r="K51" i="6" s="1"/>
  <c r="E55" i="2"/>
  <c r="D54" i="2"/>
  <c r="B51" i="5" s="1"/>
  <c r="P53" i="2"/>
  <c r="O52" i="2"/>
  <c r="J49" i="5" s="1"/>
  <c r="H51" i="6"/>
  <c r="K48" i="5"/>
  <c r="I51" i="6" s="1"/>
  <c r="O50" i="6"/>
  <c r="Q50" i="6" s="1"/>
  <c r="R50" i="6" s="1"/>
  <c r="O49" i="5"/>
  <c r="Y49" i="5" s="1"/>
  <c r="T49" i="5"/>
  <c r="Z53" i="2"/>
  <c r="AB53" i="2" s="1"/>
  <c r="AD48" i="5"/>
  <c r="AF48" i="5" s="1"/>
  <c r="N51" i="6"/>
  <c r="B51" i="6"/>
  <c r="C51" i="6"/>
  <c r="AC49" i="5"/>
  <c r="AE49" i="5" s="1"/>
  <c r="C49" i="5"/>
  <c r="L52" i="6" l="1"/>
  <c r="X49" i="5"/>
  <c r="K52" i="6" s="1"/>
  <c r="E56" i="2"/>
  <c r="D55" i="2"/>
  <c r="B52" i="5" s="1"/>
  <c r="K49" i="5"/>
  <c r="I52" i="6" s="1"/>
  <c r="H52" i="6"/>
  <c r="P54" i="2"/>
  <c r="O53" i="2"/>
  <c r="J50" i="5" s="1"/>
  <c r="O51" i="6"/>
  <c r="Q51" i="6" s="1"/>
  <c r="R51" i="6" s="1"/>
  <c r="O50" i="5"/>
  <c r="Y50" i="5" s="1"/>
  <c r="T50" i="5"/>
  <c r="Z54" i="2"/>
  <c r="AB54" i="2" s="1"/>
  <c r="AC50" i="5"/>
  <c r="AE50" i="5" s="1"/>
  <c r="C50" i="5"/>
  <c r="B52" i="6"/>
  <c r="C52" i="6"/>
  <c r="AD49" i="5"/>
  <c r="AF49" i="5" s="1"/>
  <c r="N52" i="6"/>
  <c r="L53" i="6" l="1"/>
  <c r="X50" i="5"/>
  <c r="K53" i="6" s="1"/>
  <c r="E57" i="2"/>
  <c r="D56" i="2"/>
  <c r="B53" i="5" s="1"/>
  <c r="K50" i="5"/>
  <c r="I53" i="6" s="1"/>
  <c r="H53" i="6"/>
  <c r="O54" i="2"/>
  <c r="J51" i="5" s="1"/>
  <c r="P55" i="2"/>
  <c r="O52" i="6"/>
  <c r="Q52" i="6" s="1"/>
  <c r="R52" i="6" s="1"/>
  <c r="O51" i="5"/>
  <c r="Y51" i="5" s="1"/>
  <c r="T51" i="5"/>
  <c r="Z55" i="2"/>
  <c r="AB55" i="2" s="1"/>
  <c r="AC51" i="5"/>
  <c r="AE51" i="5" s="1"/>
  <c r="C51" i="5"/>
  <c r="C53" i="6"/>
  <c r="B53" i="6"/>
  <c r="N53" i="6"/>
  <c r="AD50" i="5"/>
  <c r="AF50" i="5" s="1"/>
  <c r="L54" i="6" l="1"/>
  <c r="X51" i="5"/>
  <c r="K54" i="6" s="1"/>
  <c r="E58" i="2"/>
  <c r="D57" i="2"/>
  <c r="B54" i="5" s="1"/>
  <c r="O55" i="2"/>
  <c r="J52" i="5" s="1"/>
  <c r="P56" i="2"/>
  <c r="K51" i="5"/>
  <c r="I54" i="6" s="1"/>
  <c r="H54" i="6"/>
  <c r="O53" i="6"/>
  <c r="Q53" i="6" s="1"/>
  <c r="R53" i="6" s="1"/>
  <c r="T52" i="5"/>
  <c r="O52" i="5"/>
  <c r="Y52" i="5" s="1"/>
  <c r="Z56" i="2"/>
  <c r="AB56" i="2" s="1"/>
  <c r="AC52" i="5"/>
  <c r="AE52" i="5" s="1"/>
  <c r="C52" i="5"/>
  <c r="B54" i="6"/>
  <c r="C54" i="6"/>
  <c r="N54" i="6"/>
  <c r="AD51" i="5"/>
  <c r="AF51" i="5" s="1"/>
  <c r="X52" i="5" l="1"/>
  <c r="K55" i="6" s="1"/>
  <c r="L55" i="6"/>
  <c r="E59" i="2"/>
  <c r="D58" i="2"/>
  <c r="B55" i="5" s="1"/>
  <c r="O56" i="2"/>
  <c r="J53" i="5" s="1"/>
  <c r="P57" i="2"/>
  <c r="H55" i="6"/>
  <c r="K52" i="5"/>
  <c r="I55" i="6" s="1"/>
  <c r="O54" i="6"/>
  <c r="Q54" i="6" s="1"/>
  <c r="R54" i="6" s="1"/>
  <c r="Z57" i="2"/>
  <c r="AB57" i="2" s="1"/>
  <c r="O53" i="5"/>
  <c r="Y53" i="5" s="1"/>
  <c r="T53" i="5"/>
  <c r="AD52" i="5"/>
  <c r="AF52" i="5" s="1"/>
  <c r="N55" i="6"/>
  <c r="AC53" i="5"/>
  <c r="AE53" i="5" s="1"/>
  <c r="C53" i="5"/>
  <c r="C55" i="6"/>
  <c r="B55" i="6"/>
  <c r="X53" i="5" l="1"/>
  <c r="K56" i="6" s="1"/>
  <c r="L56" i="6"/>
  <c r="E60" i="2"/>
  <c r="D59" i="2"/>
  <c r="B56" i="5" s="1"/>
  <c r="O57" i="2"/>
  <c r="J54" i="5" s="1"/>
  <c r="P58" i="2"/>
  <c r="H56" i="6"/>
  <c r="K53" i="5"/>
  <c r="I56" i="6" s="1"/>
  <c r="O55" i="6"/>
  <c r="Q55" i="6" s="1"/>
  <c r="R55" i="6" s="1"/>
  <c r="Z58" i="2"/>
  <c r="AB58" i="2" s="1"/>
  <c r="T54" i="5"/>
  <c r="O54" i="5"/>
  <c r="Y54" i="5" s="1"/>
  <c r="B56" i="6"/>
  <c r="C56" i="6"/>
  <c r="AD53" i="5"/>
  <c r="AF53" i="5" s="1"/>
  <c r="N56" i="6"/>
  <c r="AC54" i="5"/>
  <c r="AE54" i="5" s="1"/>
  <c r="C54" i="5"/>
  <c r="X54" i="5" l="1"/>
  <c r="K57" i="6" s="1"/>
  <c r="L57" i="6"/>
  <c r="E61" i="2"/>
  <c r="D60" i="2"/>
  <c r="B57" i="5" s="1"/>
  <c r="O58" i="2"/>
  <c r="J55" i="5" s="1"/>
  <c r="P59" i="2"/>
  <c r="H57" i="6"/>
  <c r="K54" i="5"/>
  <c r="I57" i="6" s="1"/>
  <c r="O56" i="6"/>
  <c r="Q56" i="6" s="1"/>
  <c r="R56" i="6" s="1"/>
  <c r="Z59" i="2"/>
  <c r="AB59" i="2" s="1"/>
  <c r="T55" i="5"/>
  <c r="O55" i="5"/>
  <c r="Y55" i="5" s="1"/>
  <c r="B57" i="6"/>
  <c r="C57" i="6"/>
  <c r="AD54" i="5"/>
  <c r="AF54" i="5" s="1"/>
  <c r="N57" i="6"/>
  <c r="C55" i="5"/>
  <c r="AC55" i="5"/>
  <c r="AE55" i="5" s="1"/>
  <c r="X55" i="5" l="1"/>
  <c r="K58" i="6" s="1"/>
  <c r="L58" i="6"/>
  <c r="E62" i="2"/>
  <c r="D61" i="2"/>
  <c r="B58" i="5" s="1"/>
  <c r="P60" i="2"/>
  <c r="O59" i="2"/>
  <c r="J56" i="5" s="1"/>
  <c r="H58" i="6"/>
  <c r="K55" i="5"/>
  <c r="I58" i="6" s="1"/>
  <c r="O57" i="6"/>
  <c r="Q57" i="6" s="1"/>
  <c r="R57" i="6" s="1"/>
  <c r="Z60" i="2"/>
  <c r="AB60" i="2" s="1"/>
  <c r="O56" i="5"/>
  <c r="Y56" i="5" s="1"/>
  <c r="T56" i="5"/>
  <c r="AD55" i="5"/>
  <c r="AF55" i="5" s="1"/>
  <c r="N58" i="6"/>
  <c r="C56" i="5"/>
  <c r="AC56" i="5"/>
  <c r="AE56" i="5" s="1"/>
  <c r="B58" i="6"/>
  <c r="C58" i="6"/>
  <c r="X56" i="5" l="1"/>
  <c r="K59" i="6" s="1"/>
  <c r="L59" i="6"/>
  <c r="E63" i="2"/>
  <c r="D62" i="2"/>
  <c r="B59" i="5" s="1"/>
  <c r="H59" i="6"/>
  <c r="K56" i="5"/>
  <c r="I59" i="6" s="1"/>
  <c r="P61" i="2"/>
  <c r="O60" i="2"/>
  <c r="J57" i="5" s="1"/>
  <c r="O58" i="6"/>
  <c r="Q58" i="6" s="1"/>
  <c r="R58" i="6" s="1"/>
  <c r="T57" i="5"/>
  <c r="O57" i="5"/>
  <c r="Y57" i="5" s="1"/>
  <c r="Z61" i="2"/>
  <c r="AB61" i="2" s="1"/>
  <c r="N59" i="6"/>
  <c r="AD56" i="5"/>
  <c r="AF56" i="5" s="1"/>
  <c r="C57" i="5"/>
  <c r="AC57" i="5"/>
  <c r="AE57" i="5" s="1"/>
  <c r="B59" i="6"/>
  <c r="C59" i="6"/>
  <c r="X57" i="5" l="1"/>
  <c r="K60" i="6" s="1"/>
  <c r="L60" i="6"/>
  <c r="E64" i="2"/>
  <c r="D63" i="2"/>
  <c r="B60" i="5" s="1"/>
  <c r="H60" i="6"/>
  <c r="K57" i="5"/>
  <c r="I60" i="6" s="1"/>
  <c r="P62" i="2"/>
  <c r="O61" i="2"/>
  <c r="J58" i="5" s="1"/>
  <c r="O59" i="6"/>
  <c r="Q59" i="6" s="1"/>
  <c r="R59" i="6" s="1"/>
  <c r="O58" i="5"/>
  <c r="Y58" i="5" s="1"/>
  <c r="T58" i="5"/>
  <c r="Z62" i="2"/>
  <c r="AB62" i="2" s="1"/>
  <c r="AC58" i="5"/>
  <c r="AE58" i="5" s="1"/>
  <c r="C58" i="5"/>
  <c r="AD57" i="5"/>
  <c r="AF57" i="5" s="1"/>
  <c r="N60" i="6"/>
  <c r="C60" i="6"/>
  <c r="B60" i="6"/>
  <c r="L61" i="6" l="1"/>
  <c r="X58" i="5"/>
  <c r="K61" i="6" s="1"/>
  <c r="E65" i="2"/>
  <c r="D64" i="2"/>
  <c r="B61" i="5" s="1"/>
  <c r="H61" i="6"/>
  <c r="K58" i="5"/>
  <c r="I61" i="6" s="1"/>
  <c r="P63" i="2"/>
  <c r="O62" i="2"/>
  <c r="J59" i="5" s="1"/>
  <c r="O60" i="6"/>
  <c r="Q60" i="6" s="1"/>
  <c r="R60" i="6" s="1"/>
  <c r="O59" i="5"/>
  <c r="Y59" i="5" s="1"/>
  <c r="T59" i="5"/>
  <c r="Z63" i="2"/>
  <c r="AB63" i="2" s="1"/>
  <c r="C61" i="6"/>
  <c r="B61" i="6"/>
  <c r="AC59" i="5"/>
  <c r="AE59" i="5" s="1"/>
  <c r="C59" i="5"/>
  <c r="N61" i="6"/>
  <c r="AD58" i="5"/>
  <c r="AF58" i="5" s="1"/>
  <c r="L62" i="6" l="1"/>
  <c r="X59" i="5"/>
  <c r="K62" i="6" s="1"/>
  <c r="E66" i="2"/>
  <c r="D65" i="2"/>
  <c r="B62" i="5" s="1"/>
  <c r="H62" i="6"/>
  <c r="K59" i="5"/>
  <c r="I62" i="6" s="1"/>
  <c r="O63" i="2"/>
  <c r="J60" i="5" s="1"/>
  <c r="P64" i="2"/>
  <c r="O61" i="6"/>
  <c r="Q61" i="6" s="1"/>
  <c r="R61" i="6" s="1"/>
  <c r="T60" i="5"/>
  <c r="O60" i="5"/>
  <c r="Y60" i="5" s="1"/>
  <c r="Z64" i="2"/>
  <c r="AB64" i="2" s="1"/>
  <c r="B62" i="6"/>
  <c r="C62" i="6"/>
  <c r="N62" i="6"/>
  <c r="AD59" i="5"/>
  <c r="AF59" i="5" s="1"/>
  <c r="C60" i="5"/>
  <c r="AC60" i="5"/>
  <c r="AE60" i="5" s="1"/>
  <c r="X60" i="5" l="1"/>
  <c r="K63" i="6" s="1"/>
  <c r="L63" i="6"/>
  <c r="E67" i="2"/>
  <c r="D66" i="2"/>
  <c r="B63" i="5" s="1"/>
  <c r="P65" i="2"/>
  <c r="O64" i="2"/>
  <c r="J61" i="5" s="1"/>
  <c r="K60" i="5"/>
  <c r="I63" i="6" s="1"/>
  <c r="H63" i="6"/>
  <c r="O62" i="6"/>
  <c r="Q62" i="6" s="1"/>
  <c r="R62" i="6" s="1"/>
  <c r="T61" i="5"/>
  <c r="O61" i="5"/>
  <c r="Y61" i="5" s="1"/>
  <c r="Z65" i="2"/>
  <c r="AB65" i="2" s="1"/>
  <c r="AD60" i="5"/>
  <c r="AF60" i="5" s="1"/>
  <c r="N63" i="6"/>
  <c r="AC61" i="5"/>
  <c r="AE61" i="5" s="1"/>
  <c r="C61" i="5"/>
  <c r="C63" i="6"/>
  <c r="B63" i="6"/>
  <c r="X61" i="5" l="1"/>
  <c r="K64" i="6" s="1"/>
  <c r="L64" i="6"/>
  <c r="E68" i="2"/>
  <c r="D67" i="2"/>
  <c r="B64" i="5" s="1"/>
  <c r="H64" i="6"/>
  <c r="K61" i="5"/>
  <c r="I64" i="6" s="1"/>
  <c r="O65" i="2"/>
  <c r="J62" i="5" s="1"/>
  <c r="P66" i="2"/>
  <c r="O63" i="6"/>
  <c r="Q63" i="6" s="1"/>
  <c r="R63" i="6" s="1"/>
  <c r="O62" i="5"/>
  <c r="Y62" i="5" s="1"/>
  <c r="T62" i="5"/>
  <c r="Z66" i="2"/>
  <c r="AB66" i="2" s="1"/>
  <c r="AD61" i="5"/>
  <c r="AF61" i="5" s="1"/>
  <c r="N64" i="6"/>
  <c r="AC62" i="5"/>
  <c r="AE62" i="5" s="1"/>
  <c r="C62" i="5"/>
  <c r="B64" i="6"/>
  <c r="C64" i="6"/>
  <c r="X62" i="5" l="1"/>
  <c r="K65" i="6" s="1"/>
  <c r="L65" i="6"/>
  <c r="E69" i="2"/>
  <c r="D68" i="2"/>
  <c r="B65" i="5" s="1"/>
  <c r="O66" i="2"/>
  <c r="J63" i="5" s="1"/>
  <c r="P67" i="2"/>
  <c r="H65" i="6"/>
  <c r="K62" i="5"/>
  <c r="I65" i="6" s="1"/>
  <c r="O64" i="6"/>
  <c r="Q64" i="6" s="1"/>
  <c r="R64" i="6" s="1"/>
  <c r="T63" i="5"/>
  <c r="O63" i="5"/>
  <c r="Y63" i="5" s="1"/>
  <c r="Z67" i="2"/>
  <c r="AB67" i="2" s="1"/>
  <c r="B65" i="6"/>
  <c r="C65" i="6"/>
  <c r="AD62" i="5"/>
  <c r="AF62" i="5" s="1"/>
  <c r="N65" i="6"/>
  <c r="C63" i="5"/>
  <c r="AC63" i="5"/>
  <c r="AE63" i="5" s="1"/>
  <c r="X63" i="5" l="1"/>
  <c r="K66" i="6" s="1"/>
  <c r="L66" i="6"/>
  <c r="E70" i="2"/>
  <c r="D69" i="2"/>
  <c r="B66" i="5" s="1"/>
  <c r="P68" i="2"/>
  <c r="O67" i="2"/>
  <c r="J64" i="5" s="1"/>
  <c r="K63" i="5"/>
  <c r="I66" i="6" s="1"/>
  <c r="H66" i="6"/>
  <c r="O65" i="6"/>
  <c r="Q65" i="6" s="1"/>
  <c r="R65" i="6" s="1"/>
  <c r="O64" i="5"/>
  <c r="Y64" i="5" s="1"/>
  <c r="T64" i="5"/>
  <c r="Z68" i="2"/>
  <c r="AB68" i="2" s="1"/>
  <c r="AD63" i="5"/>
  <c r="AF63" i="5" s="1"/>
  <c r="N66" i="6"/>
  <c r="C64" i="5"/>
  <c r="AC64" i="5"/>
  <c r="AE64" i="5" s="1"/>
  <c r="B66" i="6"/>
  <c r="C66" i="6"/>
  <c r="L67" i="6" l="1"/>
  <c r="X64" i="5"/>
  <c r="K67" i="6" s="1"/>
  <c r="E71" i="2"/>
  <c r="D70" i="2"/>
  <c r="B67" i="5" s="1"/>
  <c r="H67" i="6"/>
  <c r="K64" i="5"/>
  <c r="I67" i="6" s="1"/>
  <c r="O68" i="2"/>
  <c r="J65" i="5" s="1"/>
  <c r="P69" i="2"/>
  <c r="O66" i="6"/>
  <c r="Q66" i="6" s="1"/>
  <c r="R66" i="6" s="1"/>
  <c r="O65" i="5"/>
  <c r="Y65" i="5" s="1"/>
  <c r="T65" i="5"/>
  <c r="Z69" i="2"/>
  <c r="AB69" i="2" s="1"/>
  <c r="AC65" i="5"/>
  <c r="AE65" i="5" s="1"/>
  <c r="C65" i="5"/>
  <c r="AD64" i="5"/>
  <c r="AF64" i="5" s="1"/>
  <c r="N67" i="6"/>
  <c r="B67" i="6"/>
  <c r="C67" i="6"/>
  <c r="L68" i="6" l="1"/>
  <c r="X65" i="5"/>
  <c r="K68" i="6" s="1"/>
  <c r="E72" i="2"/>
  <c r="D71" i="2"/>
  <c r="B68" i="5" s="1"/>
  <c r="O69" i="2"/>
  <c r="J66" i="5" s="1"/>
  <c r="P70" i="2"/>
  <c r="H68" i="6"/>
  <c r="K65" i="5"/>
  <c r="I68" i="6" s="1"/>
  <c r="O67" i="6"/>
  <c r="Q67" i="6" s="1"/>
  <c r="R67" i="6" s="1"/>
  <c r="O66" i="5"/>
  <c r="Y66" i="5" s="1"/>
  <c r="T66" i="5"/>
  <c r="Z70" i="2"/>
  <c r="AB70" i="2" s="1"/>
  <c r="C66" i="5"/>
  <c r="AC66" i="5"/>
  <c r="AE66" i="5" s="1"/>
  <c r="B68" i="6"/>
  <c r="C68" i="6"/>
  <c r="N68" i="6"/>
  <c r="AD65" i="5"/>
  <c r="AF65" i="5" s="1"/>
  <c r="L69" i="6" l="1"/>
  <c r="X66" i="5"/>
  <c r="K69" i="6" s="1"/>
  <c r="E73" i="2"/>
  <c r="D72" i="2"/>
  <c r="B69" i="5" s="1"/>
  <c r="O70" i="2"/>
  <c r="J67" i="5" s="1"/>
  <c r="P71" i="2"/>
  <c r="H69" i="6"/>
  <c r="K66" i="5"/>
  <c r="I69" i="6" s="1"/>
  <c r="O68" i="6"/>
  <c r="Q68" i="6" s="1"/>
  <c r="R68" i="6" s="1"/>
  <c r="T67" i="5"/>
  <c r="O67" i="5"/>
  <c r="Y67" i="5" s="1"/>
  <c r="Z71" i="2"/>
  <c r="AB71" i="2" s="1"/>
  <c r="AC67" i="5"/>
  <c r="AE67" i="5" s="1"/>
  <c r="C67" i="5"/>
  <c r="B69" i="6"/>
  <c r="C69" i="6"/>
  <c r="AD66" i="5"/>
  <c r="AF66" i="5" s="1"/>
  <c r="N69" i="6"/>
  <c r="X67" i="5" l="1"/>
  <c r="K70" i="6" s="1"/>
  <c r="L70" i="6"/>
  <c r="E74" i="2"/>
  <c r="D73" i="2"/>
  <c r="B70" i="5" s="1"/>
  <c r="O71" i="2"/>
  <c r="J68" i="5" s="1"/>
  <c r="P72" i="2"/>
  <c r="H70" i="6"/>
  <c r="K67" i="5"/>
  <c r="I70" i="6" s="1"/>
  <c r="O69" i="6"/>
  <c r="Q69" i="6" s="1"/>
  <c r="R69" i="6" s="1"/>
  <c r="O68" i="5"/>
  <c r="Y68" i="5" s="1"/>
  <c r="T68" i="5"/>
  <c r="Z72" i="2"/>
  <c r="AB72" i="2" s="1"/>
  <c r="C68" i="5"/>
  <c r="AC68" i="5"/>
  <c r="AE68" i="5" s="1"/>
  <c r="C70" i="6"/>
  <c r="B70" i="6"/>
  <c r="AD67" i="5"/>
  <c r="AF67" i="5" s="1"/>
  <c r="N70" i="6"/>
  <c r="L71" i="6" l="1"/>
  <c r="X68" i="5"/>
  <c r="K71" i="6" s="1"/>
  <c r="E75" i="2"/>
  <c r="D74" i="2"/>
  <c r="B71" i="5" s="1"/>
  <c r="O72" i="2"/>
  <c r="J69" i="5" s="1"/>
  <c r="P73" i="2"/>
  <c r="H71" i="6"/>
  <c r="K68" i="5"/>
  <c r="I71" i="6" s="1"/>
  <c r="O70" i="6"/>
  <c r="Q70" i="6" s="1"/>
  <c r="R70" i="6" s="1"/>
  <c r="O69" i="5"/>
  <c r="Y69" i="5" s="1"/>
  <c r="T69" i="5"/>
  <c r="Z73" i="2"/>
  <c r="AB73" i="2" s="1"/>
  <c r="AC69" i="5"/>
  <c r="AE69" i="5" s="1"/>
  <c r="C69" i="5"/>
  <c r="N71" i="6"/>
  <c r="AD68" i="5"/>
  <c r="AF68" i="5" s="1"/>
  <c r="B71" i="6"/>
  <c r="C71" i="6"/>
  <c r="L72" i="6" l="1"/>
  <c r="X69" i="5"/>
  <c r="K72" i="6" s="1"/>
  <c r="E76" i="2"/>
  <c r="D75" i="2"/>
  <c r="B72" i="5" s="1"/>
  <c r="P74" i="2"/>
  <c r="O73" i="2"/>
  <c r="J70" i="5" s="1"/>
  <c r="H72" i="6"/>
  <c r="K69" i="5"/>
  <c r="I72" i="6" s="1"/>
  <c r="O71" i="6"/>
  <c r="Q71" i="6" s="1"/>
  <c r="R71" i="6" s="1"/>
  <c r="T70" i="5"/>
  <c r="O70" i="5"/>
  <c r="Y70" i="5" s="1"/>
  <c r="Z74" i="2"/>
  <c r="AB74" i="2" s="1"/>
  <c r="B72" i="6"/>
  <c r="C72" i="6"/>
  <c r="C70" i="5"/>
  <c r="AC70" i="5"/>
  <c r="AE70" i="5" s="1"/>
  <c r="AD69" i="5"/>
  <c r="AF69" i="5" s="1"/>
  <c r="N72" i="6"/>
  <c r="X70" i="5" l="1"/>
  <c r="K73" i="6" s="1"/>
  <c r="L73" i="6"/>
  <c r="E77" i="2"/>
  <c r="D76" i="2"/>
  <c r="B73" i="5" s="1"/>
  <c r="H73" i="6"/>
  <c r="K70" i="5"/>
  <c r="I73" i="6" s="1"/>
  <c r="O74" i="2"/>
  <c r="J71" i="5" s="1"/>
  <c r="P75" i="2"/>
  <c r="O72" i="6"/>
  <c r="Q72" i="6" s="1"/>
  <c r="R72" i="6" s="1"/>
  <c r="T71" i="5"/>
  <c r="O71" i="5"/>
  <c r="Y71" i="5" s="1"/>
  <c r="Z75" i="2"/>
  <c r="AB75" i="2" s="1"/>
  <c r="AD70" i="5"/>
  <c r="AF70" i="5" s="1"/>
  <c r="N73" i="6"/>
  <c r="C71" i="5"/>
  <c r="AC71" i="5"/>
  <c r="AE71" i="5" s="1"/>
  <c r="B73" i="6"/>
  <c r="C73" i="6"/>
  <c r="L74" i="6" l="1"/>
  <c r="X71" i="5"/>
  <c r="K74" i="6" s="1"/>
  <c r="E78" i="2"/>
  <c r="D77" i="2"/>
  <c r="B74" i="5" s="1"/>
  <c r="O75" i="2"/>
  <c r="J72" i="5" s="1"/>
  <c r="P76" i="2"/>
  <c r="H74" i="6"/>
  <c r="K71" i="5"/>
  <c r="I74" i="6" s="1"/>
  <c r="O73" i="6"/>
  <c r="Q73" i="6" s="1"/>
  <c r="R73" i="6" s="1"/>
  <c r="O72" i="5"/>
  <c r="Y72" i="5" s="1"/>
  <c r="T72" i="5"/>
  <c r="Z76" i="2"/>
  <c r="AB76" i="2" s="1"/>
  <c r="N74" i="6"/>
  <c r="AD71" i="5"/>
  <c r="AF71" i="5" s="1"/>
  <c r="AC72" i="5"/>
  <c r="AE72" i="5" s="1"/>
  <c r="C72" i="5"/>
  <c r="B74" i="6"/>
  <c r="C74" i="6"/>
  <c r="L75" i="6" l="1"/>
  <c r="X72" i="5"/>
  <c r="K75" i="6" s="1"/>
  <c r="E79" i="2"/>
  <c r="D78" i="2"/>
  <c r="B75" i="5" s="1"/>
  <c r="O76" i="2"/>
  <c r="J73" i="5" s="1"/>
  <c r="P77" i="2"/>
  <c r="H75" i="6"/>
  <c r="K72" i="5"/>
  <c r="I75" i="6" s="1"/>
  <c r="O74" i="6"/>
  <c r="Q74" i="6" s="1"/>
  <c r="R74" i="6" s="1"/>
  <c r="T73" i="5"/>
  <c r="O73" i="5"/>
  <c r="Y73" i="5" s="1"/>
  <c r="Z77" i="2"/>
  <c r="AB77" i="2" s="1"/>
  <c r="B75" i="6"/>
  <c r="C75" i="6"/>
  <c r="AD72" i="5"/>
  <c r="AF72" i="5" s="1"/>
  <c r="N75" i="6"/>
  <c r="AC73" i="5"/>
  <c r="AE73" i="5" s="1"/>
  <c r="C73" i="5"/>
  <c r="X73" i="5" l="1"/>
  <c r="K76" i="6" s="1"/>
  <c r="L76" i="6"/>
  <c r="E80" i="2"/>
  <c r="D79" i="2"/>
  <c r="B76" i="5" s="1"/>
  <c r="P78" i="2"/>
  <c r="O77" i="2"/>
  <c r="J74" i="5" s="1"/>
  <c r="H76" i="6"/>
  <c r="K73" i="5"/>
  <c r="I76" i="6" s="1"/>
  <c r="O75" i="6"/>
  <c r="Q75" i="6" s="1"/>
  <c r="R75" i="6" s="1"/>
  <c r="O74" i="5"/>
  <c r="Y74" i="5" s="1"/>
  <c r="T74" i="5"/>
  <c r="Z78" i="2"/>
  <c r="AB78" i="2" s="1"/>
  <c r="B76" i="6"/>
  <c r="C76" i="6"/>
  <c r="AD73" i="5"/>
  <c r="AF73" i="5" s="1"/>
  <c r="N76" i="6"/>
  <c r="AC74" i="5"/>
  <c r="AE74" i="5" s="1"/>
  <c r="C74" i="5"/>
  <c r="L77" i="6" l="1"/>
  <c r="X74" i="5"/>
  <c r="K77" i="6" s="1"/>
  <c r="E81" i="2"/>
  <c r="D80" i="2"/>
  <c r="B77" i="5" s="1"/>
  <c r="K74" i="5"/>
  <c r="I77" i="6" s="1"/>
  <c r="H77" i="6"/>
  <c r="P79" i="2"/>
  <c r="O78" i="2"/>
  <c r="J75" i="5" s="1"/>
  <c r="O76" i="6"/>
  <c r="Q76" i="6" s="1"/>
  <c r="R76" i="6" s="1"/>
  <c r="O75" i="5"/>
  <c r="Y75" i="5" s="1"/>
  <c r="T75" i="5"/>
  <c r="Z79" i="2"/>
  <c r="AB79" i="2" s="1"/>
  <c r="AC75" i="5"/>
  <c r="AE75" i="5" s="1"/>
  <c r="C75" i="5"/>
  <c r="B77" i="6"/>
  <c r="C77" i="6"/>
  <c r="N77" i="6"/>
  <c r="AD74" i="5"/>
  <c r="AF74" i="5" s="1"/>
  <c r="L78" i="6" l="1"/>
  <c r="X75" i="5"/>
  <c r="K78" i="6" s="1"/>
  <c r="E82" i="2"/>
  <c r="D81" i="2"/>
  <c r="B78" i="5" s="1"/>
  <c r="H78" i="6"/>
  <c r="K75" i="5"/>
  <c r="I78" i="6" s="1"/>
  <c r="P80" i="2"/>
  <c r="O79" i="2"/>
  <c r="J76" i="5" s="1"/>
  <c r="O77" i="6"/>
  <c r="Q77" i="6" s="1"/>
  <c r="R77" i="6" s="1"/>
  <c r="T76" i="5"/>
  <c r="O76" i="5"/>
  <c r="Y76" i="5" s="1"/>
  <c r="Z80" i="2"/>
  <c r="AB80" i="2" s="1"/>
  <c r="C76" i="5"/>
  <c r="AC76" i="5"/>
  <c r="AE76" i="5" s="1"/>
  <c r="B78" i="6"/>
  <c r="C78" i="6"/>
  <c r="N78" i="6"/>
  <c r="AD75" i="5"/>
  <c r="AF75" i="5" s="1"/>
  <c r="X76" i="5" l="1"/>
  <c r="K79" i="6" s="1"/>
  <c r="L79" i="6"/>
  <c r="E83" i="2"/>
  <c r="D82" i="2"/>
  <c r="B79" i="5" s="1"/>
  <c r="H79" i="6"/>
  <c r="K76" i="5"/>
  <c r="I79" i="6" s="1"/>
  <c r="P81" i="2"/>
  <c r="O80" i="2"/>
  <c r="J77" i="5" s="1"/>
  <c r="O78" i="6"/>
  <c r="Q78" i="6" s="1"/>
  <c r="R78" i="6" s="1"/>
  <c r="O77" i="5"/>
  <c r="Y77" i="5" s="1"/>
  <c r="T77" i="5"/>
  <c r="Z81" i="2"/>
  <c r="AB81" i="2" s="1"/>
  <c r="AC77" i="5"/>
  <c r="AE77" i="5" s="1"/>
  <c r="C77" i="5"/>
  <c r="N79" i="6"/>
  <c r="AD76" i="5"/>
  <c r="AF76" i="5" s="1"/>
  <c r="B79" i="6"/>
  <c r="C79" i="6"/>
  <c r="X77" i="5" l="1"/>
  <c r="K80" i="6" s="1"/>
  <c r="L80" i="6"/>
  <c r="E84" i="2"/>
  <c r="D83" i="2"/>
  <c r="B80" i="5" s="1"/>
  <c r="K77" i="5"/>
  <c r="I80" i="6" s="1"/>
  <c r="H80" i="6"/>
  <c r="P82" i="2"/>
  <c r="O81" i="2"/>
  <c r="J78" i="5" s="1"/>
  <c r="O79" i="6"/>
  <c r="Q79" i="6" s="1"/>
  <c r="R79" i="6" s="1"/>
  <c r="O78" i="5"/>
  <c r="Y78" i="5" s="1"/>
  <c r="T78" i="5"/>
  <c r="Z82" i="2"/>
  <c r="AB82" i="2" s="1"/>
  <c r="C78" i="5"/>
  <c r="AC78" i="5"/>
  <c r="AE78" i="5" s="1"/>
  <c r="B80" i="6"/>
  <c r="C80" i="6"/>
  <c r="N80" i="6"/>
  <c r="AD77" i="5"/>
  <c r="AF77" i="5" s="1"/>
  <c r="L81" i="6" l="1"/>
  <c r="X78" i="5"/>
  <c r="K81" i="6" s="1"/>
  <c r="E85" i="2"/>
  <c r="D84" i="2"/>
  <c r="B81" i="5" s="1"/>
  <c r="H81" i="6"/>
  <c r="K78" i="5"/>
  <c r="I81" i="6" s="1"/>
  <c r="O82" i="2"/>
  <c r="J79" i="5" s="1"/>
  <c r="P83" i="2"/>
  <c r="O80" i="6"/>
  <c r="Q80" i="6" s="1"/>
  <c r="R80" i="6" s="1"/>
  <c r="O79" i="5"/>
  <c r="Y79" i="5" s="1"/>
  <c r="T79" i="5"/>
  <c r="Z83" i="2"/>
  <c r="AB83" i="2" s="1"/>
  <c r="AC79" i="5"/>
  <c r="AE79" i="5" s="1"/>
  <c r="C79" i="5"/>
  <c r="N81" i="6"/>
  <c r="AD78" i="5"/>
  <c r="AF78" i="5" s="1"/>
  <c r="B81" i="6"/>
  <c r="C81" i="6"/>
  <c r="L82" i="6" l="1"/>
  <c r="X79" i="5"/>
  <c r="K82" i="6" s="1"/>
  <c r="E86" i="2"/>
  <c r="D85" i="2"/>
  <c r="B82" i="5" s="1"/>
  <c r="P84" i="2"/>
  <c r="O83" i="2"/>
  <c r="J80" i="5" s="1"/>
  <c r="H82" i="6"/>
  <c r="K79" i="5"/>
  <c r="I82" i="6" s="1"/>
  <c r="O81" i="6"/>
  <c r="Q81" i="6" s="1"/>
  <c r="R81" i="6" s="1"/>
  <c r="T80" i="5"/>
  <c r="O80" i="5"/>
  <c r="Y80" i="5" s="1"/>
  <c r="Z84" i="2"/>
  <c r="AB84" i="2" s="1"/>
  <c r="C80" i="5"/>
  <c r="AC80" i="5"/>
  <c r="AE80" i="5" s="1"/>
  <c r="B82" i="6"/>
  <c r="C82" i="6"/>
  <c r="N82" i="6"/>
  <c r="AD79" i="5"/>
  <c r="AF79" i="5" s="1"/>
  <c r="X80" i="5" l="1"/>
  <c r="K83" i="6" s="1"/>
  <c r="L83" i="6"/>
  <c r="E87" i="2"/>
  <c r="D86" i="2"/>
  <c r="B83" i="5" s="1"/>
  <c r="H83" i="6"/>
  <c r="K80" i="5"/>
  <c r="I83" i="6" s="1"/>
  <c r="P85" i="2"/>
  <c r="O84" i="2"/>
  <c r="J81" i="5" s="1"/>
  <c r="O82" i="6"/>
  <c r="Q82" i="6" s="1"/>
  <c r="R82" i="6" s="1"/>
  <c r="T81" i="5"/>
  <c r="O81" i="5"/>
  <c r="Y81" i="5" s="1"/>
  <c r="Z85" i="2"/>
  <c r="AB85" i="2" s="1"/>
  <c r="AC81" i="5"/>
  <c r="AE81" i="5" s="1"/>
  <c r="C81" i="5"/>
  <c r="N83" i="6"/>
  <c r="AD80" i="5"/>
  <c r="AF80" i="5" s="1"/>
  <c r="B83" i="6"/>
  <c r="C83" i="6"/>
  <c r="L84" i="6" l="1"/>
  <c r="X81" i="5"/>
  <c r="K84" i="6" s="1"/>
  <c r="E88" i="2"/>
  <c r="D87" i="2"/>
  <c r="B84" i="5" s="1"/>
  <c r="H84" i="6"/>
  <c r="K81" i="5"/>
  <c r="I84" i="6" s="1"/>
  <c r="P86" i="2"/>
  <c r="O85" i="2"/>
  <c r="J82" i="5" s="1"/>
  <c r="O83" i="6"/>
  <c r="Q83" i="6" s="1"/>
  <c r="R83" i="6" s="1"/>
  <c r="O82" i="5"/>
  <c r="Y82" i="5" s="1"/>
  <c r="T82" i="5"/>
  <c r="Z86" i="2"/>
  <c r="AB86" i="2" s="1"/>
  <c r="C82" i="5"/>
  <c r="AC82" i="5"/>
  <c r="AE82" i="5" s="1"/>
  <c r="B84" i="6"/>
  <c r="C84" i="6"/>
  <c r="AD81" i="5"/>
  <c r="AF81" i="5" s="1"/>
  <c r="N84" i="6"/>
  <c r="L85" i="6" l="1"/>
  <c r="X82" i="5"/>
  <c r="K85" i="6" s="1"/>
  <c r="E89" i="2"/>
  <c r="D88" i="2"/>
  <c r="B85" i="5" s="1"/>
  <c r="H85" i="6"/>
  <c r="K82" i="5"/>
  <c r="I85" i="6" s="1"/>
  <c r="O86" i="2"/>
  <c r="J83" i="5" s="1"/>
  <c r="P87" i="2"/>
  <c r="O84" i="6"/>
  <c r="Q84" i="6" s="1"/>
  <c r="R84" i="6" s="1"/>
  <c r="O83" i="5"/>
  <c r="Y83" i="5" s="1"/>
  <c r="T83" i="5"/>
  <c r="Z87" i="2"/>
  <c r="AB87" i="2" s="1"/>
  <c r="C83" i="5"/>
  <c r="AC83" i="5"/>
  <c r="AE83" i="5" s="1"/>
  <c r="N85" i="6"/>
  <c r="AD82" i="5"/>
  <c r="AF82" i="5" s="1"/>
  <c r="B85" i="6"/>
  <c r="C85" i="6"/>
  <c r="X83" i="5" l="1"/>
  <c r="K86" i="6" s="1"/>
  <c r="L86" i="6"/>
  <c r="E90" i="2"/>
  <c r="D89" i="2"/>
  <c r="B86" i="5" s="1"/>
  <c r="O87" i="2"/>
  <c r="J84" i="5" s="1"/>
  <c r="P88" i="2"/>
  <c r="H86" i="6"/>
  <c r="K83" i="5"/>
  <c r="I86" i="6" s="1"/>
  <c r="O85" i="6"/>
  <c r="Q85" i="6" s="1"/>
  <c r="R85" i="6" s="1"/>
  <c r="O84" i="5"/>
  <c r="Y84" i="5" s="1"/>
  <c r="T84" i="5"/>
  <c r="Z88" i="2"/>
  <c r="AB88" i="2" s="1"/>
  <c r="AD83" i="5"/>
  <c r="AF83" i="5" s="1"/>
  <c r="N86" i="6"/>
  <c r="B86" i="6"/>
  <c r="C86" i="6"/>
  <c r="AC84" i="5"/>
  <c r="AE84" i="5" s="1"/>
  <c r="C84" i="5"/>
  <c r="L87" i="6" l="1"/>
  <c r="X84" i="5"/>
  <c r="K87" i="6" s="1"/>
  <c r="E91" i="2"/>
  <c r="D90" i="2"/>
  <c r="B87" i="5" s="1"/>
  <c r="P89" i="2"/>
  <c r="O88" i="2"/>
  <c r="J85" i="5" s="1"/>
  <c r="H87" i="6"/>
  <c r="K84" i="5"/>
  <c r="I87" i="6" s="1"/>
  <c r="O86" i="6"/>
  <c r="Q86" i="6" s="1"/>
  <c r="R86" i="6" s="1"/>
  <c r="O85" i="5"/>
  <c r="Y85" i="5" s="1"/>
  <c r="T85" i="5"/>
  <c r="Z89" i="2"/>
  <c r="AB89" i="2" s="1"/>
  <c r="AC85" i="5"/>
  <c r="AE85" i="5" s="1"/>
  <c r="C85" i="5"/>
  <c r="B87" i="6"/>
  <c r="C87" i="6"/>
  <c r="AD84" i="5"/>
  <c r="AF84" i="5" s="1"/>
  <c r="N87" i="6"/>
  <c r="L88" i="6" l="1"/>
  <c r="X85" i="5"/>
  <c r="K88" i="6" s="1"/>
  <c r="E92" i="2"/>
  <c r="D91" i="2"/>
  <c r="B88" i="5" s="1"/>
  <c r="H88" i="6"/>
  <c r="K85" i="5"/>
  <c r="I88" i="6" s="1"/>
  <c r="O89" i="2"/>
  <c r="J86" i="5" s="1"/>
  <c r="P90" i="2"/>
  <c r="O87" i="6"/>
  <c r="Q87" i="6" s="1"/>
  <c r="R87" i="6" s="1"/>
  <c r="O86" i="5"/>
  <c r="Y86" i="5" s="1"/>
  <c r="T86" i="5"/>
  <c r="Z90" i="2"/>
  <c r="AB90" i="2" s="1"/>
  <c r="C86" i="5"/>
  <c r="AC86" i="5"/>
  <c r="AE86" i="5" s="1"/>
  <c r="C88" i="6"/>
  <c r="B88" i="6"/>
  <c r="AD85" i="5"/>
  <c r="AF85" i="5" s="1"/>
  <c r="N88" i="6"/>
  <c r="L89" i="6" l="1"/>
  <c r="X86" i="5"/>
  <c r="K89" i="6" s="1"/>
  <c r="E93" i="2"/>
  <c r="D92" i="2"/>
  <c r="B89" i="5" s="1"/>
  <c r="P91" i="2"/>
  <c r="O90" i="2"/>
  <c r="J87" i="5" s="1"/>
  <c r="H89" i="6"/>
  <c r="K86" i="5"/>
  <c r="I89" i="6" s="1"/>
  <c r="O88" i="6"/>
  <c r="Q88" i="6" s="1"/>
  <c r="R88" i="6" s="1"/>
  <c r="O87" i="5"/>
  <c r="Y87" i="5" s="1"/>
  <c r="T87" i="5"/>
  <c r="Z91" i="2"/>
  <c r="AB91" i="2" s="1"/>
  <c r="N89" i="6"/>
  <c r="AD86" i="5"/>
  <c r="AF86" i="5" s="1"/>
  <c r="C89" i="6"/>
  <c r="B89" i="6"/>
  <c r="AC87" i="5"/>
  <c r="AE87" i="5" s="1"/>
  <c r="C87" i="5"/>
  <c r="L90" i="6" l="1"/>
  <c r="X87" i="5"/>
  <c r="K90" i="6" s="1"/>
  <c r="E94" i="2"/>
  <c r="D93" i="2"/>
  <c r="B90" i="5" s="1"/>
  <c r="K87" i="5"/>
  <c r="I90" i="6" s="1"/>
  <c r="H90" i="6"/>
  <c r="P92" i="2"/>
  <c r="O91" i="2"/>
  <c r="J88" i="5" s="1"/>
  <c r="O89" i="6"/>
  <c r="Q89" i="6" s="1"/>
  <c r="R89" i="6" s="1"/>
  <c r="T88" i="5"/>
  <c r="O88" i="5"/>
  <c r="Y88" i="5" s="1"/>
  <c r="Z92" i="2"/>
  <c r="AB92" i="2" s="1"/>
  <c r="C88" i="5"/>
  <c r="AC88" i="5"/>
  <c r="AE88" i="5" s="1"/>
  <c r="C90" i="6"/>
  <c r="B90" i="6"/>
  <c r="AD87" i="5"/>
  <c r="AF87" i="5" s="1"/>
  <c r="N90" i="6"/>
  <c r="X88" i="5" l="1"/>
  <c r="K91" i="6" s="1"/>
  <c r="L91" i="6"/>
  <c r="E95" i="2"/>
  <c r="D94" i="2"/>
  <c r="B91" i="5" s="1"/>
  <c r="H91" i="6"/>
  <c r="K88" i="5"/>
  <c r="I91" i="6" s="1"/>
  <c r="O92" i="2"/>
  <c r="J89" i="5" s="1"/>
  <c r="P93" i="2"/>
  <c r="O90" i="6"/>
  <c r="Q90" i="6" s="1"/>
  <c r="R90" i="6" s="1"/>
  <c r="O89" i="5"/>
  <c r="Y89" i="5" s="1"/>
  <c r="T89" i="5"/>
  <c r="Z93" i="2"/>
  <c r="AB93" i="2" s="1"/>
  <c r="C89" i="5"/>
  <c r="AC89" i="5"/>
  <c r="AE89" i="5" s="1"/>
  <c r="AD88" i="5"/>
  <c r="AF88" i="5" s="1"/>
  <c r="N91" i="6"/>
  <c r="B91" i="6"/>
  <c r="C91" i="6"/>
  <c r="X89" i="5" l="1"/>
  <c r="K92" i="6" s="1"/>
  <c r="L92" i="6"/>
  <c r="E96" i="2"/>
  <c r="D95" i="2"/>
  <c r="B92" i="5" s="1"/>
  <c r="P94" i="2"/>
  <c r="O93" i="2"/>
  <c r="J90" i="5" s="1"/>
  <c r="K89" i="5"/>
  <c r="I92" i="6" s="1"/>
  <c r="H92" i="6"/>
  <c r="O91" i="6"/>
  <c r="Q91" i="6" s="1"/>
  <c r="R91" i="6" s="1"/>
  <c r="O90" i="5"/>
  <c r="Y90" i="5" s="1"/>
  <c r="T90" i="5"/>
  <c r="Z94" i="2"/>
  <c r="AB94" i="2" s="1"/>
  <c r="AC90" i="5"/>
  <c r="AE90" i="5" s="1"/>
  <c r="C90" i="5"/>
  <c r="AD89" i="5"/>
  <c r="AF89" i="5" s="1"/>
  <c r="N92" i="6"/>
  <c r="B92" i="6"/>
  <c r="C92" i="6"/>
  <c r="L93" i="6" l="1"/>
  <c r="X90" i="5"/>
  <c r="K93" i="6" s="1"/>
  <c r="E97" i="2"/>
  <c r="D96" i="2"/>
  <c r="B93" i="5" s="1"/>
  <c r="H93" i="6"/>
  <c r="K90" i="5"/>
  <c r="I93" i="6" s="1"/>
  <c r="P95" i="2"/>
  <c r="O94" i="2"/>
  <c r="J91" i="5" s="1"/>
  <c r="O92" i="6"/>
  <c r="Q92" i="6" s="1"/>
  <c r="R92" i="6" s="1"/>
  <c r="O91" i="5"/>
  <c r="Y91" i="5" s="1"/>
  <c r="T91" i="5"/>
  <c r="Z95" i="2"/>
  <c r="AB95" i="2" s="1"/>
  <c r="C91" i="5"/>
  <c r="AC91" i="5"/>
  <c r="AE91" i="5" s="1"/>
  <c r="B93" i="6"/>
  <c r="C93" i="6"/>
  <c r="N93" i="6"/>
  <c r="AD90" i="5"/>
  <c r="AF90" i="5" s="1"/>
  <c r="X91" i="5" l="1"/>
  <c r="K94" i="6" s="1"/>
  <c r="L94" i="6"/>
  <c r="E98" i="2"/>
  <c r="D97" i="2"/>
  <c r="B94" i="5" s="1"/>
  <c r="H94" i="6"/>
  <c r="K91" i="5"/>
  <c r="I94" i="6" s="1"/>
  <c r="P96" i="2"/>
  <c r="O95" i="2"/>
  <c r="J92" i="5" s="1"/>
  <c r="O93" i="6"/>
  <c r="Q93" i="6" s="1"/>
  <c r="R93" i="6" s="1"/>
  <c r="O92" i="5"/>
  <c r="Y92" i="5" s="1"/>
  <c r="T92" i="5"/>
  <c r="Z96" i="2"/>
  <c r="AB96" i="2" s="1"/>
  <c r="C92" i="5"/>
  <c r="AC92" i="5"/>
  <c r="AE92" i="5" s="1"/>
  <c r="N94" i="6"/>
  <c r="AD91" i="5"/>
  <c r="AF91" i="5" s="1"/>
  <c r="B94" i="6"/>
  <c r="C94" i="6"/>
  <c r="X92" i="5" l="1"/>
  <c r="K95" i="6" s="1"/>
  <c r="L95" i="6"/>
  <c r="E99" i="2"/>
  <c r="D98" i="2"/>
  <c r="B95" i="5" s="1"/>
  <c r="H95" i="6"/>
  <c r="K92" i="5"/>
  <c r="I95" i="6" s="1"/>
  <c r="O96" i="2"/>
  <c r="J93" i="5" s="1"/>
  <c r="P97" i="2"/>
  <c r="O94" i="6"/>
  <c r="Q94" i="6" s="1"/>
  <c r="R94" i="6" s="1"/>
  <c r="O93" i="5"/>
  <c r="Y93" i="5" s="1"/>
  <c r="T93" i="5"/>
  <c r="Z97" i="2"/>
  <c r="AB97" i="2" s="1"/>
  <c r="C93" i="5"/>
  <c r="AC93" i="5"/>
  <c r="AE93" i="5" s="1"/>
  <c r="AD92" i="5"/>
  <c r="AF92" i="5" s="1"/>
  <c r="N95" i="6"/>
  <c r="B95" i="6"/>
  <c r="C95" i="6"/>
  <c r="L96" i="6" l="1"/>
  <c r="X93" i="5"/>
  <c r="K96" i="6" s="1"/>
  <c r="E100" i="2"/>
  <c r="D99" i="2"/>
  <c r="B96" i="5" s="1"/>
  <c r="P98" i="2"/>
  <c r="O97" i="2"/>
  <c r="J94" i="5" s="1"/>
  <c r="H96" i="6"/>
  <c r="K93" i="5"/>
  <c r="I96" i="6" s="1"/>
  <c r="O95" i="6"/>
  <c r="Q95" i="6" s="1"/>
  <c r="R95" i="6" s="1"/>
  <c r="T94" i="5"/>
  <c r="O94" i="5"/>
  <c r="Y94" i="5" s="1"/>
  <c r="Z98" i="2"/>
  <c r="AB98" i="2" s="1"/>
  <c r="C94" i="5"/>
  <c r="AC94" i="5"/>
  <c r="AE94" i="5" s="1"/>
  <c r="AD93" i="5"/>
  <c r="AF93" i="5" s="1"/>
  <c r="N96" i="6"/>
  <c r="B96" i="6"/>
  <c r="C96" i="6"/>
  <c r="X94" i="5" l="1"/>
  <c r="K97" i="6" s="1"/>
  <c r="L97" i="6"/>
  <c r="E101" i="2"/>
  <c r="D100" i="2"/>
  <c r="B97" i="5" s="1"/>
  <c r="H97" i="6"/>
  <c r="K94" i="5"/>
  <c r="I97" i="6" s="1"/>
  <c r="P99" i="2"/>
  <c r="O98" i="2"/>
  <c r="J95" i="5" s="1"/>
  <c r="O96" i="6"/>
  <c r="Q96" i="6" s="1"/>
  <c r="R96" i="6" s="1"/>
  <c r="T95" i="5"/>
  <c r="O95" i="5"/>
  <c r="Y95" i="5" s="1"/>
  <c r="Z99" i="2"/>
  <c r="AB99" i="2" s="1"/>
  <c r="AD94" i="5"/>
  <c r="AF94" i="5" s="1"/>
  <c r="N97" i="6"/>
  <c r="AC95" i="5"/>
  <c r="AE95" i="5" s="1"/>
  <c r="C95" i="5"/>
  <c r="C97" i="6"/>
  <c r="B97" i="6"/>
  <c r="L98" i="6" l="1"/>
  <c r="X95" i="5"/>
  <c r="K98" i="6" s="1"/>
  <c r="E102" i="2"/>
  <c r="D101" i="2"/>
  <c r="B98" i="5" s="1"/>
  <c r="H98" i="6"/>
  <c r="K95" i="5"/>
  <c r="I98" i="6" s="1"/>
  <c r="O99" i="2"/>
  <c r="J96" i="5" s="1"/>
  <c r="P100" i="2"/>
  <c r="O97" i="6"/>
  <c r="Q97" i="6" s="1"/>
  <c r="R97" i="6" s="1"/>
  <c r="T96" i="5"/>
  <c r="O96" i="5"/>
  <c r="Y96" i="5" s="1"/>
  <c r="Z100" i="2"/>
  <c r="AB100" i="2" s="1"/>
  <c r="B98" i="6"/>
  <c r="C98" i="6"/>
  <c r="C96" i="5"/>
  <c r="AC96" i="5"/>
  <c r="AE96" i="5" s="1"/>
  <c r="AD95" i="5"/>
  <c r="AF95" i="5" s="1"/>
  <c r="N98" i="6"/>
  <c r="X96" i="5" l="1"/>
  <c r="K99" i="6" s="1"/>
  <c r="L99" i="6"/>
  <c r="E103" i="2"/>
  <c r="D102" i="2"/>
  <c r="B99" i="5" s="1"/>
  <c r="P101" i="2"/>
  <c r="O100" i="2"/>
  <c r="J97" i="5" s="1"/>
  <c r="H99" i="6"/>
  <c r="K96" i="5"/>
  <c r="I99" i="6" s="1"/>
  <c r="O98" i="6"/>
  <c r="Q98" i="6" s="1"/>
  <c r="R98" i="6" s="1"/>
  <c r="O97" i="5"/>
  <c r="Y97" i="5" s="1"/>
  <c r="T97" i="5"/>
  <c r="Z101" i="2"/>
  <c r="AB101" i="2" s="1"/>
  <c r="AC97" i="5"/>
  <c r="AE97" i="5" s="1"/>
  <c r="C97" i="5"/>
  <c r="N99" i="6"/>
  <c r="AD96" i="5"/>
  <c r="AF96" i="5" s="1"/>
  <c r="C99" i="6"/>
  <c r="B99" i="6"/>
  <c r="X97" i="5" l="1"/>
  <c r="K100" i="6" s="1"/>
  <c r="L100" i="6"/>
  <c r="E104" i="2"/>
  <c r="D103" i="2"/>
  <c r="B100" i="5" s="1"/>
  <c r="H100" i="6"/>
  <c r="K97" i="5"/>
  <c r="I100" i="6" s="1"/>
  <c r="O101" i="2"/>
  <c r="J98" i="5" s="1"/>
  <c r="P102" i="2"/>
  <c r="O99" i="6"/>
  <c r="Q99" i="6" s="1"/>
  <c r="R99" i="6" s="1"/>
  <c r="Z102" i="2"/>
  <c r="AB102" i="2" s="1"/>
  <c r="O98" i="5"/>
  <c r="Y98" i="5" s="1"/>
  <c r="T98" i="5"/>
  <c r="C98" i="5"/>
  <c r="AC98" i="5"/>
  <c r="AE98" i="5" s="1"/>
  <c r="B100" i="6"/>
  <c r="C100" i="6"/>
  <c r="AD97" i="5"/>
  <c r="AF97" i="5" s="1"/>
  <c r="N100" i="6"/>
  <c r="L101" i="6" l="1"/>
  <c r="X98" i="5"/>
  <c r="K101" i="6" s="1"/>
  <c r="E105" i="2"/>
  <c r="D104" i="2"/>
  <c r="B101" i="5" s="1"/>
  <c r="O102" i="2"/>
  <c r="J99" i="5" s="1"/>
  <c r="P103" i="2"/>
  <c r="H101" i="6"/>
  <c r="K98" i="5"/>
  <c r="I101" i="6" s="1"/>
  <c r="O100" i="6"/>
  <c r="Q100" i="6" s="1"/>
  <c r="R100" i="6" s="1"/>
  <c r="Z103" i="2"/>
  <c r="AB103" i="2" s="1"/>
  <c r="T99" i="5"/>
  <c r="O99" i="5"/>
  <c r="Y99" i="5" s="1"/>
  <c r="AD98" i="5"/>
  <c r="AF98" i="5" s="1"/>
  <c r="N101" i="6"/>
  <c r="C99" i="5"/>
  <c r="AC99" i="5"/>
  <c r="AE99" i="5" s="1"/>
  <c r="B101" i="6"/>
  <c r="C101" i="6"/>
  <c r="L102" i="6" l="1"/>
  <c r="X99" i="5"/>
  <c r="K102" i="6" s="1"/>
  <c r="E106" i="2"/>
  <c r="D105" i="2"/>
  <c r="B102" i="5" s="1"/>
  <c r="O103" i="2"/>
  <c r="J100" i="5" s="1"/>
  <c r="P104" i="2"/>
  <c r="H102" i="6"/>
  <c r="K99" i="5"/>
  <c r="I102" i="6" s="1"/>
  <c r="O101" i="6"/>
  <c r="Q101" i="6" s="1"/>
  <c r="R101" i="6" s="1"/>
  <c r="Z104" i="2"/>
  <c r="AB104" i="2" s="1"/>
  <c r="O100" i="5"/>
  <c r="Y100" i="5" s="1"/>
  <c r="T100" i="5"/>
  <c r="AD99" i="5"/>
  <c r="AF99" i="5" s="1"/>
  <c r="N102" i="6"/>
  <c r="C100" i="5"/>
  <c r="AC100" i="5"/>
  <c r="AE100" i="5" s="1"/>
  <c r="B102" i="6"/>
  <c r="C102" i="6"/>
  <c r="X100" i="5" l="1"/>
  <c r="K103" i="6" s="1"/>
  <c r="L103" i="6"/>
  <c r="E107" i="2"/>
  <c r="D106" i="2"/>
  <c r="B103" i="5" s="1"/>
  <c r="P105" i="2"/>
  <c r="O104" i="2"/>
  <c r="J101" i="5" s="1"/>
  <c r="H103" i="6"/>
  <c r="K100" i="5"/>
  <c r="I103" i="6" s="1"/>
  <c r="O102" i="6"/>
  <c r="Q102" i="6" s="1"/>
  <c r="R102" i="6" s="1"/>
  <c r="Z105" i="2"/>
  <c r="AB105" i="2" s="1"/>
  <c r="O101" i="5"/>
  <c r="Y101" i="5" s="1"/>
  <c r="T101" i="5"/>
  <c r="C101" i="5"/>
  <c r="AC101" i="5"/>
  <c r="AE101" i="5" s="1"/>
  <c r="AD100" i="5"/>
  <c r="AF100" i="5" s="1"/>
  <c r="N103" i="6"/>
  <c r="B103" i="6"/>
  <c r="C103" i="6"/>
  <c r="L104" i="6" l="1"/>
  <c r="X101" i="5"/>
  <c r="K104" i="6" s="1"/>
  <c r="E108" i="2"/>
  <c r="D107" i="2"/>
  <c r="B104" i="5" s="1"/>
  <c r="K101" i="5"/>
  <c r="I104" i="6" s="1"/>
  <c r="H104" i="6"/>
  <c r="P106" i="2"/>
  <c r="O105" i="2"/>
  <c r="J102" i="5" s="1"/>
  <c r="O103" i="6"/>
  <c r="Q103" i="6" s="1"/>
  <c r="R103" i="6" s="1"/>
  <c r="Z106" i="2"/>
  <c r="AB106" i="2" s="1"/>
  <c r="O102" i="5"/>
  <c r="Y102" i="5" s="1"/>
  <c r="T102" i="5"/>
  <c r="AD101" i="5"/>
  <c r="AF101" i="5" s="1"/>
  <c r="N104" i="6"/>
  <c r="AC102" i="5"/>
  <c r="AE102" i="5" s="1"/>
  <c r="C102" i="5"/>
  <c r="B104" i="6"/>
  <c r="C104" i="6"/>
  <c r="L105" i="6" l="1"/>
  <c r="X102" i="5"/>
  <c r="K105" i="6" s="1"/>
  <c r="E109" i="2"/>
  <c r="D108" i="2"/>
  <c r="B105" i="5" s="1"/>
  <c r="H105" i="6"/>
  <c r="K102" i="5"/>
  <c r="I105" i="6" s="1"/>
  <c r="O106" i="2"/>
  <c r="J103" i="5" s="1"/>
  <c r="K103" i="5" s="1"/>
  <c r="P107" i="2"/>
  <c r="O104" i="6"/>
  <c r="Q104" i="6" s="1"/>
  <c r="R104" i="6" s="1"/>
  <c r="Z107" i="2"/>
  <c r="AB107" i="2" s="1"/>
  <c r="O103" i="5"/>
  <c r="Y103" i="5" s="1"/>
  <c r="T103" i="5"/>
  <c r="B105" i="6"/>
  <c r="C105" i="6"/>
  <c r="AD102" i="5"/>
  <c r="AF102" i="5" s="1"/>
  <c r="N105" i="6"/>
  <c r="AC103" i="5"/>
  <c r="AE103" i="5" s="1"/>
  <c r="C103" i="5"/>
  <c r="X103" i="5" l="1"/>
  <c r="E110" i="2"/>
  <c r="D109" i="2"/>
  <c r="B106" i="5" s="1"/>
  <c r="P108" i="2"/>
  <c r="O107" i="2"/>
  <c r="J104" i="5" s="1"/>
  <c r="K104" i="5" s="1"/>
  <c r="O105" i="6"/>
  <c r="Q105" i="6" s="1"/>
  <c r="R105" i="6" s="1"/>
  <c r="R4" i="6" s="1"/>
  <c r="Z108" i="2"/>
  <c r="AB108" i="2" s="1"/>
  <c r="O104" i="5"/>
  <c r="Y104" i="5" s="1"/>
  <c r="T104" i="5"/>
  <c r="C104" i="5"/>
  <c r="AC104" i="5"/>
  <c r="AE104" i="5" s="1"/>
  <c r="AD103" i="5"/>
  <c r="AF103" i="5" s="1"/>
  <c r="X104" i="5" l="1"/>
  <c r="E111" i="2"/>
  <c r="D110" i="2"/>
  <c r="B107" i="5" s="1"/>
  <c r="O108" i="2"/>
  <c r="J105" i="5" s="1"/>
  <c r="K105" i="5" s="1"/>
  <c r="P109" i="2"/>
  <c r="Z109" i="2"/>
  <c r="AB109" i="2" s="1"/>
  <c r="O105" i="5"/>
  <c r="Y105" i="5" s="1"/>
  <c r="T105" i="5"/>
  <c r="C105" i="5"/>
  <c r="AC105" i="5"/>
  <c r="AE105" i="5" s="1"/>
  <c r="AD104" i="5"/>
  <c r="AF104" i="5" s="1"/>
  <c r="X105" i="5" l="1"/>
  <c r="E112" i="2"/>
  <c r="D111" i="2"/>
  <c r="B108" i="5" s="1"/>
  <c r="P110" i="2"/>
  <c r="O109" i="2"/>
  <c r="J106" i="5" s="1"/>
  <c r="K106" i="5" s="1"/>
  <c r="Z110" i="2"/>
  <c r="AB110" i="2" s="1"/>
  <c r="T106" i="5"/>
  <c r="O106" i="5"/>
  <c r="Y106" i="5" s="1"/>
  <c r="C106" i="5"/>
  <c r="AC106" i="5"/>
  <c r="AE106" i="5" s="1"/>
  <c r="AD105" i="5"/>
  <c r="AF105" i="5" s="1"/>
  <c r="X106" i="5" l="1"/>
  <c r="E113" i="2"/>
  <c r="D112" i="2"/>
  <c r="B109" i="5" s="1"/>
  <c r="P111" i="2"/>
  <c r="O110" i="2"/>
  <c r="J107" i="5" s="1"/>
  <c r="K107" i="5" s="1"/>
  <c r="Z111" i="2"/>
  <c r="AB111" i="2" s="1"/>
  <c r="O107" i="5"/>
  <c r="Y107" i="5" s="1"/>
  <c r="T107" i="5"/>
  <c r="AC107" i="5"/>
  <c r="AE107" i="5" s="1"/>
  <c r="C107" i="5"/>
  <c r="AD106" i="5"/>
  <c r="AF106" i="5" s="1"/>
  <c r="X107" i="5" l="1"/>
  <c r="E114" i="2"/>
  <c r="D113" i="2"/>
  <c r="P112" i="2"/>
  <c r="O111" i="2"/>
  <c r="J108" i="5" s="1"/>
  <c r="K108" i="5" s="1"/>
  <c r="Z112" i="2"/>
  <c r="AB112" i="2" s="1"/>
  <c r="T108" i="5"/>
  <c r="O108" i="5"/>
  <c r="Y108" i="5" s="1"/>
  <c r="C108" i="5"/>
  <c r="AC108" i="5"/>
  <c r="AE108" i="5" s="1"/>
  <c r="AD107" i="5"/>
  <c r="AF107" i="5" s="1"/>
  <c r="Z113" i="2" l="1"/>
  <c r="AB113" i="2" s="1"/>
  <c r="T110" i="5" s="1"/>
  <c r="B110" i="5"/>
  <c r="X108" i="5"/>
  <c r="E115" i="2"/>
  <c r="D114" i="2"/>
  <c r="B111" i="5" s="1"/>
  <c r="P113" i="2"/>
  <c r="O112" i="2"/>
  <c r="J109" i="5" s="1"/>
  <c r="K109" i="5" s="1"/>
  <c r="O109" i="5"/>
  <c r="Y109" i="5" s="1"/>
  <c r="T109" i="5"/>
  <c r="Z114" i="2"/>
  <c r="AB114" i="2" s="1"/>
  <c r="AC109" i="5"/>
  <c r="AE109" i="5" s="1"/>
  <c r="C109" i="5"/>
  <c r="AD108" i="5"/>
  <c r="AF108" i="5" s="1"/>
  <c r="O110" i="5" l="1"/>
  <c r="Y110" i="5" s="1"/>
  <c r="X109" i="5"/>
  <c r="E116" i="2"/>
  <c r="D115" i="2"/>
  <c r="B112" i="5" s="1"/>
  <c r="P114" i="2"/>
  <c r="O113" i="2"/>
  <c r="J110" i="5" s="1"/>
  <c r="K110" i="5" s="1"/>
  <c r="O111" i="5"/>
  <c r="Y111" i="5" s="1"/>
  <c r="T111" i="5"/>
  <c r="Z115" i="2"/>
  <c r="AB115" i="2" s="1"/>
  <c r="C110" i="5"/>
  <c r="AC110" i="5"/>
  <c r="AE110" i="5" s="1"/>
  <c r="AD109" i="5"/>
  <c r="AF109" i="5" s="1"/>
  <c r="X110" i="5" l="1"/>
  <c r="X111" i="5"/>
  <c r="E117" i="2"/>
  <c r="D116" i="2"/>
  <c r="B113" i="5" s="1"/>
  <c r="O114" i="2"/>
  <c r="J111" i="5" s="1"/>
  <c r="K111" i="5" s="1"/>
  <c r="P115" i="2"/>
  <c r="O112" i="5"/>
  <c r="Y112" i="5" s="1"/>
  <c r="T112" i="5"/>
  <c r="Z116" i="2"/>
  <c r="AB116" i="2" s="1"/>
  <c r="AD110" i="5"/>
  <c r="AF110" i="5" s="1"/>
  <c r="C111" i="5"/>
  <c r="AC111" i="5"/>
  <c r="AE111" i="5" s="1"/>
  <c r="X112" i="5" l="1"/>
  <c r="E118" i="2"/>
  <c r="D117" i="2"/>
  <c r="B114" i="5" s="1"/>
  <c r="P116" i="2"/>
  <c r="O115" i="2"/>
  <c r="J112" i="5" s="1"/>
  <c r="K112" i="5" s="1"/>
  <c r="O113" i="5"/>
  <c r="Y113" i="5" s="1"/>
  <c r="T113" i="5"/>
  <c r="Z117" i="2"/>
  <c r="AB117" i="2" s="1"/>
  <c r="C112" i="5"/>
  <c r="AC112" i="5"/>
  <c r="AE112" i="5" s="1"/>
  <c r="AD111" i="5"/>
  <c r="AF111" i="5" s="1"/>
  <c r="X113" i="5" l="1"/>
  <c r="E119" i="2"/>
  <c r="D118" i="2"/>
  <c r="P117" i="2"/>
  <c r="O116" i="2"/>
  <c r="J113" i="5" s="1"/>
  <c r="K113" i="5" s="1"/>
  <c r="O114" i="5"/>
  <c r="Y114" i="5" s="1"/>
  <c r="T114" i="5"/>
  <c r="AC113" i="5"/>
  <c r="AE113" i="5" s="1"/>
  <c r="C113" i="5"/>
  <c r="AD112" i="5"/>
  <c r="AF112" i="5" s="1"/>
  <c r="Z118" i="2" l="1"/>
  <c r="AB118" i="2" s="1"/>
  <c r="T115" i="5" s="1"/>
  <c r="B115" i="5"/>
  <c r="X114" i="5"/>
  <c r="E120" i="2"/>
  <c r="D119" i="2"/>
  <c r="P118" i="2"/>
  <c r="O117" i="2"/>
  <c r="J114" i="5" s="1"/>
  <c r="K114" i="5" s="1"/>
  <c r="AC114" i="5"/>
  <c r="AE114" i="5" s="1"/>
  <c r="C114" i="5"/>
  <c r="AD113" i="5"/>
  <c r="AF113" i="5" s="1"/>
  <c r="O115" i="5" l="1"/>
  <c r="Y115" i="5" s="1"/>
  <c r="Z119" i="2"/>
  <c r="AB119" i="2" s="1"/>
  <c r="T116" i="5" s="1"/>
  <c r="B116" i="5"/>
  <c r="X115" i="5"/>
  <c r="E121" i="2"/>
  <c r="D120" i="2"/>
  <c r="B117" i="5" s="1"/>
  <c r="P119" i="2"/>
  <c r="O118" i="2"/>
  <c r="J115" i="5" s="1"/>
  <c r="K115" i="5" s="1"/>
  <c r="Z120" i="2"/>
  <c r="AB120" i="2" s="1"/>
  <c r="AC115" i="5"/>
  <c r="AE115" i="5" s="1"/>
  <c r="C115" i="5"/>
  <c r="AD114" i="5"/>
  <c r="AF114" i="5" s="1"/>
  <c r="O116" i="5" l="1"/>
  <c r="Y116" i="5" s="1"/>
  <c r="E122" i="2"/>
  <c r="D121" i="2"/>
  <c r="B118" i="5" s="1"/>
  <c r="P120" i="2"/>
  <c r="O119" i="2"/>
  <c r="J116" i="5" s="1"/>
  <c r="K116" i="5" s="1"/>
  <c r="O117" i="5"/>
  <c r="Y117" i="5" s="1"/>
  <c r="T117" i="5"/>
  <c r="Z121" i="2"/>
  <c r="AB121" i="2" s="1"/>
  <c r="AD115" i="5"/>
  <c r="AF115" i="5" s="1"/>
  <c r="C116" i="5"/>
  <c r="AC116" i="5"/>
  <c r="AE116" i="5" s="1"/>
  <c r="X116" i="5" l="1"/>
  <c r="X117" i="5"/>
  <c r="E123" i="2"/>
  <c r="D122" i="2"/>
  <c r="B119" i="5" s="1"/>
  <c r="P121" i="2"/>
  <c r="O120" i="2"/>
  <c r="J117" i="5" s="1"/>
  <c r="K117" i="5" s="1"/>
  <c r="T118" i="5"/>
  <c r="O118" i="5"/>
  <c r="Y118" i="5" s="1"/>
  <c r="Z122" i="2"/>
  <c r="AB122" i="2" s="1"/>
  <c r="AD116" i="5"/>
  <c r="AF116" i="5" s="1"/>
  <c r="AC117" i="5"/>
  <c r="AE117" i="5" s="1"/>
  <c r="C117" i="5"/>
  <c r="X118" i="5" l="1"/>
  <c r="E124" i="2"/>
  <c r="D123" i="2"/>
  <c r="B120" i="5" s="1"/>
  <c r="P122" i="2"/>
  <c r="O121" i="2"/>
  <c r="J118" i="5" s="1"/>
  <c r="K118" i="5" s="1"/>
  <c r="O119" i="5"/>
  <c r="Y119" i="5" s="1"/>
  <c r="T119" i="5"/>
  <c r="Z123" i="2"/>
  <c r="AB123" i="2" s="1"/>
  <c r="C118" i="5"/>
  <c r="AC118" i="5"/>
  <c r="AE118" i="5" s="1"/>
  <c r="AD117" i="5"/>
  <c r="AF117" i="5" s="1"/>
  <c r="X119" i="5" l="1"/>
  <c r="E125" i="2"/>
  <c r="D124" i="2"/>
  <c r="P123" i="2"/>
  <c r="O122" i="2"/>
  <c r="J119" i="5" s="1"/>
  <c r="K119" i="5" s="1"/>
  <c r="T120" i="5"/>
  <c r="O120" i="5"/>
  <c r="Y120" i="5" s="1"/>
  <c r="AC119" i="5"/>
  <c r="AE119" i="5" s="1"/>
  <c r="C119" i="5"/>
  <c r="AD118" i="5"/>
  <c r="AF118" i="5" s="1"/>
  <c r="Z124" i="2" l="1"/>
  <c r="AB124" i="2" s="1"/>
  <c r="T121" i="5" s="1"/>
  <c r="B121" i="5"/>
  <c r="X120" i="5"/>
  <c r="E126" i="2"/>
  <c r="D125" i="2"/>
  <c r="B122" i="5" s="1"/>
  <c r="P124" i="2"/>
  <c r="O123" i="2"/>
  <c r="J120" i="5" s="1"/>
  <c r="K120" i="5" s="1"/>
  <c r="Z125" i="2"/>
  <c r="AB125" i="2" s="1"/>
  <c r="AC120" i="5"/>
  <c r="AE120" i="5" s="1"/>
  <c r="C120" i="5"/>
  <c r="AD119" i="5"/>
  <c r="AF119" i="5" s="1"/>
  <c r="O121" i="5" l="1"/>
  <c r="Y121" i="5" s="1"/>
  <c r="E127" i="2"/>
  <c r="D126" i="2"/>
  <c r="B123" i="5" s="1"/>
  <c r="P125" i="2"/>
  <c r="O124" i="2"/>
  <c r="J121" i="5" s="1"/>
  <c r="K121" i="5" s="1"/>
  <c r="O122" i="5"/>
  <c r="Y122" i="5" s="1"/>
  <c r="T122" i="5"/>
  <c r="Z126" i="2"/>
  <c r="AB126" i="2" s="1"/>
  <c r="C121" i="5"/>
  <c r="AC121" i="5"/>
  <c r="AE121" i="5" s="1"/>
  <c r="AD120" i="5"/>
  <c r="AF120" i="5" s="1"/>
  <c r="X121" i="5" l="1"/>
  <c r="X122" i="5"/>
  <c r="E128" i="2"/>
  <c r="D127" i="2"/>
  <c r="B124" i="5" s="1"/>
  <c r="P126" i="2"/>
  <c r="O125" i="2"/>
  <c r="J122" i="5" s="1"/>
  <c r="K122" i="5" s="1"/>
  <c r="O123" i="5"/>
  <c r="Y123" i="5" s="1"/>
  <c r="T123" i="5"/>
  <c r="Z127" i="2"/>
  <c r="AB127" i="2" s="1"/>
  <c r="AC122" i="5"/>
  <c r="AE122" i="5" s="1"/>
  <c r="C122" i="5"/>
  <c r="AD121" i="5"/>
  <c r="AF121" i="5" s="1"/>
  <c r="X123" i="5" l="1"/>
  <c r="E129" i="2"/>
  <c r="D128" i="2"/>
  <c r="P127" i="2"/>
  <c r="O126" i="2"/>
  <c r="J123" i="5" s="1"/>
  <c r="K123" i="5" s="1"/>
  <c r="T124" i="5"/>
  <c r="O124" i="5"/>
  <c r="Y124" i="5" s="1"/>
  <c r="C123" i="5"/>
  <c r="AC123" i="5"/>
  <c r="AE123" i="5" s="1"/>
  <c r="AD122" i="5"/>
  <c r="AF122" i="5" s="1"/>
  <c r="Z128" i="2" l="1"/>
  <c r="AB128" i="2" s="1"/>
  <c r="T125" i="5" s="1"/>
  <c r="B125" i="5"/>
  <c r="X124" i="5"/>
  <c r="E130" i="2"/>
  <c r="D129" i="2"/>
  <c r="B126" i="5" s="1"/>
  <c r="P128" i="2"/>
  <c r="O127" i="2"/>
  <c r="J124" i="5" s="1"/>
  <c r="K124" i="5" s="1"/>
  <c r="Z129" i="2"/>
  <c r="AB129" i="2" s="1"/>
  <c r="C124" i="5"/>
  <c r="AC124" i="5"/>
  <c r="AE124" i="5" s="1"/>
  <c r="AD123" i="5"/>
  <c r="AF123" i="5" s="1"/>
  <c r="O125" i="5" l="1"/>
  <c r="Y125" i="5" s="1"/>
  <c r="E131" i="2"/>
  <c r="D130" i="2"/>
  <c r="B127" i="5" s="1"/>
  <c r="P129" i="2"/>
  <c r="O128" i="2"/>
  <c r="J125" i="5" s="1"/>
  <c r="K125" i="5" s="1"/>
  <c r="O126" i="5"/>
  <c r="Y126" i="5" s="1"/>
  <c r="T126" i="5"/>
  <c r="Z130" i="2"/>
  <c r="AB130" i="2" s="1"/>
  <c r="C125" i="5"/>
  <c r="AC125" i="5"/>
  <c r="AE125" i="5" s="1"/>
  <c r="AD124" i="5"/>
  <c r="AF124" i="5" s="1"/>
  <c r="X125" i="5" l="1"/>
  <c r="X126" i="5"/>
  <c r="E132" i="2"/>
  <c r="D131" i="2"/>
  <c r="B128" i="5" s="1"/>
  <c r="P130" i="2"/>
  <c r="O129" i="2"/>
  <c r="J126" i="5" s="1"/>
  <c r="K126" i="5" s="1"/>
  <c r="O127" i="5"/>
  <c r="Y127" i="5" s="1"/>
  <c r="T127" i="5"/>
  <c r="Z131" i="2"/>
  <c r="AB131" i="2" s="1"/>
  <c r="AC126" i="5"/>
  <c r="AE126" i="5" s="1"/>
  <c r="C126" i="5"/>
  <c r="AD125" i="5"/>
  <c r="AF125" i="5" s="1"/>
  <c r="X127" i="5" l="1"/>
  <c r="E133" i="2"/>
  <c r="D132" i="2"/>
  <c r="B129" i="5" s="1"/>
  <c r="P131" i="2"/>
  <c r="O130" i="2"/>
  <c r="J127" i="5" s="1"/>
  <c r="K127" i="5" s="1"/>
  <c r="T128" i="5"/>
  <c r="O128" i="5"/>
  <c r="Y128" i="5" s="1"/>
  <c r="Z132" i="2"/>
  <c r="AB132" i="2" s="1"/>
  <c r="C127" i="5"/>
  <c r="AC127" i="5"/>
  <c r="AE127" i="5" s="1"/>
  <c r="AD126" i="5"/>
  <c r="AF126" i="5" s="1"/>
  <c r="X128" i="5" l="1"/>
  <c r="E134" i="2"/>
  <c r="D133" i="2"/>
  <c r="P132" i="2"/>
  <c r="O131" i="2"/>
  <c r="J128" i="5" s="1"/>
  <c r="K128" i="5" s="1"/>
  <c r="O129" i="5"/>
  <c r="Y129" i="5" s="1"/>
  <c r="T129" i="5"/>
  <c r="C128" i="5"/>
  <c r="AC128" i="5"/>
  <c r="AE128" i="5" s="1"/>
  <c r="AD127" i="5"/>
  <c r="AF127" i="5" s="1"/>
  <c r="Z133" i="2" l="1"/>
  <c r="AB133" i="2" s="1"/>
  <c r="T130" i="5" s="1"/>
  <c r="B130" i="5"/>
  <c r="X129" i="5"/>
  <c r="E135" i="2"/>
  <c r="D134" i="2"/>
  <c r="B131" i="5" s="1"/>
  <c r="P133" i="2"/>
  <c r="O132" i="2"/>
  <c r="J129" i="5" s="1"/>
  <c r="K129" i="5" s="1"/>
  <c r="Z134" i="2"/>
  <c r="AB134" i="2" s="1"/>
  <c r="C129" i="5"/>
  <c r="AC129" i="5"/>
  <c r="AE129" i="5" s="1"/>
  <c r="AD128" i="5"/>
  <c r="AF128" i="5" s="1"/>
  <c r="O130" i="5" l="1"/>
  <c r="Y130" i="5" s="1"/>
  <c r="E136" i="2"/>
  <c r="D135" i="2"/>
  <c r="B132" i="5" s="1"/>
  <c r="P134" i="2"/>
  <c r="O133" i="2"/>
  <c r="J130" i="5" s="1"/>
  <c r="K130" i="5" s="1"/>
  <c r="O131" i="5"/>
  <c r="Y131" i="5" s="1"/>
  <c r="T131" i="5"/>
  <c r="Z135" i="2"/>
  <c r="AB135" i="2" s="1"/>
  <c r="AD129" i="5"/>
  <c r="AF129" i="5" s="1"/>
  <c r="AC130" i="5"/>
  <c r="AE130" i="5" s="1"/>
  <c r="C130" i="5"/>
  <c r="X130" i="5" l="1"/>
  <c r="X131" i="5"/>
  <c r="E137" i="2"/>
  <c r="D136" i="2"/>
  <c r="B133" i="5" s="1"/>
  <c r="P135" i="2"/>
  <c r="O134" i="2"/>
  <c r="J131" i="5" s="1"/>
  <c r="K131" i="5" s="1"/>
  <c r="O132" i="5"/>
  <c r="Y132" i="5" s="1"/>
  <c r="T132" i="5"/>
  <c r="Z136" i="2"/>
  <c r="AB136" i="2" s="1"/>
  <c r="AD130" i="5"/>
  <c r="AF130" i="5" s="1"/>
  <c r="AC131" i="5"/>
  <c r="AE131" i="5" s="1"/>
  <c r="C131" i="5"/>
  <c r="X132" i="5" l="1"/>
  <c r="E138" i="2"/>
  <c r="D137" i="2"/>
  <c r="B134" i="5" s="1"/>
  <c r="P136" i="2"/>
  <c r="O135" i="2"/>
  <c r="J132" i="5" s="1"/>
  <c r="K132" i="5" s="1"/>
  <c r="T133" i="5"/>
  <c r="O133" i="5"/>
  <c r="Y133" i="5" s="1"/>
  <c r="Z137" i="2"/>
  <c r="AB137" i="2" s="1"/>
  <c r="C132" i="5"/>
  <c r="AC132" i="5"/>
  <c r="AE132" i="5" s="1"/>
  <c r="AD131" i="5"/>
  <c r="AF131" i="5" s="1"/>
  <c r="X133" i="5" l="1"/>
  <c r="E139" i="2"/>
  <c r="D138" i="2"/>
  <c r="B135" i="5" s="1"/>
  <c r="P137" i="2"/>
  <c r="O136" i="2"/>
  <c r="J133" i="5" s="1"/>
  <c r="K133" i="5" s="1"/>
  <c r="T134" i="5"/>
  <c r="O134" i="5"/>
  <c r="Y134" i="5" s="1"/>
  <c r="Z138" i="2"/>
  <c r="AB138" i="2" s="1"/>
  <c r="AD132" i="5"/>
  <c r="AF132" i="5" s="1"/>
  <c r="AC133" i="5"/>
  <c r="AE133" i="5" s="1"/>
  <c r="C133" i="5"/>
  <c r="X134" i="5" l="1"/>
  <c r="E140" i="2"/>
  <c r="D139" i="2"/>
  <c r="B136" i="5" s="1"/>
  <c r="P138" i="2"/>
  <c r="O137" i="2"/>
  <c r="J134" i="5" s="1"/>
  <c r="K134" i="5" s="1"/>
  <c r="O135" i="5"/>
  <c r="Y135" i="5" s="1"/>
  <c r="T135" i="5"/>
  <c r="Z139" i="2"/>
  <c r="AB139" i="2" s="1"/>
  <c r="C134" i="5"/>
  <c r="AC134" i="5"/>
  <c r="AE134" i="5" s="1"/>
  <c r="AD133" i="5"/>
  <c r="AF133" i="5" s="1"/>
  <c r="X135" i="5" l="1"/>
  <c r="E141" i="2"/>
  <c r="D140" i="2"/>
  <c r="B137" i="5" s="1"/>
  <c r="P139" i="2"/>
  <c r="O138" i="2"/>
  <c r="J135" i="5" s="1"/>
  <c r="K135" i="5" s="1"/>
  <c r="T136" i="5"/>
  <c r="O136" i="5"/>
  <c r="Y136" i="5" s="1"/>
  <c r="Z140" i="2"/>
  <c r="AB140" i="2" s="1"/>
  <c r="AD134" i="5"/>
  <c r="AF134" i="5" s="1"/>
  <c r="AC135" i="5"/>
  <c r="AE135" i="5" s="1"/>
  <c r="C135" i="5"/>
  <c r="X136" i="5" l="1"/>
  <c r="E142" i="2"/>
  <c r="D141" i="2"/>
  <c r="B138" i="5" s="1"/>
  <c r="P140" i="2"/>
  <c r="O139" i="2"/>
  <c r="J136" i="5" s="1"/>
  <c r="K136" i="5" s="1"/>
  <c r="T137" i="5"/>
  <c r="O137" i="5"/>
  <c r="Y137" i="5" s="1"/>
  <c r="Z141" i="2"/>
  <c r="AB141" i="2" s="1"/>
  <c r="AD135" i="5"/>
  <c r="AF135" i="5" s="1"/>
  <c r="AC136" i="5"/>
  <c r="AE136" i="5" s="1"/>
  <c r="C136" i="5"/>
  <c r="X137" i="5" l="1"/>
  <c r="E143" i="2"/>
  <c r="D142" i="2"/>
  <c r="B139" i="5" s="1"/>
  <c r="P141" i="2"/>
  <c r="O140" i="2"/>
  <c r="J137" i="5" s="1"/>
  <c r="K137" i="5" s="1"/>
  <c r="O138" i="5"/>
  <c r="Y138" i="5" s="1"/>
  <c r="T138" i="5"/>
  <c r="Z142" i="2"/>
  <c r="AB142" i="2" s="1"/>
  <c r="AD136" i="5"/>
  <c r="AF136" i="5" s="1"/>
  <c r="AC137" i="5"/>
  <c r="AE137" i="5" s="1"/>
  <c r="C137" i="5"/>
  <c r="X138" i="5" l="1"/>
  <c r="E144" i="2"/>
  <c r="D143" i="2"/>
  <c r="B140" i="5" s="1"/>
  <c r="P142" i="2"/>
  <c r="O141" i="2"/>
  <c r="J138" i="5" s="1"/>
  <c r="K138" i="5" s="1"/>
  <c r="T139" i="5"/>
  <c r="O139" i="5"/>
  <c r="Y139" i="5" s="1"/>
  <c r="Z143" i="2"/>
  <c r="AB143" i="2" s="1"/>
  <c r="AD137" i="5"/>
  <c r="AF137" i="5" s="1"/>
  <c r="AC138" i="5"/>
  <c r="AE138" i="5" s="1"/>
  <c r="C138" i="5"/>
  <c r="X139" i="5" l="1"/>
  <c r="E145" i="2"/>
  <c r="D144" i="2"/>
  <c r="B141" i="5" s="1"/>
  <c r="P143" i="2"/>
  <c r="O142" i="2"/>
  <c r="J139" i="5" s="1"/>
  <c r="K139" i="5" s="1"/>
  <c r="T140" i="5"/>
  <c r="O140" i="5"/>
  <c r="Y140" i="5" s="1"/>
  <c r="Z144" i="2"/>
  <c r="AB144" i="2" s="1"/>
  <c r="AD138" i="5"/>
  <c r="AF138" i="5" s="1"/>
  <c r="C139" i="5"/>
  <c r="AC139" i="5"/>
  <c r="AE139" i="5" s="1"/>
  <c r="X140" i="5" l="1"/>
  <c r="E146" i="2"/>
  <c r="D145" i="2"/>
  <c r="B142" i="5" s="1"/>
  <c r="P144" i="2"/>
  <c r="O143" i="2"/>
  <c r="J140" i="5" s="1"/>
  <c r="K140" i="5" s="1"/>
  <c r="T141" i="5"/>
  <c r="O141" i="5"/>
  <c r="Y141" i="5" s="1"/>
  <c r="Z145" i="2"/>
  <c r="AB145" i="2" s="1"/>
  <c r="AD139" i="5"/>
  <c r="AF139" i="5" s="1"/>
  <c r="C140" i="5"/>
  <c r="AC140" i="5"/>
  <c r="AE140" i="5" s="1"/>
  <c r="X141" i="5" l="1"/>
  <c r="E147" i="2"/>
  <c r="D146" i="2"/>
  <c r="B143" i="5" s="1"/>
  <c r="P145" i="2"/>
  <c r="O144" i="2"/>
  <c r="J141" i="5" s="1"/>
  <c r="K141" i="5" s="1"/>
  <c r="T142" i="5"/>
  <c r="O142" i="5"/>
  <c r="Y142" i="5" s="1"/>
  <c r="Z146" i="2"/>
  <c r="AB146" i="2" s="1"/>
  <c r="AD140" i="5"/>
  <c r="AF140" i="5" s="1"/>
  <c r="C141" i="5"/>
  <c r="AC141" i="5"/>
  <c r="AE141" i="5" s="1"/>
  <c r="X142" i="5" l="1"/>
  <c r="E148" i="2"/>
  <c r="D147" i="2"/>
  <c r="B144" i="5" s="1"/>
  <c r="P146" i="2"/>
  <c r="O145" i="2"/>
  <c r="J142" i="5" s="1"/>
  <c r="K142" i="5" s="1"/>
  <c r="T143" i="5"/>
  <c r="O143" i="5"/>
  <c r="Y143" i="5" s="1"/>
  <c r="Z147" i="2"/>
  <c r="AB147" i="2" s="1"/>
  <c r="AD141" i="5"/>
  <c r="AF141" i="5" s="1"/>
  <c r="AC142" i="5"/>
  <c r="AE142" i="5" s="1"/>
  <c r="C142" i="5"/>
  <c r="X143" i="5" l="1"/>
  <c r="E149" i="2"/>
  <c r="D148" i="2"/>
  <c r="B145" i="5" s="1"/>
  <c r="P147" i="2"/>
  <c r="O146" i="2"/>
  <c r="J143" i="5" s="1"/>
  <c r="K143" i="5" s="1"/>
  <c r="O144" i="5"/>
  <c r="Y144" i="5" s="1"/>
  <c r="T144" i="5"/>
  <c r="Z148" i="2"/>
  <c r="AB148" i="2" s="1"/>
  <c r="AD142" i="5"/>
  <c r="AF142" i="5" s="1"/>
  <c r="C143" i="5"/>
  <c r="AC143" i="5"/>
  <c r="AE143" i="5" s="1"/>
  <c r="X144" i="5" l="1"/>
  <c r="E150" i="2"/>
  <c r="D149" i="2"/>
  <c r="P148" i="2"/>
  <c r="O147" i="2"/>
  <c r="J144" i="5" s="1"/>
  <c r="K144" i="5" s="1"/>
  <c r="T145" i="5"/>
  <c r="O145" i="5"/>
  <c r="Y145" i="5" s="1"/>
  <c r="C144" i="5"/>
  <c r="AC144" i="5"/>
  <c r="AE144" i="5" s="1"/>
  <c r="AD143" i="5"/>
  <c r="AF143" i="5" s="1"/>
  <c r="Z149" i="2" l="1"/>
  <c r="AB149" i="2" s="1"/>
  <c r="T146" i="5" s="1"/>
  <c r="B146" i="5"/>
  <c r="X145" i="5"/>
  <c r="E151" i="2"/>
  <c r="D150" i="2"/>
  <c r="B147" i="5" s="1"/>
  <c r="P149" i="2"/>
  <c r="O148" i="2"/>
  <c r="J145" i="5" s="1"/>
  <c r="K145" i="5" s="1"/>
  <c r="Z150" i="2"/>
  <c r="AB150" i="2" s="1"/>
  <c r="AC145" i="5"/>
  <c r="AE145" i="5" s="1"/>
  <c r="C145" i="5"/>
  <c r="AD144" i="5"/>
  <c r="AF144" i="5" s="1"/>
  <c r="O146" i="5" l="1"/>
  <c r="Y146" i="5" s="1"/>
  <c r="E152" i="2"/>
  <c r="D151" i="2"/>
  <c r="B148" i="5" s="1"/>
  <c r="P150" i="2"/>
  <c r="O149" i="2"/>
  <c r="J146" i="5" s="1"/>
  <c r="K146" i="5" s="1"/>
  <c r="T147" i="5"/>
  <c r="O147" i="5"/>
  <c r="Y147" i="5" s="1"/>
  <c r="Z151" i="2"/>
  <c r="AB151" i="2" s="1"/>
  <c r="C146" i="5"/>
  <c r="AC146" i="5"/>
  <c r="AE146" i="5" s="1"/>
  <c r="AD145" i="5"/>
  <c r="AF145" i="5" s="1"/>
  <c r="X146" i="5" l="1"/>
  <c r="X147" i="5"/>
  <c r="E153" i="2"/>
  <c r="D152" i="2"/>
  <c r="B149" i="5" s="1"/>
  <c r="P151" i="2"/>
  <c r="O150" i="2"/>
  <c r="J147" i="5" s="1"/>
  <c r="K147" i="5" s="1"/>
  <c r="O148" i="5"/>
  <c r="Y148" i="5" s="1"/>
  <c r="T148" i="5"/>
  <c r="Z152" i="2"/>
  <c r="AB152" i="2" s="1"/>
  <c r="AD146" i="5"/>
  <c r="AF146" i="5" s="1"/>
  <c r="C147" i="5"/>
  <c r="AC147" i="5"/>
  <c r="AE147" i="5" s="1"/>
  <c r="X148" i="5" l="1"/>
  <c r="E154" i="2"/>
  <c r="D153" i="2"/>
  <c r="B150" i="5" s="1"/>
  <c r="P152" i="2"/>
  <c r="O151" i="2"/>
  <c r="J148" i="5" s="1"/>
  <c r="K148" i="5" s="1"/>
  <c r="O149" i="5"/>
  <c r="Y149" i="5" s="1"/>
  <c r="T149" i="5"/>
  <c r="Z153" i="2"/>
  <c r="AB153" i="2" s="1"/>
  <c r="C148" i="5"/>
  <c r="AC148" i="5"/>
  <c r="AE148" i="5" s="1"/>
  <c r="AD147" i="5"/>
  <c r="AF147" i="5" s="1"/>
  <c r="X149" i="5" l="1"/>
  <c r="E155" i="2"/>
  <c r="D154" i="2"/>
  <c r="P153" i="2"/>
  <c r="O152" i="2"/>
  <c r="J149" i="5" s="1"/>
  <c r="K149" i="5" s="1"/>
  <c r="T150" i="5"/>
  <c r="O150" i="5"/>
  <c r="Y150" i="5" s="1"/>
  <c r="Z154" i="2"/>
  <c r="AB154" i="2" s="1"/>
  <c r="AD148" i="5"/>
  <c r="AF148" i="5" s="1"/>
  <c r="AC149" i="5"/>
  <c r="AE149" i="5" s="1"/>
  <c r="C149" i="5"/>
  <c r="X150" i="5" l="1"/>
  <c r="E156" i="2"/>
  <c r="D155" i="2"/>
  <c r="P154" i="2"/>
  <c r="O153" i="2"/>
  <c r="J150" i="5" s="1"/>
  <c r="K150" i="5" s="1"/>
  <c r="Z155" i="2"/>
  <c r="AB155" i="2" s="1"/>
  <c r="AC150" i="5"/>
  <c r="AE150" i="5" s="1"/>
  <c r="C150" i="5"/>
  <c r="AD149" i="5"/>
  <c r="AF149" i="5" s="1"/>
  <c r="E157" i="2" l="1"/>
  <c r="D156" i="2"/>
  <c r="P155" i="2"/>
  <c r="O154" i="2"/>
  <c r="Z156" i="2"/>
  <c r="AB156" i="2" s="1"/>
  <c r="AD150" i="5"/>
  <c r="AF150" i="5" s="1"/>
  <c r="E158" i="2" l="1"/>
  <c r="D157" i="2"/>
  <c r="P156" i="2"/>
  <c r="O155" i="2"/>
  <c r="Z157" i="2"/>
  <c r="AB157" i="2" s="1"/>
  <c r="E159" i="2" l="1"/>
  <c r="D158" i="2"/>
  <c r="P157" i="2"/>
  <c r="O156" i="2"/>
  <c r="Z158" i="2"/>
  <c r="AB158" i="2" s="1"/>
  <c r="E160" i="2" l="1"/>
  <c r="D159" i="2"/>
  <c r="P158" i="2"/>
  <c r="O157" i="2"/>
  <c r="Z159" i="2"/>
  <c r="AB159" i="2" s="1"/>
  <c r="E161" i="2" l="1"/>
  <c r="D160" i="2"/>
  <c r="P159" i="2"/>
  <c r="O158" i="2"/>
  <c r="Z160" i="2"/>
  <c r="AB160" i="2" s="1"/>
  <c r="E162" i="2" l="1"/>
  <c r="D161" i="2"/>
  <c r="P160" i="2"/>
  <c r="O159" i="2"/>
  <c r="Z161" i="2"/>
  <c r="AB161" i="2" s="1"/>
  <c r="E163" i="2" l="1"/>
  <c r="D162" i="2"/>
  <c r="O160" i="2"/>
  <c r="P161" i="2"/>
  <c r="Z162" i="2"/>
  <c r="AB162" i="2" s="1"/>
  <c r="E164" i="2" l="1"/>
  <c r="D163" i="2"/>
  <c r="P162" i="2"/>
  <c r="O161" i="2"/>
  <c r="Z163" i="2"/>
  <c r="AB163" i="2" s="1"/>
  <c r="E165" i="2" l="1"/>
  <c r="D164" i="2"/>
  <c r="P163" i="2"/>
  <c r="O162" i="2"/>
  <c r="Z164" i="2"/>
  <c r="AB164" i="2" s="1"/>
  <c r="E166" i="2" l="1"/>
  <c r="D165" i="2"/>
  <c r="O163" i="2"/>
  <c r="P164" i="2"/>
  <c r="Z165" i="2"/>
  <c r="AB165" i="2" s="1"/>
  <c r="E167" i="2" l="1"/>
  <c r="D166" i="2"/>
  <c r="P165" i="2"/>
  <c r="O164" i="2"/>
  <c r="Z166" i="2"/>
  <c r="AB166" i="2" s="1"/>
  <c r="E168" i="2" l="1"/>
  <c r="D167" i="2"/>
  <c r="P166" i="2"/>
  <c r="O165" i="2"/>
  <c r="Z167" i="2"/>
  <c r="AB167" i="2" s="1"/>
  <c r="E169" i="2" l="1"/>
  <c r="D168" i="2"/>
  <c r="P167" i="2"/>
  <c r="O166" i="2"/>
  <c r="Z168" i="2"/>
  <c r="AB168" i="2" s="1"/>
  <c r="E170" i="2" l="1"/>
  <c r="D169" i="2"/>
  <c r="P168" i="2"/>
  <c r="O167" i="2"/>
  <c r="Z169" i="2"/>
  <c r="AB169" i="2" s="1"/>
  <c r="E171" i="2" l="1"/>
  <c r="D170" i="2"/>
  <c r="P169" i="2"/>
  <c r="O168" i="2"/>
  <c r="Z170" i="2"/>
  <c r="AB170" i="2" s="1"/>
  <c r="E172" i="2" l="1"/>
  <c r="D171" i="2"/>
  <c r="P170" i="2"/>
  <c r="O169" i="2"/>
  <c r="Z171" i="2"/>
  <c r="AB171" i="2" s="1"/>
  <c r="E173" i="2" l="1"/>
  <c r="D172" i="2"/>
  <c r="P171" i="2"/>
  <c r="O170" i="2"/>
  <c r="Z172" i="2"/>
  <c r="AB172" i="2" s="1"/>
  <c r="E174" i="2" l="1"/>
  <c r="D173" i="2"/>
  <c r="P172" i="2"/>
  <c r="O171" i="2"/>
  <c r="Z173" i="2"/>
  <c r="AB173" i="2" s="1"/>
  <c r="E175" i="2" l="1"/>
  <c r="D174" i="2"/>
  <c r="Z174" i="2" s="1"/>
  <c r="AB174" i="2" s="1"/>
  <c r="P173" i="2"/>
  <c r="O172" i="2"/>
  <c r="E176" i="2" l="1"/>
  <c r="D175" i="2"/>
  <c r="P174" i="2"/>
  <c r="O173" i="2"/>
  <c r="Z175" i="2"/>
  <c r="AB175" i="2" s="1"/>
  <c r="E177" i="2" l="1"/>
  <c r="D176" i="2"/>
  <c r="P175" i="2"/>
  <c r="O174" i="2"/>
  <c r="Z176" i="2"/>
  <c r="AB176" i="2" s="1"/>
  <c r="E178" i="2" l="1"/>
  <c r="D177" i="2"/>
  <c r="P176" i="2"/>
  <c r="O175" i="2"/>
  <c r="Z177" i="2"/>
  <c r="AB177" i="2" s="1"/>
  <c r="E179" i="2" l="1"/>
  <c r="D178" i="2"/>
  <c r="P177" i="2"/>
  <c r="O176" i="2"/>
  <c r="Z178" i="2"/>
  <c r="AB178" i="2" s="1"/>
  <c r="E180" i="2" l="1"/>
  <c r="D179" i="2"/>
  <c r="P178" i="2"/>
  <c r="O177" i="2"/>
  <c r="Z179" i="2"/>
  <c r="AB179" i="2" s="1"/>
  <c r="E181" i="2" l="1"/>
  <c r="D180" i="2"/>
  <c r="P179" i="2"/>
  <c r="O178" i="2"/>
  <c r="Z180" i="2"/>
  <c r="AB180" i="2" s="1"/>
  <c r="E182" i="2" l="1"/>
  <c r="D181" i="2"/>
  <c r="P180" i="2"/>
  <c r="O179" i="2"/>
  <c r="Z181" i="2"/>
  <c r="AB181" i="2" s="1"/>
  <c r="E183" i="2" l="1"/>
  <c r="D182" i="2"/>
  <c r="P181" i="2"/>
  <c r="O180" i="2"/>
  <c r="Z182" i="2"/>
  <c r="AB182" i="2" s="1"/>
  <c r="E184" i="2" l="1"/>
  <c r="D183" i="2"/>
  <c r="P182" i="2"/>
  <c r="O181" i="2"/>
  <c r="Z183" i="2"/>
  <c r="AB183" i="2" s="1"/>
  <c r="E185" i="2" l="1"/>
  <c r="D184" i="2"/>
  <c r="P183" i="2"/>
  <c r="O182" i="2"/>
  <c r="Z184" i="2"/>
  <c r="AB184" i="2" s="1"/>
  <c r="E186" i="2" l="1"/>
  <c r="D185" i="2"/>
  <c r="P184" i="2"/>
  <c r="O183" i="2"/>
  <c r="Z185" i="2"/>
  <c r="AB185" i="2" s="1"/>
  <c r="E187" i="2" l="1"/>
  <c r="D186" i="2"/>
  <c r="P185" i="2"/>
  <c r="O184" i="2"/>
  <c r="Z186" i="2"/>
  <c r="AB186" i="2" s="1"/>
  <c r="E188" i="2" l="1"/>
  <c r="D187" i="2"/>
  <c r="P186" i="2"/>
  <c r="O185" i="2"/>
  <c r="Z187" i="2"/>
  <c r="AB187" i="2" s="1"/>
  <c r="E189" i="2" l="1"/>
  <c r="D188" i="2"/>
  <c r="P187" i="2"/>
  <c r="O186" i="2"/>
  <c r="Z188" i="2"/>
  <c r="AB188" i="2" s="1"/>
  <c r="E190" i="2" l="1"/>
  <c r="D189" i="2"/>
  <c r="P188" i="2"/>
  <c r="O187" i="2"/>
  <c r="Z189" i="2"/>
  <c r="AB189" i="2" s="1"/>
  <c r="E191" i="2" l="1"/>
  <c r="D190" i="2"/>
  <c r="P189" i="2"/>
  <c r="O188" i="2"/>
  <c r="Z190" i="2"/>
  <c r="AB190" i="2" s="1"/>
  <c r="E192" i="2" l="1"/>
  <c r="D191" i="2"/>
  <c r="P190" i="2"/>
  <c r="O189" i="2"/>
  <c r="Z191" i="2"/>
  <c r="AB191" i="2" s="1"/>
  <c r="E193" i="2" l="1"/>
  <c r="D192" i="2"/>
  <c r="P191" i="2"/>
  <c r="O190" i="2"/>
  <c r="Z192" i="2"/>
  <c r="AB192" i="2" s="1"/>
  <c r="E194" i="2" l="1"/>
  <c r="D193" i="2"/>
  <c r="P192" i="2"/>
  <c r="O191" i="2"/>
  <c r="Z193" i="2"/>
  <c r="AB193" i="2" s="1"/>
  <c r="D194" i="2" l="1"/>
  <c r="E195" i="2"/>
  <c r="P193" i="2"/>
  <c r="O192" i="2"/>
  <c r="Z194" i="2"/>
  <c r="AB194" i="2" s="1"/>
  <c r="E196" i="2" l="1"/>
  <c r="D195" i="2"/>
  <c r="P194" i="2"/>
  <c r="O193" i="2"/>
  <c r="Z195" i="2"/>
  <c r="AB195" i="2" s="1"/>
  <c r="E197" i="2" l="1"/>
  <c r="D196" i="2"/>
  <c r="P195" i="2"/>
  <c r="O194" i="2"/>
  <c r="Z196" i="2"/>
  <c r="AB196" i="2" s="1"/>
  <c r="E198" i="2" l="1"/>
  <c r="D197" i="2"/>
  <c r="P196" i="2"/>
  <c r="O195" i="2"/>
  <c r="Z197" i="2"/>
  <c r="AB197" i="2" s="1"/>
  <c r="E199" i="2" l="1"/>
  <c r="D198" i="2"/>
  <c r="P197" i="2"/>
  <c r="O196" i="2"/>
  <c r="Z198" i="2"/>
  <c r="AB198" i="2" s="1"/>
  <c r="E200" i="2" l="1"/>
  <c r="D199" i="2"/>
  <c r="Z199" i="2" s="1"/>
  <c r="AB199" i="2" s="1"/>
  <c r="P198" i="2"/>
  <c r="O197" i="2"/>
  <c r="E201" i="2" l="1"/>
  <c r="D200" i="2"/>
  <c r="Z200" i="2" s="1"/>
  <c r="AB200" i="2" s="1"/>
  <c r="P199" i="2"/>
  <c r="O198" i="2"/>
  <c r="E202" i="2" l="1"/>
  <c r="D201" i="2"/>
  <c r="Z201" i="2" s="1"/>
  <c r="AB201" i="2" s="1"/>
  <c r="P200" i="2"/>
  <c r="O199" i="2"/>
  <c r="D202" i="2" l="1"/>
  <c r="Z202" i="2" s="1"/>
  <c r="AB202" i="2" s="1"/>
  <c r="E203" i="2"/>
  <c r="P201" i="2"/>
  <c r="O200" i="2"/>
  <c r="E204" i="2" l="1"/>
  <c r="D203" i="2"/>
  <c r="Z203" i="2" s="1"/>
  <c r="AB203" i="2" s="1"/>
  <c r="P202" i="2"/>
  <c r="O201" i="2"/>
  <c r="D204" i="2" l="1"/>
  <c r="Z204" i="2" s="1"/>
  <c r="AB204" i="2" s="1"/>
  <c r="E205" i="2"/>
  <c r="P203" i="2"/>
  <c r="O202" i="2"/>
  <c r="D205" i="2" l="1"/>
  <c r="Z205" i="2" s="1"/>
  <c r="AB205" i="2" s="1"/>
  <c r="E206" i="2"/>
  <c r="P204" i="2"/>
  <c r="O203" i="2"/>
  <c r="D206" i="2" l="1"/>
  <c r="Z206" i="2" s="1"/>
  <c r="AB206" i="2" s="1"/>
  <c r="E207" i="2"/>
  <c r="P205" i="2"/>
  <c r="O204" i="2"/>
  <c r="D207" i="2" l="1"/>
  <c r="Z207" i="2" s="1"/>
  <c r="AB207" i="2" s="1"/>
  <c r="E208" i="2"/>
  <c r="P206" i="2"/>
  <c r="O205" i="2"/>
  <c r="D208" i="2" l="1"/>
  <c r="Z208" i="2" s="1"/>
  <c r="AB208" i="2" s="1"/>
  <c r="E209" i="2"/>
  <c r="P207" i="2"/>
  <c r="O206" i="2"/>
  <c r="D209" i="2" l="1"/>
  <c r="Z209" i="2" s="1"/>
  <c r="AB209" i="2" s="1"/>
  <c r="E210" i="2"/>
  <c r="P208" i="2"/>
  <c r="O207" i="2"/>
  <c r="D210" i="2" l="1"/>
  <c r="Z210" i="2" s="1"/>
  <c r="AB210" i="2" s="1"/>
  <c r="E211" i="2"/>
  <c r="P209" i="2"/>
  <c r="O208" i="2"/>
  <c r="D211" i="2" l="1"/>
  <c r="Z211" i="2" s="1"/>
  <c r="AB211" i="2" s="1"/>
  <c r="E212" i="2"/>
  <c r="P210" i="2"/>
  <c r="O209" i="2"/>
  <c r="D212" i="2" l="1"/>
  <c r="Z212" i="2" s="1"/>
  <c r="AB212" i="2" s="1"/>
  <c r="E213" i="2"/>
  <c r="P211" i="2"/>
  <c r="O210" i="2"/>
  <c r="D213" i="2" l="1"/>
  <c r="Z213" i="2" s="1"/>
  <c r="AB213" i="2" s="1"/>
  <c r="E214" i="2"/>
  <c r="P212" i="2"/>
  <c r="O211" i="2"/>
  <c r="D214" i="2" l="1"/>
  <c r="Z214" i="2" s="1"/>
  <c r="AB214" i="2" s="1"/>
  <c r="E215" i="2"/>
  <c r="O212" i="2"/>
  <c r="P213" i="2"/>
  <c r="D215" i="2" l="1"/>
  <c r="Z215" i="2" s="1"/>
  <c r="AB215" i="2" s="1"/>
  <c r="E216" i="2"/>
  <c r="O213" i="2"/>
  <c r="P214" i="2"/>
  <c r="D216" i="2" l="1"/>
  <c r="Z216" i="2" s="1"/>
  <c r="AB216" i="2" s="1"/>
  <c r="E217" i="2"/>
  <c r="P215" i="2"/>
  <c r="O214" i="2"/>
  <c r="D217" i="2" l="1"/>
  <c r="Z217" i="2" s="1"/>
  <c r="AB217" i="2" s="1"/>
  <c r="E218" i="2"/>
  <c r="P216" i="2"/>
  <c r="O215" i="2"/>
  <c r="E219" i="2" l="1"/>
  <c r="D218" i="2"/>
  <c r="Z218" i="2" s="1"/>
  <c r="AB218" i="2" s="1"/>
  <c r="O216" i="2"/>
  <c r="P217" i="2"/>
  <c r="D219" i="2" l="1"/>
  <c r="Z219" i="2" s="1"/>
  <c r="AB219" i="2" s="1"/>
  <c r="E220" i="2"/>
  <c r="O217" i="2"/>
  <c r="P218" i="2"/>
  <c r="E221" i="2" l="1"/>
  <c r="D220" i="2"/>
  <c r="Z220" i="2" s="1"/>
  <c r="AB220" i="2" s="1"/>
  <c r="O218" i="2"/>
  <c r="P219" i="2"/>
  <c r="E222" i="2" l="1"/>
  <c r="D221" i="2"/>
  <c r="Z221" i="2" s="1"/>
  <c r="AB221" i="2" s="1"/>
  <c r="P220" i="2"/>
  <c r="O219" i="2"/>
  <c r="E223" i="2" l="1"/>
  <c r="D222" i="2"/>
  <c r="Z222" i="2" s="1"/>
  <c r="AB222" i="2" s="1"/>
  <c r="O220" i="2"/>
  <c r="P221" i="2"/>
  <c r="E224" i="2" l="1"/>
  <c r="D223" i="2"/>
  <c r="Z223" i="2" s="1"/>
  <c r="AB223" i="2" s="1"/>
  <c r="O221" i="2"/>
  <c r="P222" i="2"/>
  <c r="E225" i="2" l="1"/>
  <c r="D224" i="2"/>
  <c r="Z224" i="2" s="1"/>
  <c r="AB224" i="2" s="1"/>
  <c r="P223" i="2"/>
  <c r="O222" i="2"/>
  <c r="D225" i="2" l="1"/>
  <c r="Z225" i="2" s="1"/>
  <c r="AB225" i="2" s="1"/>
  <c r="E226" i="2"/>
  <c r="P224" i="2"/>
  <c r="O223" i="2"/>
  <c r="D226" i="2" l="1"/>
  <c r="Z226" i="2" s="1"/>
  <c r="AB226" i="2" s="1"/>
  <c r="E227" i="2"/>
  <c r="P225" i="2"/>
  <c r="O224" i="2"/>
  <c r="D227" i="2" l="1"/>
  <c r="Z227" i="2" s="1"/>
  <c r="AB227" i="2" s="1"/>
  <c r="E228" i="2"/>
  <c r="O225" i="2"/>
  <c r="P226" i="2"/>
  <c r="D228" i="2" l="1"/>
  <c r="Z228" i="2" s="1"/>
  <c r="AB228" i="2" s="1"/>
  <c r="E229" i="2"/>
  <c r="P227" i="2"/>
  <c r="O226" i="2"/>
  <c r="E230" i="2" l="1"/>
  <c r="D229" i="2"/>
  <c r="Z229" i="2" s="1"/>
  <c r="AB229" i="2" s="1"/>
  <c r="P228" i="2"/>
  <c r="O227" i="2"/>
  <c r="E231" i="2" l="1"/>
  <c r="D230" i="2"/>
  <c r="Z230" i="2" s="1"/>
  <c r="AB230" i="2" s="1"/>
  <c r="O228" i="2"/>
  <c r="P229" i="2"/>
  <c r="E232" i="2" l="1"/>
  <c r="D231" i="2"/>
  <c r="Z231" i="2" s="1"/>
  <c r="AB231" i="2" s="1"/>
  <c r="P230" i="2"/>
  <c r="O229" i="2"/>
  <c r="D232" i="2" l="1"/>
  <c r="Z232" i="2" s="1"/>
  <c r="AB232" i="2" s="1"/>
  <c r="E233" i="2"/>
  <c r="O230" i="2"/>
  <c r="P231" i="2"/>
  <c r="D233" i="2" l="1"/>
  <c r="Z233" i="2" s="1"/>
  <c r="AB233" i="2" s="1"/>
  <c r="E234" i="2"/>
  <c r="P232" i="2"/>
  <c r="O231" i="2"/>
  <c r="E235" i="2" l="1"/>
  <c r="D234" i="2"/>
  <c r="Z234" i="2" s="1"/>
  <c r="AB234" i="2" s="1"/>
  <c r="P233" i="2"/>
  <c r="O232" i="2"/>
  <c r="E236" i="2" l="1"/>
  <c r="D235" i="2"/>
  <c r="Z235" i="2" s="1"/>
  <c r="AB235" i="2" s="1"/>
  <c r="P234" i="2"/>
  <c r="O233" i="2"/>
  <c r="E237" i="2" l="1"/>
  <c r="D236" i="2"/>
  <c r="Z236" i="2" s="1"/>
  <c r="AB236" i="2" s="1"/>
  <c r="P235" i="2"/>
  <c r="O234" i="2"/>
  <c r="D237" i="2" l="1"/>
  <c r="Z237" i="2" s="1"/>
  <c r="AB237" i="2" s="1"/>
  <c r="E238" i="2"/>
  <c r="O235" i="2"/>
  <c r="P236" i="2"/>
  <c r="E239" i="2" l="1"/>
  <c r="D238" i="2"/>
  <c r="Z238" i="2" s="1"/>
  <c r="AB238" i="2" s="1"/>
  <c r="P237" i="2"/>
  <c r="O236" i="2"/>
  <c r="E240" i="2" l="1"/>
  <c r="D239" i="2"/>
  <c r="Z239" i="2" s="1"/>
  <c r="AB239" i="2" s="1"/>
  <c r="O237" i="2"/>
  <c r="P238" i="2"/>
  <c r="E241" i="2" l="1"/>
  <c r="D240" i="2"/>
  <c r="Z240" i="2" s="1"/>
  <c r="AB240" i="2" s="1"/>
  <c r="P239" i="2"/>
  <c r="O238" i="2"/>
  <c r="E242" i="2" l="1"/>
  <c r="D241" i="2"/>
  <c r="Z241" i="2" s="1"/>
  <c r="AB241" i="2" s="1"/>
  <c r="P240" i="2"/>
  <c r="O239" i="2"/>
  <c r="E243" i="2" l="1"/>
  <c r="D242" i="2"/>
  <c r="Z242" i="2" s="1"/>
  <c r="AB242" i="2" s="1"/>
  <c r="P241" i="2"/>
  <c r="O240" i="2"/>
  <c r="E244" i="2" l="1"/>
  <c r="D243" i="2"/>
  <c r="Z243" i="2" s="1"/>
  <c r="AB243" i="2" s="1"/>
  <c r="O241" i="2"/>
  <c r="P242" i="2"/>
  <c r="E245" i="2" l="1"/>
  <c r="D244" i="2"/>
  <c r="Z244" i="2" s="1"/>
  <c r="AB244" i="2" s="1"/>
  <c r="O242" i="2"/>
  <c r="P243" i="2"/>
  <c r="E246" i="2" l="1"/>
  <c r="D245" i="2"/>
  <c r="Z245" i="2" s="1"/>
  <c r="AB245" i="2" s="1"/>
  <c r="P244" i="2"/>
  <c r="O243" i="2"/>
  <c r="E247" i="2" l="1"/>
  <c r="D246" i="2"/>
  <c r="Z246" i="2" s="1"/>
  <c r="AB246" i="2" s="1"/>
  <c r="P245" i="2"/>
  <c r="O244" i="2"/>
  <c r="E248" i="2" l="1"/>
  <c r="D247" i="2"/>
  <c r="Z247" i="2" s="1"/>
  <c r="AB247" i="2" s="1"/>
  <c r="P246" i="2"/>
  <c r="O245" i="2"/>
  <c r="E249" i="2" l="1"/>
  <c r="D248" i="2"/>
  <c r="Z248" i="2" s="1"/>
  <c r="AB248" i="2" s="1"/>
  <c r="O246" i="2"/>
  <c r="P247" i="2"/>
  <c r="E250" i="2" l="1"/>
  <c r="D249" i="2"/>
  <c r="Z249" i="2" s="1"/>
  <c r="AB249" i="2" s="1"/>
  <c r="P248" i="2"/>
  <c r="O247" i="2"/>
  <c r="D250" i="2" l="1"/>
  <c r="Z250" i="2" s="1"/>
  <c r="AB250" i="2" s="1"/>
  <c r="E251" i="2"/>
  <c r="P249" i="2"/>
  <c r="O248" i="2"/>
  <c r="E252" i="2" l="1"/>
  <c r="D251" i="2"/>
  <c r="Z251" i="2" s="1"/>
  <c r="AB251" i="2" s="1"/>
  <c r="P250" i="2"/>
  <c r="O249" i="2"/>
  <c r="E253" i="2" l="1"/>
  <c r="D252" i="2"/>
  <c r="Z252" i="2" s="1"/>
  <c r="AB252" i="2" s="1"/>
  <c r="P251" i="2"/>
  <c r="O250" i="2"/>
  <c r="D253" i="2" l="1"/>
  <c r="Z253" i="2" s="1"/>
  <c r="AB253" i="2" s="1"/>
  <c r="E254" i="2"/>
  <c r="P252" i="2"/>
  <c r="O251" i="2"/>
  <c r="E255" i="2" l="1"/>
  <c r="D254" i="2"/>
  <c r="Z254" i="2" s="1"/>
  <c r="AB254" i="2" s="1"/>
  <c r="P253" i="2"/>
  <c r="O252" i="2"/>
  <c r="E256" i="2" l="1"/>
  <c r="D255" i="2"/>
  <c r="Z255" i="2" s="1"/>
  <c r="AB255" i="2" s="1"/>
  <c r="P254" i="2"/>
  <c r="O253" i="2"/>
  <c r="D256" i="2" l="1"/>
  <c r="Z256" i="2" s="1"/>
  <c r="AB256" i="2" s="1"/>
  <c r="E257" i="2"/>
  <c r="P255" i="2"/>
  <c r="O254" i="2"/>
  <c r="E258" i="2" l="1"/>
  <c r="D257" i="2"/>
  <c r="Z257" i="2" s="1"/>
  <c r="AB257" i="2" s="1"/>
  <c r="P256" i="2"/>
  <c r="O255" i="2"/>
  <c r="E259" i="2" l="1"/>
  <c r="D258" i="2"/>
  <c r="Z258" i="2" s="1"/>
  <c r="AB258" i="2" s="1"/>
  <c r="P257" i="2"/>
  <c r="O256" i="2"/>
  <c r="E260" i="2" l="1"/>
  <c r="D259" i="2"/>
  <c r="Z259" i="2" s="1"/>
  <c r="AB259" i="2" s="1"/>
  <c r="P258" i="2"/>
  <c r="O257" i="2"/>
  <c r="E261" i="2" l="1"/>
  <c r="D260" i="2"/>
  <c r="Z260" i="2" s="1"/>
  <c r="AB260" i="2" s="1"/>
  <c r="P259" i="2"/>
  <c r="O258" i="2"/>
  <c r="E262" i="2" l="1"/>
  <c r="D261" i="2"/>
  <c r="Z261" i="2" s="1"/>
  <c r="AB261" i="2" s="1"/>
  <c r="P260" i="2"/>
  <c r="O259" i="2"/>
  <c r="E263" i="2" l="1"/>
  <c r="D262" i="2"/>
  <c r="Z262" i="2" s="1"/>
  <c r="AB262" i="2" s="1"/>
  <c r="O260" i="2"/>
  <c r="P261" i="2"/>
  <c r="D263" i="2" l="1"/>
  <c r="Z263" i="2" s="1"/>
  <c r="AB263" i="2" s="1"/>
  <c r="E264" i="2"/>
  <c r="P262" i="2"/>
  <c r="O261" i="2"/>
  <c r="E265" i="2" l="1"/>
  <c r="D264" i="2"/>
  <c r="Z264" i="2" s="1"/>
  <c r="AB264" i="2" s="1"/>
  <c r="P263" i="2"/>
  <c r="O262" i="2"/>
  <c r="E266" i="2" l="1"/>
  <c r="D265" i="2"/>
  <c r="Z265" i="2" s="1"/>
  <c r="AB265" i="2" s="1"/>
  <c r="P264" i="2"/>
  <c r="O263" i="2"/>
  <c r="E267" i="2" l="1"/>
  <c r="D266" i="2"/>
  <c r="Z266" i="2" s="1"/>
  <c r="AB266" i="2" s="1"/>
  <c r="P265" i="2"/>
  <c r="O264" i="2"/>
  <c r="E268" i="2" l="1"/>
  <c r="D267" i="2"/>
  <c r="Z267" i="2" s="1"/>
  <c r="AB267" i="2" s="1"/>
  <c r="P266" i="2"/>
  <c r="O265" i="2"/>
  <c r="E269" i="2" l="1"/>
  <c r="D268" i="2"/>
  <c r="Z268" i="2" s="1"/>
  <c r="AB268" i="2" s="1"/>
  <c r="P267" i="2"/>
  <c r="O266" i="2"/>
  <c r="E270" i="2" l="1"/>
  <c r="D269" i="2"/>
  <c r="Z269" i="2" s="1"/>
  <c r="AB269" i="2" s="1"/>
  <c r="P268" i="2"/>
  <c r="O267" i="2"/>
  <c r="E271" i="2" l="1"/>
  <c r="D270" i="2"/>
  <c r="Z270" i="2" s="1"/>
  <c r="AB270" i="2" s="1"/>
  <c r="P269" i="2"/>
  <c r="O268" i="2"/>
  <c r="E272" i="2" l="1"/>
  <c r="D271" i="2"/>
  <c r="Z271" i="2" s="1"/>
  <c r="AB271" i="2" s="1"/>
  <c r="P270" i="2"/>
  <c r="O269" i="2"/>
  <c r="E273" i="2" l="1"/>
  <c r="D272" i="2"/>
  <c r="Z272" i="2" s="1"/>
  <c r="AB272" i="2" s="1"/>
  <c r="P271" i="2"/>
  <c r="O270" i="2"/>
  <c r="E274" i="2" l="1"/>
  <c r="D273" i="2"/>
  <c r="Z273" i="2" s="1"/>
  <c r="AB273" i="2" s="1"/>
  <c r="O271" i="2"/>
  <c r="P272" i="2"/>
  <c r="D274" i="2" l="1"/>
  <c r="Z274" i="2" s="1"/>
  <c r="AB274" i="2" s="1"/>
  <c r="E275" i="2"/>
  <c r="P273" i="2"/>
  <c r="O272" i="2"/>
  <c r="E276" i="2" l="1"/>
  <c r="D275" i="2"/>
  <c r="Z275" i="2" s="1"/>
  <c r="AB275" i="2" s="1"/>
  <c r="P274" i="2"/>
  <c r="O273" i="2"/>
  <c r="D276" i="2" l="1"/>
  <c r="Z276" i="2" s="1"/>
  <c r="AB276" i="2" s="1"/>
  <c r="E277" i="2"/>
  <c r="P275" i="2"/>
  <c r="O274" i="2"/>
  <c r="E278" i="2" l="1"/>
  <c r="D277" i="2"/>
  <c r="Z277" i="2" s="1"/>
  <c r="AB277" i="2" s="1"/>
  <c r="O275" i="2"/>
  <c r="P276" i="2"/>
  <c r="E279" i="2" l="1"/>
  <c r="D278" i="2"/>
  <c r="Z278" i="2" s="1"/>
  <c r="AB278" i="2" s="1"/>
  <c r="P277" i="2"/>
  <c r="O276" i="2"/>
  <c r="E280" i="2" l="1"/>
  <c r="D279" i="2"/>
  <c r="Z279" i="2" s="1"/>
  <c r="AB279" i="2" s="1"/>
  <c r="P278" i="2"/>
  <c r="O277" i="2"/>
  <c r="D280" i="2" l="1"/>
  <c r="Z280" i="2" s="1"/>
  <c r="AB280" i="2" s="1"/>
  <c r="E281" i="2"/>
  <c r="P279" i="2"/>
  <c r="O278" i="2"/>
  <c r="E282" i="2" l="1"/>
  <c r="D281" i="2"/>
  <c r="Z281" i="2" s="1"/>
  <c r="AB281" i="2" s="1"/>
  <c r="P280" i="2"/>
  <c r="O279" i="2"/>
  <c r="E283" i="2" l="1"/>
  <c r="D282" i="2"/>
  <c r="Z282" i="2" s="1"/>
  <c r="AB282" i="2" s="1"/>
  <c r="O280" i="2"/>
  <c r="P281" i="2"/>
  <c r="E284" i="2" l="1"/>
  <c r="D283" i="2"/>
  <c r="Z283" i="2" s="1"/>
  <c r="AB283" i="2" s="1"/>
  <c r="P282" i="2"/>
  <c r="O281" i="2"/>
  <c r="E285" i="2" l="1"/>
  <c r="D284" i="2"/>
  <c r="Z284" i="2" s="1"/>
  <c r="AB284" i="2" s="1"/>
  <c r="O282" i="2"/>
  <c r="P283" i="2"/>
  <c r="E286" i="2" l="1"/>
  <c r="D285" i="2"/>
  <c r="Z285" i="2" s="1"/>
  <c r="AB285" i="2" s="1"/>
  <c r="P284" i="2"/>
  <c r="O283" i="2"/>
  <c r="E287" i="2" l="1"/>
  <c r="D286" i="2"/>
  <c r="Z286" i="2" s="1"/>
  <c r="AB286" i="2" s="1"/>
  <c r="P285" i="2"/>
  <c r="O284" i="2"/>
  <c r="E288" i="2" l="1"/>
  <c r="D287" i="2"/>
  <c r="Z287" i="2" s="1"/>
  <c r="AB287" i="2" s="1"/>
  <c r="P286" i="2"/>
  <c r="O285" i="2"/>
  <c r="E289" i="2" l="1"/>
  <c r="D288" i="2"/>
  <c r="Z288" i="2" s="1"/>
  <c r="AB288" i="2" s="1"/>
  <c r="P287" i="2"/>
  <c r="O286" i="2"/>
  <c r="E290" i="2" l="1"/>
  <c r="D289" i="2"/>
  <c r="Z289" i="2" s="1"/>
  <c r="AB289" i="2" s="1"/>
  <c r="P288" i="2"/>
  <c r="O287" i="2"/>
  <c r="E291" i="2" l="1"/>
  <c r="D290" i="2"/>
  <c r="Z290" i="2" s="1"/>
  <c r="AB290" i="2" s="1"/>
  <c r="P289" i="2"/>
  <c r="O288" i="2"/>
  <c r="E292" i="2" l="1"/>
  <c r="D291" i="2"/>
  <c r="Z291" i="2" s="1"/>
  <c r="AB291" i="2" s="1"/>
  <c r="O289" i="2"/>
  <c r="P290" i="2"/>
  <c r="E293" i="2" l="1"/>
  <c r="D292" i="2"/>
  <c r="Z292" i="2" s="1"/>
  <c r="AB292" i="2" s="1"/>
  <c r="P291" i="2"/>
  <c r="O290" i="2"/>
  <c r="E294" i="2" l="1"/>
  <c r="D293" i="2"/>
  <c r="Z293" i="2" s="1"/>
  <c r="AB293" i="2" s="1"/>
  <c r="P292" i="2"/>
  <c r="O291" i="2"/>
  <c r="E295" i="2" l="1"/>
  <c r="D294" i="2"/>
  <c r="Z294" i="2" s="1"/>
  <c r="AB294" i="2" s="1"/>
  <c r="P293" i="2"/>
  <c r="O292" i="2"/>
  <c r="E296" i="2" l="1"/>
  <c r="D295" i="2"/>
  <c r="Z295" i="2" s="1"/>
  <c r="AB295" i="2" s="1"/>
  <c r="P294" i="2"/>
  <c r="O293" i="2"/>
  <c r="E297" i="2" l="1"/>
  <c r="D296" i="2"/>
  <c r="Z296" i="2" s="1"/>
  <c r="AB296" i="2" s="1"/>
  <c r="P295" i="2"/>
  <c r="O294" i="2"/>
  <c r="E298" i="2" l="1"/>
  <c r="D297" i="2"/>
  <c r="Z297" i="2" s="1"/>
  <c r="AB297" i="2" s="1"/>
  <c r="P296" i="2"/>
  <c r="O295" i="2"/>
  <c r="E299" i="2" l="1"/>
  <c r="D298" i="2"/>
  <c r="Z298" i="2" s="1"/>
  <c r="AB298" i="2" s="1"/>
  <c r="O296" i="2"/>
  <c r="P297" i="2"/>
  <c r="E300" i="2" l="1"/>
  <c r="D299" i="2"/>
  <c r="Z299" i="2" s="1"/>
  <c r="AB299" i="2" s="1"/>
  <c r="P298" i="2"/>
  <c r="O297" i="2"/>
  <c r="E301" i="2" l="1"/>
  <c r="D300" i="2"/>
  <c r="Z300" i="2" s="1"/>
  <c r="AB300" i="2" s="1"/>
  <c r="P299" i="2"/>
  <c r="O298" i="2"/>
  <c r="E302" i="2" l="1"/>
  <c r="D301" i="2"/>
  <c r="Z301" i="2" s="1"/>
  <c r="AB301" i="2" s="1"/>
  <c r="P300" i="2"/>
  <c r="O299" i="2"/>
  <c r="E303" i="2" l="1"/>
  <c r="D302" i="2"/>
  <c r="Z302" i="2" s="1"/>
  <c r="AB302" i="2" s="1"/>
  <c r="P301" i="2"/>
  <c r="O300" i="2"/>
  <c r="E304" i="2" l="1"/>
  <c r="D303" i="2"/>
  <c r="Z303" i="2" s="1"/>
  <c r="AB303" i="2" s="1"/>
  <c r="P302" i="2"/>
  <c r="O301" i="2"/>
  <c r="E305" i="2" l="1"/>
  <c r="D305" i="2" s="1"/>
  <c r="Z305" i="2" s="1"/>
  <c r="AB305" i="2" s="1"/>
  <c r="D304" i="2"/>
  <c r="Z304" i="2" s="1"/>
  <c r="AB304" i="2" s="1"/>
  <c r="P303" i="2"/>
  <c r="O302" i="2"/>
  <c r="O303" i="2" l="1"/>
  <c r="P304" i="2"/>
  <c r="P305" i="2" l="1"/>
  <c r="O305" i="2" s="1"/>
  <c r="O304" i="2"/>
</calcChain>
</file>

<file path=xl/sharedStrings.xml><?xml version="1.0" encoding="utf-8"?>
<sst xmlns="http://schemas.openxmlformats.org/spreadsheetml/2006/main" count="329" uniqueCount="91">
  <si>
    <t>Facility Reference</t>
    <phoneticPr fontId="1" type="noConversion"/>
  </si>
  <si>
    <t>Undrawn Amount in HKD</t>
    <phoneticPr fontId="1" type="noConversion"/>
  </si>
  <si>
    <t>Contract Reference</t>
    <phoneticPr fontId="1" type="noConversion"/>
  </si>
  <si>
    <t>Facility Info</t>
    <phoneticPr fontId="1" type="noConversion"/>
  </si>
  <si>
    <t>Account Info</t>
    <phoneticPr fontId="1" type="noConversion"/>
  </si>
  <si>
    <t>Drawndown Amount in HKD</t>
    <phoneticPr fontId="1" type="noConversion"/>
  </si>
  <si>
    <t>Guarantee Info</t>
    <phoneticPr fontId="1" type="noConversion"/>
  </si>
  <si>
    <t>Guarantee Reference</t>
    <phoneticPr fontId="1" type="noConversion"/>
  </si>
  <si>
    <t>Guarantee Amount</t>
    <phoneticPr fontId="1" type="noConversion"/>
  </si>
  <si>
    <t>Guarantee Percentage</t>
    <phoneticPr fontId="1" type="noConversion"/>
  </si>
  <si>
    <t>HKG-XX1</t>
  </si>
  <si>
    <t>HKG-XX1</t>
    <phoneticPr fontId="1" type="noConversion"/>
  </si>
  <si>
    <t>HKG-AA1</t>
    <phoneticPr fontId="1" type="noConversion"/>
  </si>
  <si>
    <t>HKG-AA2</t>
    <phoneticPr fontId="1" type="noConversion"/>
  </si>
  <si>
    <t>HKG-GG1</t>
    <phoneticPr fontId="1" type="noConversion"/>
  </si>
  <si>
    <t>Drawdown amount in HKD</t>
    <phoneticPr fontId="1" type="noConversion"/>
  </si>
  <si>
    <t>HKG-GG2</t>
    <phoneticPr fontId="1" type="noConversion"/>
  </si>
  <si>
    <t>HKG-XX2</t>
    <phoneticPr fontId="1" type="noConversion"/>
  </si>
  <si>
    <t>Guarantee Facility relationship</t>
    <phoneticPr fontId="1" type="noConversion"/>
  </si>
  <si>
    <t xml:space="preserve">Guarantee Amount </t>
    <phoneticPr fontId="1" type="noConversion"/>
  </si>
  <si>
    <t>Fin Gte amt</t>
    <phoneticPr fontId="1" type="noConversion"/>
  </si>
  <si>
    <t>Total Fac amount</t>
    <phoneticPr fontId="1" type="noConversion"/>
  </si>
  <si>
    <t>Fac amount</t>
    <phoneticPr fontId="1" type="noConversion"/>
  </si>
  <si>
    <t>A</t>
    <phoneticPr fontId="1" type="noConversion"/>
  </si>
  <si>
    <t>G</t>
    <phoneticPr fontId="1" type="noConversion"/>
  </si>
  <si>
    <t>Con ref</t>
    <phoneticPr fontId="1" type="noConversion"/>
  </si>
  <si>
    <t>Gur ref</t>
    <phoneticPr fontId="1" type="noConversion"/>
  </si>
  <si>
    <t>HKG-XX2</t>
  </si>
  <si>
    <t>fac ref</t>
  </si>
  <si>
    <t>fac ref</t>
    <phoneticPr fontId="1" type="noConversion"/>
  </si>
  <si>
    <t>Fin Gte amt</t>
  </si>
  <si>
    <t>Fin Gte amt</t>
    <phoneticPr fontId="1" type="noConversion"/>
  </si>
  <si>
    <t>Guarantee</t>
    <phoneticPr fontId="1" type="noConversion"/>
  </si>
  <si>
    <t>Facility</t>
    <phoneticPr fontId="1" type="noConversion"/>
  </si>
  <si>
    <t>Undrawn amount</t>
    <phoneticPr fontId="1" type="noConversion"/>
  </si>
  <si>
    <t>Con ref</t>
  </si>
  <si>
    <t>Gur ref</t>
  </si>
  <si>
    <t>Total gte amount per fac</t>
    <phoneticPr fontId="1" type="noConversion"/>
  </si>
  <si>
    <t>Total Gte amount per fac</t>
    <phoneticPr fontId="1" type="noConversion"/>
  </si>
  <si>
    <t>HKG-XX2</t>
    <phoneticPr fontId="1" type="noConversion"/>
  </si>
  <si>
    <t>HKG-GG3</t>
  </si>
  <si>
    <t>HKG-GG4</t>
    <phoneticPr fontId="1" type="noConversion"/>
  </si>
  <si>
    <t>HKG-GG5</t>
    <phoneticPr fontId="1" type="noConversion"/>
  </si>
  <si>
    <t>total</t>
    <phoneticPr fontId="1" type="noConversion"/>
  </si>
  <si>
    <t>total fac</t>
    <phoneticPr fontId="1" type="noConversion"/>
  </si>
  <si>
    <t>Prorata loan to fac</t>
    <phoneticPr fontId="1" type="noConversion"/>
  </si>
  <si>
    <t>Loan sum to fac</t>
    <phoneticPr fontId="1" type="noConversion"/>
  </si>
  <si>
    <t>undrawn</t>
    <phoneticPr fontId="1" type="noConversion"/>
  </si>
  <si>
    <t>Allo undrawn</t>
    <phoneticPr fontId="1" type="noConversion"/>
  </si>
  <si>
    <t>Drawn Amount</t>
    <phoneticPr fontId="1" type="noConversion"/>
  </si>
  <si>
    <t>Drawn Tranche</t>
    <phoneticPr fontId="1" type="noConversion"/>
  </si>
  <si>
    <t>Allocated Undrawn Amount</t>
    <phoneticPr fontId="1" type="noConversion"/>
  </si>
  <si>
    <t>Undrawn Tranche</t>
    <phoneticPr fontId="1" type="noConversion"/>
  </si>
  <si>
    <t>Allocated Drawn Amount</t>
    <phoneticPr fontId="1" type="noConversion"/>
  </si>
  <si>
    <t>Facility</t>
    <phoneticPr fontId="1" type="noConversion"/>
  </si>
  <si>
    <t>Facility reference</t>
    <phoneticPr fontId="1" type="noConversion"/>
  </si>
  <si>
    <t>contract Reference</t>
    <phoneticPr fontId="1" type="noConversion"/>
  </si>
  <si>
    <r>
      <t xml:space="preserve">Select facility </t>
    </r>
    <r>
      <rPr>
        <sz val="12"/>
        <color theme="1"/>
        <rFont val="新細明體"/>
        <family val="1"/>
        <charset val="136"/>
      </rPr>
      <t>→</t>
    </r>
    <phoneticPr fontId="1" type="noConversion"/>
  </si>
  <si>
    <t>Facility Reference (No duplication)</t>
    <phoneticPr fontId="1" type="noConversion"/>
  </si>
  <si>
    <t>Guarantee Reference (No duplication)</t>
    <phoneticPr fontId="1" type="noConversion"/>
  </si>
  <si>
    <t>Either one</t>
    <phoneticPr fontId="1" type="noConversion"/>
  </si>
  <si>
    <t xml:space="preserve">Guarantee Reference </t>
    <phoneticPr fontId="1" type="noConversion"/>
  </si>
  <si>
    <t>HKG-XX3</t>
    <phoneticPr fontId="1" type="noConversion"/>
  </si>
  <si>
    <t>HKG-AA3</t>
    <phoneticPr fontId="1" type="noConversion"/>
  </si>
  <si>
    <t>HKG-GG6</t>
    <phoneticPr fontId="1" type="noConversion"/>
  </si>
  <si>
    <t>drawn</t>
    <phoneticPr fontId="1" type="noConversion"/>
  </si>
  <si>
    <t>Total Fac amt</t>
    <phoneticPr fontId="1" type="noConversion"/>
  </si>
  <si>
    <t>Unallocated</t>
    <phoneticPr fontId="1" type="noConversion"/>
  </si>
  <si>
    <t>HKG-GG3</t>
    <phoneticPr fontId="1" type="noConversion"/>
  </si>
  <si>
    <t>HKG-XX4</t>
  </si>
  <si>
    <t>HKG-XX4</t>
    <phoneticPr fontId="1" type="noConversion"/>
  </si>
  <si>
    <t>HKG-XX5</t>
  </si>
  <si>
    <t>HKG-XX5</t>
    <phoneticPr fontId="1" type="noConversion"/>
  </si>
  <si>
    <t>HKG-AB1</t>
  </si>
  <si>
    <t>HKG-AB1</t>
    <phoneticPr fontId="1" type="noConversion"/>
  </si>
  <si>
    <t>HKG-AB2</t>
  </si>
  <si>
    <t>HKG-AB2</t>
    <phoneticPr fontId="1" type="noConversion"/>
  </si>
  <si>
    <t>HKG-GH1</t>
  </si>
  <si>
    <t>HKG-GH2</t>
  </si>
  <si>
    <t>HKG-GH3</t>
  </si>
  <si>
    <t>HKG-GH4</t>
  </si>
  <si>
    <t>HKG-GH5</t>
  </si>
  <si>
    <t>loan ori amt</t>
    <phoneticPr fontId="1" type="noConversion"/>
  </si>
  <si>
    <t>Loan amt prorata</t>
    <phoneticPr fontId="1" type="noConversion"/>
  </si>
  <si>
    <t>loan sum to fac</t>
    <phoneticPr fontId="1" type="noConversion"/>
  </si>
  <si>
    <t>HKG-GH1</t>
    <phoneticPr fontId="1" type="noConversion"/>
  </si>
  <si>
    <t>HKG-GH2</t>
    <phoneticPr fontId="1" type="noConversion"/>
  </si>
  <si>
    <t>HKG-GH3</t>
    <phoneticPr fontId="1" type="noConversion"/>
  </si>
  <si>
    <t>HKG-GH5</t>
    <phoneticPr fontId="1" type="noConversion"/>
  </si>
  <si>
    <t>HKG-GH4</t>
    <phoneticPr fontId="1" type="noConversion"/>
  </si>
  <si>
    <t>Input Page for facilities, accounts and guarantees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</si>
</sst>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76" formatCode="#,##0.00_ "/>
    <numFmt numFmtId="177" formatCode="_-* #,##0.0_-;\-* #,##0.0_-;_-* &quot;-&quot;??_-;_-@_-"/>
    <numFmt numFmtId="178" formatCode="0.0"/>
    <numFmt numFmtId="179" formatCode="_-* #,##0.000_-;\-* #,##0.000_-;_-* &quot;-&quot;??_-;_-@_-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"/>
      <name val="Calibri"/>
      <family val="2"/>
    </font>
    <font>
      <sz val="12"/>
      <color theme="1"/>
      <name val="Calibri"/>
      <family val="2"/>
    </font>
    <font>
      <b/>
      <u/>
      <sz val="12"/>
      <color theme="1"/>
      <name val="Calibri"/>
      <family val="2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u/>
      <sz val="20"/>
      <color theme="1"/>
      <name val="Calibri"/>
      <family val="2"/>
    </font>
    <font>
      <sz val="12"/>
      <color theme="0"/>
      <name val="Calibri"/>
      <family val="2"/>
    </font>
    <font>
      <sz val="12"/>
      <color theme="1"/>
      <name val="新細明體"/>
      <family val="1"/>
      <charset val="136"/>
    </font>
    <font>
      <sz val="12"/>
      <color theme="0" tint="-0.249977111117893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vertical="top"/>
    </xf>
    <xf numFmtId="10" fontId="3" fillId="0" borderId="1" xfId="0" applyNumberFormat="1" applyFont="1" applyBorder="1">
      <alignment vertical="center"/>
    </xf>
    <xf numFmtId="176" fontId="3" fillId="0" borderId="1" xfId="0" applyNumberFormat="1" applyFont="1" applyBorder="1">
      <alignment vertical="center"/>
    </xf>
    <xf numFmtId="0" fontId="3" fillId="2" borderId="1" xfId="0" applyFont="1" applyFill="1" applyBorder="1" applyAlignment="1">
      <alignment vertical="top"/>
    </xf>
    <xf numFmtId="0" fontId="3" fillId="3" borderId="1" xfId="0" applyFont="1" applyFill="1" applyBorder="1" applyAlignment="1">
      <alignment vertical="top"/>
    </xf>
    <xf numFmtId="0" fontId="3" fillId="4" borderId="1" xfId="0" applyFont="1" applyFill="1" applyBorder="1" applyAlignment="1">
      <alignment vertical="top"/>
    </xf>
    <xf numFmtId="0" fontId="3" fillId="4" borderId="1" xfId="0" applyFont="1" applyFill="1" applyBorder="1" applyAlignment="1">
      <alignment vertical="top" wrapText="1"/>
    </xf>
    <xf numFmtId="0" fontId="5" fillId="0" borderId="0" xfId="0" applyFont="1">
      <alignment vertical="center"/>
    </xf>
    <xf numFmtId="177" fontId="0" fillId="0" borderId="0" xfId="1" applyNumberFormat="1" applyFont="1">
      <alignment vertical="center"/>
    </xf>
    <xf numFmtId="0" fontId="3" fillId="2" borderId="1" xfId="0" applyFont="1" applyFill="1" applyBorder="1" applyAlignment="1">
      <alignment horizontal="center" vertical="top"/>
    </xf>
    <xf numFmtId="0" fontId="0" fillId="0" borderId="0" xfId="0" applyAlignment="1">
      <alignment vertical="top" wrapText="1"/>
    </xf>
    <xf numFmtId="0" fontId="3" fillId="5" borderId="1" xfId="0" applyFont="1" applyFill="1" applyBorder="1" applyAlignment="1">
      <alignment vertical="top" wrapText="1"/>
    </xf>
    <xf numFmtId="0" fontId="3" fillId="0" borderId="0" xfId="0" applyFont="1" applyAlignment="1">
      <alignment vertical="top" wrapText="1"/>
    </xf>
    <xf numFmtId="0" fontId="3" fillId="5" borderId="1" xfId="0" applyFont="1" applyFill="1" applyBorder="1">
      <alignment vertical="center"/>
    </xf>
    <xf numFmtId="0" fontId="3" fillId="3" borderId="1" xfId="0" applyFont="1" applyFill="1" applyBorder="1" applyAlignment="1">
      <alignment vertical="top" wrapText="1"/>
    </xf>
    <xf numFmtId="0" fontId="3" fillId="3" borderId="1" xfId="0" applyFont="1" applyFill="1" applyBorder="1">
      <alignment vertical="center"/>
    </xf>
    <xf numFmtId="0" fontId="3" fillId="2" borderId="1" xfId="0" applyFont="1" applyFill="1" applyBorder="1" applyAlignment="1">
      <alignment vertical="top" wrapText="1"/>
    </xf>
    <xf numFmtId="0" fontId="3" fillId="2" borderId="1" xfId="0" applyFont="1" applyFill="1" applyBorder="1">
      <alignment vertical="center"/>
    </xf>
    <xf numFmtId="0" fontId="3" fillId="6" borderId="1" xfId="0" applyFont="1" applyFill="1" applyBorder="1" applyAlignment="1">
      <alignment vertical="top" wrapText="1"/>
    </xf>
    <xf numFmtId="0" fontId="3" fillId="6" borderId="1" xfId="0" applyFont="1" applyFill="1" applyBorder="1">
      <alignment vertical="center"/>
    </xf>
    <xf numFmtId="177" fontId="3" fillId="6" borderId="1" xfId="1" applyNumberFormat="1" applyFont="1" applyFill="1" applyBorder="1">
      <alignment vertical="center"/>
    </xf>
    <xf numFmtId="0" fontId="8" fillId="0" borderId="0" xfId="0" applyFont="1" applyFill="1">
      <alignment vertical="center"/>
    </xf>
    <xf numFmtId="0" fontId="7" fillId="0" borderId="0" xfId="0" applyFont="1">
      <alignment vertical="center"/>
    </xf>
    <xf numFmtId="0" fontId="0" fillId="7" borderId="0" xfId="0" applyFill="1">
      <alignment vertical="center"/>
    </xf>
    <xf numFmtId="0" fontId="7" fillId="7" borderId="0" xfId="0" applyFont="1" applyFill="1" applyAlignment="1">
      <alignment vertical="center"/>
    </xf>
    <xf numFmtId="0" fontId="10" fillId="7" borderId="0" xfId="0" applyFont="1" applyFill="1">
      <alignment vertical="center"/>
    </xf>
    <xf numFmtId="0" fontId="10" fillId="7" borderId="0" xfId="0" applyFont="1" applyFill="1" applyAlignment="1">
      <alignment vertical="top"/>
    </xf>
    <xf numFmtId="0" fontId="10" fillId="7" borderId="0" xfId="0" applyFont="1" applyFill="1" applyAlignment="1">
      <alignment vertical="top" wrapText="1"/>
    </xf>
    <xf numFmtId="178" fontId="3" fillId="5" borderId="1" xfId="0" applyNumberFormat="1" applyFont="1" applyFill="1" applyBorder="1">
      <alignment vertical="center"/>
    </xf>
    <xf numFmtId="43" fontId="0" fillId="0" borderId="0" xfId="1" applyFont="1">
      <alignment vertical="center"/>
    </xf>
    <xf numFmtId="179" fontId="0" fillId="0" borderId="0" xfId="1" applyNumberFormat="1" applyFont="1">
      <alignment vertical="center"/>
    </xf>
    <xf numFmtId="0" fontId="3" fillId="4" borderId="2" xfId="0" applyFont="1" applyFill="1" applyBorder="1" applyAlignment="1">
      <alignment horizontal="center" vertical="top" wrapText="1"/>
    </xf>
    <xf numFmtId="0" fontId="3" fillId="4" borderId="3" xfId="0" applyFont="1" applyFill="1" applyBorder="1" applyAlignment="1">
      <alignment horizontal="center" vertical="top" wrapText="1"/>
    </xf>
    <xf numFmtId="0" fontId="3" fillId="7" borderId="0" xfId="0" applyFont="1" applyFill="1" applyAlignment="1">
      <alignment horizontal="left" vertical="center" wrapText="1"/>
    </xf>
  </cellXfs>
  <cellStyles count="2">
    <cellStyle name="一般" xfId="0" builtinId="0"/>
    <cellStyle name="千分位" xfId="1" builtinId="3"/>
  </cellStyles>
  <dxfs count="10">
    <dxf>
      <fill>
        <patternFill>
          <fgColor theme="0" tint="-0.24994659260841701"/>
          <bgColor theme="0" tint="-0.24994659260841701"/>
        </patternFill>
      </fill>
      <border>
        <left/>
        <right/>
        <top/>
        <bottom/>
      </border>
    </dxf>
    <dxf>
      <fill>
        <patternFill>
          <fgColor theme="0" tint="-0.24994659260841701"/>
          <bgColor theme="0" tint="-0.24994659260841701"/>
        </patternFill>
      </fill>
      <border>
        <left/>
        <right/>
        <top/>
        <bottom/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List" dx="22" fmlaLink="intrim2!$C$1" fmlaRange="Input!$A$6:$A$203" noThreeD="1" sel="5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781050</xdr:colOff>
          <xdr:row>0</xdr:row>
          <xdr:rowOff>47625</xdr:rowOff>
        </xdr:from>
        <xdr:to>
          <xdr:col>15</xdr:col>
          <xdr:colOff>457200</xdr:colOff>
          <xdr:row>3</xdr:row>
          <xdr:rowOff>266700</xdr:rowOff>
        </xdr:to>
        <xdr:sp macro="" textlink="">
          <xdr:nvSpPr>
            <xdr:cNvPr id="5122" name="List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0</xdr:row>
          <xdr:rowOff>38100</xdr:rowOff>
        </xdr:from>
        <xdr:to>
          <xdr:col>1</xdr:col>
          <xdr:colOff>2076450</xdr:colOff>
          <xdr:row>2</xdr:row>
          <xdr:rowOff>104775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Fetch all facilities results to Output all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2124075</xdr:colOff>
          <xdr:row>0</xdr:row>
          <xdr:rowOff>38100</xdr:rowOff>
        </xdr:from>
        <xdr:to>
          <xdr:col>4</xdr:col>
          <xdr:colOff>819150</xdr:colOff>
          <xdr:row>2</xdr:row>
          <xdr:rowOff>104775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Output all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9DAF3-BF3C-4218-BFCC-00D63BC798D7}">
  <sheetPr codeName="工作表2">
    <tabColor theme="5"/>
  </sheetPr>
  <dimension ref="A1:Z203"/>
  <sheetViews>
    <sheetView showGridLines="0" tabSelected="1" zoomScale="85" zoomScaleNormal="85" workbookViewId="0">
      <pane ySplit="5" topLeftCell="A6" activePane="bottomLeft" state="frozen"/>
      <selection activeCell="C3" sqref="C3"/>
      <selection pane="bottomLeft" activeCell="E19" sqref="E19"/>
    </sheetView>
  </sheetViews>
  <sheetFormatPr defaultRowHeight="16.5" outlineLevelCol="1" x14ac:dyDescent="0.25"/>
  <cols>
    <col min="1" max="1" width="34.5" customWidth="1"/>
    <col min="2" max="2" width="22.125" customWidth="1"/>
    <col min="3" max="3" width="2.875" customWidth="1"/>
    <col min="4" max="4" width="17.25" bestFit="1" customWidth="1"/>
    <col min="5" max="5" width="16.25" bestFit="1" customWidth="1"/>
    <col min="6" max="6" width="16.25" hidden="1" customWidth="1" outlineLevel="1"/>
    <col min="7" max="7" width="26.25" bestFit="1" customWidth="1" collapsed="1"/>
    <col min="8" max="8" width="3.5" customWidth="1"/>
    <col min="9" max="9" width="19.75" bestFit="1" customWidth="1"/>
    <col min="10" max="10" width="21.125" customWidth="1"/>
    <col min="11" max="11" width="20.625" bestFit="1" customWidth="1"/>
    <col min="12" max="12" width="3" customWidth="1"/>
    <col min="13" max="13" width="19.75" bestFit="1" customWidth="1"/>
    <col min="14" max="14" width="31" customWidth="1"/>
  </cols>
  <sheetData>
    <row r="1" spans="1:26" ht="26.25" x14ac:dyDescent="0.25">
      <c r="A1" s="27" t="s">
        <v>90</v>
      </c>
    </row>
    <row r="3" spans="1:26" x14ac:dyDescent="0.25">
      <c r="A3" s="4" t="s">
        <v>3</v>
      </c>
      <c r="B3" s="2"/>
      <c r="C3" s="2"/>
      <c r="D3" s="4" t="s">
        <v>4</v>
      </c>
      <c r="E3" s="2"/>
      <c r="F3" s="2"/>
      <c r="G3" s="2"/>
      <c r="H3" s="2"/>
      <c r="I3" s="4" t="s">
        <v>6</v>
      </c>
      <c r="J3" s="2"/>
      <c r="K3" s="2"/>
      <c r="L3" s="2"/>
      <c r="M3" s="4" t="s">
        <v>18</v>
      </c>
      <c r="N3" s="2"/>
    </row>
    <row r="4" spans="1:26" x14ac:dyDescent="0.25">
      <c r="A4" s="26"/>
      <c r="B4" s="2"/>
      <c r="C4" s="2"/>
      <c r="D4" s="2"/>
      <c r="E4" s="2"/>
      <c r="F4" s="2"/>
      <c r="G4" s="2"/>
      <c r="H4" s="2"/>
      <c r="I4" s="2"/>
      <c r="J4" s="36" t="s">
        <v>60</v>
      </c>
      <c r="K4" s="37"/>
      <c r="L4" s="2"/>
      <c r="M4" s="2"/>
      <c r="N4" s="2"/>
    </row>
    <row r="5" spans="1:26" ht="40.5" customHeight="1" x14ac:dyDescent="0.25">
      <c r="A5" s="8" t="s">
        <v>58</v>
      </c>
      <c r="B5" s="8" t="s">
        <v>1</v>
      </c>
      <c r="C5" s="5"/>
      <c r="D5" s="9" t="s">
        <v>2</v>
      </c>
      <c r="E5" s="9" t="s">
        <v>0</v>
      </c>
      <c r="F5" s="9"/>
      <c r="G5" s="9" t="s">
        <v>5</v>
      </c>
      <c r="H5" s="5"/>
      <c r="I5" s="11" t="s">
        <v>59</v>
      </c>
      <c r="J5" s="11" t="s">
        <v>19</v>
      </c>
      <c r="K5" s="10" t="s">
        <v>9</v>
      </c>
      <c r="L5" s="2"/>
      <c r="M5" s="11" t="s">
        <v>61</v>
      </c>
      <c r="N5" s="10" t="s">
        <v>0</v>
      </c>
    </row>
    <row r="6" spans="1:26" x14ac:dyDescent="0.25">
      <c r="A6" s="3" t="s">
        <v>11</v>
      </c>
      <c r="B6" s="7">
        <v>320</v>
      </c>
      <c r="C6" s="2"/>
      <c r="D6" s="3" t="s">
        <v>12</v>
      </c>
      <c r="E6" s="3" t="s">
        <v>10</v>
      </c>
      <c r="F6" s="3" t="str">
        <f>+D6&amp;E6</f>
        <v>HKG-AA1HKG-XX1</v>
      </c>
      <c r="G6" s="7">
        <v>10</v>
      </c>
      <c r="H6" s="2"/>
      <c r="I6" s="3" t="s">
        <v>14</v>
      </c>
      <c r="J6" s="7">
        <v>10</v>
      </c>
      <c r="K6" s="6"/>
      <c r="L6" s="2"/>
      <c r="M6" s="3" t="s">
        <v>14</v>
      </c>
      <c r="N6" s="3" t="s">
        <v>10</v>
      </c>
      <c r="X6">
        <f>IF(D6="",0,COUNTIF($F$6:$F$201,F6))</f>
        <v>1</v>
      </c>
      <c r="Y6" t="str">
        <f>+M6&amp;N6</f>
        <v>HKG-GG1HKG-XX1</v>
      </c>
      <c r="Z6">
        <f>IF(M6="",0,COUNTIF($Y$6:$Y$201,Y6))</f>
        <v>1</v>
      </c>
    </row>
    <row r="7" spans="1:26" x14ac:dyDescent="0.25">
      <c r="A7" s="3" t="s">
        <v>17</v>
      </c>
      <c r="B7" s="7">
        <v>45</v>
      </c>
      <c r="C7" s="2"/>
      <c r="D7" s="3" t="s">
        <v>13</v>
      </c>
      <c r="E7" s="3" t="s">
        <v>10</v>
      </c>
      <c r="F7" s="3" t="str">
        <f t="shared" ref="F7:F70" si="0">+D7&amp;E7</f>
        <v>HKG-AA2HKG-XX1</v>
      </c>
      <c r="G7" s="7">
        <v>20</v>
      </c>
      <c r="H7" s="2"/>
      <c r="I7" s="3" t="s">
        <v>16</v>
      </c>
      <c r="J7" s="7">
        <v>11</v>
      </c>
      <c r="K7" s="6"/>
      <c r="L7" s="2"/>
      <c r="M7" s="3" t="s">
        <v>16</v>
      </c>
      <c r="N7" s="3" t="s">
        <v>11</v>
      </c>
      <c r="X7">
        <f t="shared" ref="X7:X70" si="1">IF(D7="",0,COUNTIF($F$6:$F$201,F7))</f>
        <v>1</v>
      </c>
      <c r="Y7" t="str">
        <f t="shared" ref="Y7:Y70" si="2">+M7&amp;N7</f>
        <v>HKG-GG2HKG-XX1</v>
      </c>
      <c r="Z7">
        <f t="shared" ref="Z7:Z70" si="3">IF(M7="",0,COUNTIF($Y$6:$Y$201,Y7))</f>
        <v>1</v>
      </c>
    </row>
    <row r="8" spans="1:26" x14ac:dyDescent="0.25">
      <c r="A8" s="3" t="s">
        <v>62</v>
      </c>
      <c r="B8" s="7">
        <v>10</v>
      </c>
      <c r="C8" s="2"/>
      <c r="D8" s="3" t="s">
        <v>12</v>
      </c>
      <c r="E8" s="3" t="s">
        <v>17</v>
      </c>
      <c r="F8" s="3" t="str">
        <f t="shared" si="0"/>
        <v>HKG-AA1HKG-XX2</v>
      </c>
      <c r="G8" s="7">
        <v>10</v>
      </c>
      <c r="H8" s="2"/>
      <c r="I8" s="3" t="s">
        <v>40</v>
      </c>
      <c r="J8" s="7">
        <v>12</v>
      </c>
      <c r="K8" s="6"/>
      <c r="L8" s="2"/>
      <c r="M8" s="3" t="s">
        <v>40</v>
      </c>
      <c r="N8" s="3" t="s">
        <v>11</v>
      </c>
      <c r="X8">
        <f t="shared" si="1"/>
        <v>1</v>
      </c>
      <c r="Y8" t="str">
        <f t="shared" si="2"/>
        <v>HKG-GG3HKG-XX1</v>
      </c>
      <c r="Z8">
        <f t="shared" si="3"/>
        <v>1</v>
      </c>
    </row>
    <row r="9" spans="1:26" x14ac:dyDescent="0.25">
      <c r="A9" s="3" t="s">
        <v>70</v>
      </c>
      <c r="B9" s="7">
        <v>320</v>
      </c>
      <c r="C9" s="2"/>
      <c r="D9" s="3" t="s">
        <v>13</v>
      </c>
      <c r="E9" s="3" t="s">
        <v>39</v>
      </c>
      <c r="F9" s="3" t="str">
        <f t="shared" si="0"/>
        <v>HKG-AA2HKG-XX2</v>
      </c>
      <c r="G9" s="7">
        <v>20</v>
      </c>
      <c r="H9" s="2"/>
      <c r="I9" s="3" t="s">
        <v>41</v>
      </c>
      <c r="J9" s="7">
        <v>5</v>
      </c>
      <c r="K9" s="6"/>
      <c r="L9" s="2"/>
      <c r="M9" s="3" t="s">
        <v>41</v>
      </c>
      <c r="N9" s="3" t="s">
        <v>27</v>
      </c>
      <c r="X9">
        <f t="shared" si="1"/>
        <v>1</v>
      </c>
      <c r="Y9" t="str">
        <f t="shared" si="2"/>
        <v>HKG-GG4HKG-XX2</v>
      </c>
      <c r="Z9">
        <f t="shared" si="3"/>
        <v>1</v>
      </c>
    </row>
    <row r="10" spans="1:26" x14ac:dyDescent="0.25">
      <c r="A10" s="3" t="s">
        <v>72</v>
      </c>
      <c r="B10" s="7">
        <v>45</v>
      </c>
      <c r="C10" s="2"/>
      <c r="D10" s="3" t="s">
        <v>63</v>
      </c>
      <c r="E10" s="3" t="s">
        <v>62</v>
      </c>
      <c r="F10" s="3" t="str">
        <f t="shared" si="0"/>
        <v>HKG-AA3HKG-XX3</v>
      </c>
      <c r="G10" s="7">
        <v>50</v>
      </c>
      <c r="H10" s="2"/>
      <c r="I10" s="3" t="s">
        <v>42</v>
      </c>
      <c r="J10" s="7">
        <v>6</v>
      </c>
      <c r="K10" s="6"/>
      <c r="L10" s="2"/>
      <c r="M10" s="3" t="s">
        <v>42</v>
      </c>
      <c r="N10" s="3" t="s">
        <v>27</v>
      </c>
      <c r="X10">
        <f t="shared" si="1"/>
        <v>1</v>
      </c>
      <c r="Y10" t="str">
        <f t="shared" si="2"/>
        <v>HKG-GG5HKG-XX2</v>
      </c>
      <c r="Z10">
        <f t="shared" si="3"/>
        <v>1</v>
      </c>
    </row>
    <row r="11" spans="1:26" x14ac:dyDescent="0.25">
      <c r="A11" s="3"/>
      <c r="B11" s="7"/>
      <c r="C11" s="2"/>
      <c r="D11" s="3" t="s">
        <v>74</v>
      </c>
      <c r="E11" s="3" t="s">
        <v>69</v>
      </c>
      <c r="F11" s="3" t="str">
        <f t="shared" si="0"/>
        <v>HKG-AB1HKG-XX4</v>
      </c>
      <c r="G11" s="7">
        <v>10</v>
      </c>
      <c r="H11" s="2"/>
      <c r="I11" s="3" t="s">
        <v>64</v>
      </c>
      <c r="J11" s="7">
        <v>10</v>
      </c>
      <c r="K11" s="6"/>
      <c r="L11" s="2"/>
      <c r="M11" s="3" t="s">
        <v>68</v>
      </c>
      <c r="N11" s="3" t="s">
        <v>62</v>
      </c>
      <c r="X11">
        <f t="shared" si="1"/>
        <v>1</v>
      </c>
      <c r="Y11" t="str">
        <f t="shared" si="2"/>
        <v>HKG-GG3HKG-XX3</v>
      </c>
      <c r="Z11">
        <f t="shared" si="3"/>
        <v>1</v>
      </c>
    </row>
    <row r="12" spans="1:26" x14ac:dyDescent="0.25">
      <c r="A12" s="3"/>
      <c r="B12" s="7"/>
      <c r="C12" s="2"/>
      <c r="D12" s="3" t="s">
        <v>76</v>
      </c>
      <c r="E12" s="3" t="s">
        <v>69</v>
      </c>
      <c r="F12" s="3" t="str">
        <f t="shared" si="0"/>
        <v>HKG-AB2HKG-XX4</v>
      </c>
      <c r="G12" s="7">
        <v>20</v>
      </c>
      <c r="H12" s="2"/>
      <c r="I12" s="3" t="s">
        <v>77</v>
      </c>
      <c r="J12" s="7">
        <v>10</v>
      </c>
      <c r="K12" s="6"/>
      <c r="L12" s="2"/>
      <c r="M12" s="3" t="s">
        <v>85</v>
      </c>
      <c r="N12" s="3" t="s">
        <v>70</v>
      </c>
      <c r="X12">
        <f t="shared" si="1"/>
        <v>1</v>
      </c>
      <c r="Y12" t="str">
        <f t="shared" si="2"/>
        <v>HKG-GH1HKG-XX4</v>
      </c>
      <c r="Z12">
        <f t="shared" si="3"/>
        <v>1</v>
      </c>
    </row>
    <row r="13" spans="1:26" x14ac:dyDescent="0.25">
      <c r="A13" s="3"/>
      <c r="B13" s="7"/>
      <c r="C13" s="2"/>
      <c r="D13" s="3" t="s">
        <v>73</v>
      </c>
      <c r="E13" s="3" t="s">
        <v>71</v>
      </c>
      <c r="F13" s="3" t="str">
        <f t="shared" si="0"/>
        <v>HKG-AB1HKG-XX5</v>
      </c>
      <c r="G13" s="7">
        <v>10</v>
      </c>
      <c r="H13" s="2"/>
      <c r="I13" s="3" t="s">
        <v>78</v>
      </c>
      <c r="J13" s="7"/>
      <c r="K13" s="6">
        <v>1</v>
      </c>
      <c r="L13" s="2"/>
      <c r="M13" s="3" t="s">
        <v>86</v>
      </c>
      <c r="N13" s="3" t="s">
        <v>70</v>
      </c>
      <c r="X13">
        <f t="shared" si="1"/>
        <v>1</v>
      </c>
      <c r="Y13" t="str">
        <f t="shared" si="2"/>
        <v>HKG-GH2HKG-XX4</v>
      </c>
      <c r="Z13">
        <f t="shared" si="3"/>
        <v>1</v>
      </c>
    </row>
    <row r="14" spans="1:26" x14ac:dyDescent="0.25">
      <c r="A14" s="3"/>
      <c r="B14" s="7"/>
      <c r="C14" s="2"/>
      <c r="D14" s="3" t="s">
        <v>75</v>
      </c>
      <c r="E14" s="3" t="s">
        <v>71</v>
      </c>
      <c r="F14" s="3" t="str">
        <f t="shared" si="0"/>
        <v>HKG-AB2HKG-XX5</v>
      </c>
      <c r="G14" s="7">
        <v>20</v>
      </c>
      <c r="H14" s="2"/>
      <c r="I14" s="3" t="s">
        <v>79</v>
      </c>
      <c r="J14" s="7"/>
      <c r="K14" s="6">
        <v>0.8</v>
      </c>
      <c r="L14" s="2"/>
      <c r="M14" s="3" t="s">
        <v>87</v>
      </c>
      <c r="N14" s="3" t="s">
        <v>70</v>
      </c>
      <c r="X14">
        <f t="shared" si="1"/>
        <v>1</v>
      </c>
      <c r="Y14" t="str">
        <f t="shared" si="2"/>
        <v>HKG-GH3HKG-XX4</v>
      </c>
      <c r="Z14">
        <f t="shared" si="3"/>
        <v>1</v>
      </c>
    </row>
    <row r="15" spans="1:26" x14ac:dyDescent="0.25">
      <c r="A15" s="3"/>
      <c r="B15" s="7"/>
      <c r="C15" s="2"/>
      <c r="D15" s="3"/>
      <c r="E15" s="3"/>
      <c r="F15" s="3" t="str">
        <f t="shared" si="0"/>
        <v/>
      </c>
      <c r="G15" s="7"/>
      <c r="H15" s="2"/>
      <c r="I15" s="3" t="s">
        <v>80</v>
      </c>
      <c r="J15" s="7">
        <v>5</v>
      </c>
      <c r="K15" s="6"/>
      <c r="L15" s="2"/>
      <c r="M15" s="3" t="s">
        <v>89</v>
      </c>
      <c r="N15" s="3" t="s">
        <v>72</v>
      </c>
      <c r="X15">
        <f t="shared" si="1"/>
        <v>0</v>
      </c>
      <c r="Y15" t="str">
        <f t="shared" si="2"/>
        <v>HKG-GH4HKG-XX5</v>
      </c>
      <c r="Z15">
        <f t="shared" si="3"/>
        <v>1</v>
      </c>
    </row>
    <row r="16" spans="1:26" x14ac:dyDescent="0.25">
      <c r="A16" s="3"/>
      <c r="B16" s="7"/>
      <c r="C16" s="2"/>
      <c r="D16" s="3"/>
      <c r="E16" s="3"/>
      <c r="F16" s="3" t="str">
        <f t="shared" si="0"/>
        <v/>
      </c>
      <c r="G16" s="7"/>
      <c r="H16" s="2"/>
      <c r="I16" s="3" t="s">
        <v>81</v>
      </c>
      <c r="J16" s="7"/>
      <c r="K16" s="6">
        <v>1</v>
      </c>
      <c r="L16" s="2"/>
      <c r="M16" s="3" t="s">
        <v>88</v>
      </c>
      <c r="N16" s="3" t="s">
        <v>72</v>
      </c>
      <c r="X16">
        <f t="shared" si="1"/>
        <v>0</v>
      </c>
      <c r="Y16" t="str">
        <f t="shared" si="2"/>
        <v>HKG-GH5HKG-XX5</v>
      </c>
      <c r="Z16">
        <f t="shared" si="3"/>
        <v>1</v>
      </c>
    </row>
    <row r="17" spans="1:26" x14ac:dyDescent="0.25">
      <c r="A17" s="3"/>
      <c r="B17" s="7"/>
      <c r="C17" s="2"/>
      <c r="D17" s="3"/>
      <c r="E17" s="3"/>
      <c r="F17" s="3" t="str">
        <f t="shared" si="0"/>
        <v/>
      </c>
      <c r="G17" s="7"/>
      <c r="H17" s="2"/>
      <c r="I17" s="3"/>
      <c r="J17" s="7"/>
      <c r="K17" s="6"/>
      <c r="L17" s="2"/>
      <c r="M17" s="3"/>
      <c r="N17" s="3"/>
      <c r="X17">
        <f t="shared" si="1"/>
        <v>0</v>
      </c>
      <c r="Y17" t="str">
        <f t="shared" si="2"/>
        <v/>
      </c>
      <c r="Z17">
        <f t="shared" si="3"/>
        <v>0</v>
      </c>
    </row>
    <row r="18" spans="1:26" x14ac:dyDescent="0.25">
      <c r="A18" s="3"/>
      <c r="B18" s="7"/>
      <c r="C18" s="2"/>
      <c r="D18" s="3"/>
      <c r="E18" s="3"/>
      <c r="F18" s="3" t="str">
        <f t="shared" si="0"/>
        <v/>
      </c>
      <c r="G18" s="7"/>
      <c r="H18" s="2"/>
      <c r="I18" s="3"/>
      <c r="J18" s="7"/>
      <c r="K18" s="6"/>
      <c r="L18" s="2"/>
      <c r="M18" s="3"/>
      <c r="N18" s="3"/>
      <c r="X18">
        <f t="shared" si="1"/>
        <v>0</v>
      </c>
      <c r="Y18" t="str">
        <f t="shared" si="2"/>
        <v/>
      </c>
      <c r="Z18">
        <f t="shared" si="3"/>
        <v>0</v>
      </c>
    </row>
    <row r="19" spans="1:26" x14ac:dyDescent="0.25">
      <c r="A19" s="3"/>
      <c r="B19" s="7"/>
      <c r="C19" s="2"/>
      <c r="D19" s="3"/>
      <c r="E19" s="3"/>
      <c r="F19" s="3" t="str">
        <f t="shared" si="0"/>
        <v/>
      </c>
      <c r="G19" s="7"/>
      <c r="H19" s="2"/>
      <c r="I19" s="3"/>
      <c r="J19" s="7"/>
      <c r="K19" s="6"/>
      <c r="L19" s="2"/>
      <c r="M19" s="3"/>
      <c r="N19" s="3"/>
      <c r="X19">
        <f t="shared" si="1"/>
        <v>0</v>
      </c>
      <c r="Y19" t="str">
        <f t="shared" si="2"/>
        <v/>
      </c>
      <c r="Z19">
        <f t="shared" si="3"/>
        <v>0</v>
      </c>
    </row>
    <row r="20" spans="1:26" x14ac:dyDescent="0.25">
      <c r="A20" s="3"/>
      <c r="B20" s="7"/>
      <c r="C20" s="2"/>
      <c r="D20" s="3"/>
      <c r="E20" s="3"/>
      <c r="F20" s="3" t="str">
        <f t="shared" si="0"/>
        <v/>
      </c>
      <c r="G20" s="7"/>
      <c r="H20" s="2"/>
      <c r="I20" s="3"/>
      <c r="J20" s="7"/>
      <c r="K20" s="6"/>
      <c r="L20" s="2"/>
      <c r="M20" s="3"/>
      <c r="N20" s="3"/>
      <c r="X20">
        <f t="shared" si="1"/>
        <v>0</v>
      </c>
      <c r="Y20" t="str">
        <f t="shared" si="2"/>
        <v/>
      </c>
      <c r="Z20">
        <f t="shared" si="3"/>
        <v>0</v>
      </c>
    </row>
    <row r="21" spans="1:26" x14ac:dyDescent="0.25">
      <c r="A21" s="3"/>
      <c r="B21" s="7"/>
      <c r="C21" s="2"/>
      <c r="D21" s="3"/>
      <c r="E21" s="3"/>
      <c r="F21" s="3" t="str">
        <f t="shared" si="0"/>
        <v/>
      </c>
      <c r="G21" s="7"/>
      <c r="H21" s="2"/>
      <c r="I21" s="3"/>
      <c r="J21" s="7"/>
      <c r="K21" s="6"/>
      <c r="L21" s="2"/>
      <c r="M21" s="3"/>
      <c r="N21" s="3"/>
      <c r="X21">
        <f t="shared" si="1"/>
        <v>0</v>
      </c>
      <c r="Y21" t="str">
        <f t="shared" si="2"/>
        <v/>
      </c>
      <c r="Z21">
        <f t="shared" si="3"/>
        <v>0</v>
      </c>
    </row>
    <row r="22" spans="1:26" x14ac:dyDescent="0.25">
      <c r="A22" s="3"/>
      <c r="B22" s="7"/>
      <c r="C22" s="2"/>
      <c r="D22" s="3"/>
      <c r="E22" s="3"/>
      <c r="F22" s="3" t="str">
        <f t="shared" si="0"/>
        <v/>
      </c>
      <c r="G22" s="7"/>
      <c r="H22" s="2"/>
      <c r="I22" s="3"/>
      <c r="J22" s="7"/>
      <c r="K22" s="6"/>
      <c r="L22" s="2"/>
      <c r="M22" s="3"/>
      <c r="N22" s="3"/>
      <c r="X22">
        <f t="shared" si="1"/>
        <v>0</v>
      </c>
      <c r="Y22" t="str">
        <f t="shared" si="2"/>
        <v/>
      </c>
      <c r="Z22">
        <f t="shared" si="3"/>
        <v>0</v>
      </c>
    </row>
    <row r="23" spans="1:26" x14ac:dyDescent="0.25">
      <c r="A23" s="3"/>
      <c r="B23" s="7"/>
      <c r="C23" s="2"/>
      <c r="D23" s="3"/>
      <c r="E23" s="3"/>
      <c r="F23" s="3" t="str">
        <f t="shared" si="0"/>
        <v/>
      </c>
      <c r="G23" s="7"/>
      <c r="H23" s="2"/>
      <c r="I23" s="3"/>
      <c r="J23" s="7"/>
      <c r="K23" s="6"/>
      <c r="L23" s="2"/>
      <c r="M23" s="3"/>
      <c r="N23" s="3"/>
      <c r="X23">
        <f t="shared" si="1"/>
        <v>0</v>
      </c>
      <c r="Y23" t="str">
        <f t="shared" si="2"/>
        <v/>
      </c>
      <c r="Z23">
        <f t="shared" si="3"/>
        <v>0</v>
      </c>
    </row>
    <row r="24" spans="1:26" x14ac:dyDescent="0.25">
      <c r="A24" s="3"/>
      <c r="B24" s="7"/>
      <c r="C24" s="2"/>
      <c r="D24" s="3"/>
      <c r="E24" s="3"/>
      <c r="F24" s="3" t="str">
        <f t="shared" si="0"/>
        <v/>
      </c>
      <c r="G24" s="7"/>
      <c r="H24" s="2"/>
      <c r="I24" s="3"/>
      <c r="J24" s="7"/>
      <c r="K24" s="6"/>
      <c r="L24" s="2"/>
      <c r="M24" s="3"/>
      <c r="N24" s="3"/>
      <c r="X24">
        <f t="shared" si="1"/>
        <v>0</v>
      </c>
      <c r="Y24" t="str">
        <f t="shared" si="2"/>
        <v/>
      </c>
      <c r="Z24">
        <f t="shared" si="3"/>
        <v>0</v>
      </c>
    </row>
    <row r="25" spans="1:26" x14ac:dyDescent="0.25">
      <c r="A25" s="3"/>
      <c r="B25" s="7"/>
      <c r="C25" s="2"/>
      <c r="D25" s="3"/>
      <c r="E25" s="3"/>
      <c r="F25" s="3" t="str">
        <f t="shared" si="0"/>
        <v/>
      </c>
      <c r="G25" s="7"/>
      <c r="H25" s="2"/>
      <c r="I25" s="3"/>
      <c r="J25" s="7"/>
      <c r="K25" s="6"/>
      <c r="L25" s="2"/>
      <c r="M25" s="3"/>
      <c r="N25" s="3"/>
      <c r="X25">
        <f t="shared" si="1"/>
        <v>0</v>
      </c>
      <c r="Y25" t="str">
        <f t="shared" si="2"/>
        <v/>
      </c>
      <c r="Z25">
        <f t="shared" si="3"/>
        <v>0</v>
      </c>
    </row>
    <row r="26" spans="1:26" x14ac:dyDescent="0.25">
      <c r="A26" s="3"/>
      <c r="B26" s="7"/>
      <c r="C26" s="2"/>
      <c r="D26" s="3"/>
      <c r="E26" s="3"/>
      <c r="F26" s="3" t="str">
        <f t="shared" si="0"/>
        <v/>
      </c>
      <c r="G26" s="7"/>
      <c r="H26" s="2"/>
      <c r="I26" s="3"/>
      <c r="J26" s="7"/>
      <c r="K26" s="6"/>
      <c r="L26" s="2"/>
      <c r="M26" s="3"/>
      <c r="N26" s="3"/>
      <c r="X26">
        <f t="shared" si="1"/>
        <v>0</v>
      </c>
      <c r="Y26" t="str">
        <f t="shared" si="2"/>
        <v/>
      </c>
      <c r="Z26">
        <f t="shared" si="3"/>
        <v>0</v>
      </c>
    </row>
    <row r="27" spans="1:26" x14ac:dyDescent="0.25">
      <c r="A27" s="3"/>
      <c r="B27" s="7"/>
      <c r="C27" s="2"/>
      <c r="D27" s="3"/>
      <c r="E27" s="3"/>
      <c r="F27" s="3" t="str">
        <f t="shared" si="0"/>
        <v/>
      </c>
      <c r="G27" s="7"/>
      <c r="H27" s="2"/>
      <c r="I27" s="3"/>
      <c r="J27" s="7"/>
      <c r="K27" s="6"/>
      <c r="L27" s="2"/>
      <c r="M27" s="3"/>
      <c r="N27" s="3"/>
      <c r="X27">
        <f t="shared" si="1"/>
        <v>0</v>
      </c>
      <c r="Y27" t="str">
        <f t="shared" si="2"/>
        <v/>
      </c>
      <c r="Z27">
        <f t="shared" si="3"/>
        <v>0</v>
      </c>
    </row>
    <row r="28" spans="1:26" x14ac:dyDescent="0.25">
      <c r="A28" s="3"/>
      <c r="B28" s="7"/>
      <c r="C28" s="2"/>
      <c r="D28" s="3"/>
      <c r="E28" s="3"/>
      <c r="F28" s="3" t="str">
        <f t="shared" si="0"/>
        <v/>
      </c>
      <c r="G28" s="7"/>
      <c r="H28" s="2"/>
      <c r="I28" s="3"/>
      <c r="J28" s="7"/>
      <c r="K28" s="6"/>
      <c r="L28" s="2"/>
      <c r="M28" s="3"/>
      <c r="N28" s="3"/>
      <c r="X28">
        <f t="shared" si="1"/>
        <v>0</v>
      </c>
      <c r="Y28" t="str">
        <f t="shared" si="2"/>
        <v/>
      </c>
      <c r="Z28">
        <f t="shared" si="3"/>
        <v>0</v>
      </c>
    </row>
    <row r="29" spans="1:26" x14ac:dyDescent="0.25">
      <c r="A29" s="3"/>
      <c r="B29" s="7"/>
      <c r="C29" s="2"/>
      <c r="D29" s="3"/>
      <c r="E29" s="3"/>
      <c r="F29" s="3" t="str">
        <f t="shared" si="0"/>
        <v/>
      </c>
      <c r="G29" s="7"/>
      <c r="H29" s="2"/>
      <c r="I29" s="3"/>
      <c r="J29" s="7"/>
      <c r="K29" s="6"/>
      <c r="L29" s="2"/>
      <c r="M29" s="3"/>
      <c r="N29" s="3"/>
      <c r="X29">
        <f t="shared" si="1"/>
        <v>0</v>
      </c>
      <c r="Y29" t="str">
        <f t="shared" si="2"/>
        <v/>
      </c>
      <c r="Z29">
        <f t="shared" si="3"/>
        <v>0</v>
      </c>
    </row>
    <row r="30" spans="1:26" x14ac:dyDescent="0.25">
      <c r="A30" s="3"/>
      <c r="B30" s="7"/>
      <c r="C30" s="2"/>
      <c r="D30" s="3"/>
      <c r="E30" s="3"/>
      <c r="F30" s="3" t="str">
        <f t="shared" si="0"/>
        <v/>
      </c>
      <c r="G30" s="7"/>
      <c r="H30" s="2"/>
      <c r="I30" s="3"/>
      <c r="J30" s="7"/>
      <c r="K30" s="6"/>
      <c r="L30" s="2"/>
      <c r="M30" s="3"/>
      <c r="N30" s="3"/>
      <c r="X30">
        <f t="shared" si="1"/>
        <v>0</v>
      </c>
      <c r="Y30" t="str">
        <f t="shared" si="2"/>
        <v/>
      </c>
      <c r="Z30">
        <f t="shared" si="3"/>
        <v>0</v>
      </c>
    </row>
    <row r="31" spans="1:26" x14ac:dyDescent="0.25">
      <c r="A31" s="3"/>
      <c r="B31" s="7"/>
      <c r="C31" s="2"/>
      <c r="D31" s="3"/>
      <c r="E31" s="3"/>
      <c r="F31" s="3" t="str">
        <f t="shared" si="0"/>
        <v/>
      </c>
      <c r="G31" s="7"/>
      <c r="H31" s="2"/>
      <c r="I31" s="3"/>
      <c r="J31" s="7"/>
      <c r="K31" s="6"/>
      <c r="L31" s="2"/>
      <c r="M31" s="3"/>
      <c r="N31" s="3"/>
      <c r="X31">
        <f t="shared" si="1"/>
        <v>0</v>
      </c>
      <c r="Y31" t="str">
        <f t="shared" si="2"/>
        <v/>
      </c>
      <c r="Z31">
        <f t="shared" si="3"/>
        <v>0</v>
      </c>
    </row>
    <row r="32" spans="1:26" x14ac:dyDescent="0.25">
      <c r="A32" s="3"/>
      <c r="B32" s="7"/>
      <c r="C32" s="2"/>
      <c r="D32" s="3"/>
      <c r="E32" s="3"/>
      <c r="F32" s="3" t="str">
        <f t="shared" si="0"/>
        <v/>
      </c>
      <c r="G32" s="7"/>
      <c r="H32" s="2"/>
      <c r="I32" s="3"/>
      <c r="J32" s="7"/>
      <c r="K32" s="6"/>
      <c r="L32" s="2"/>
      <c r="M32" s="3"/>
      <c r="N32" s="3"/>
      <c r="X32">
        <f t="shared" si="1"/>
        <v>0</v>
      </c>
      <c r="Y32" t="str">
        <f t="shared" si="2"/>
        <v/>
      </c>
      <c r="Z32">
        <f t="shared" si="3"/>
        <v>0</v>
      </c>
    </row>
    <row r="33" spans="1:26" x14ac:dyDescent="0.25">
      <c r="A33" s="3"/>
      <c r="B33" s="7"/>
      <c r="C33" s="2"/>
      <c r="D33" s="3"/>
      <c r="E33" s="3"/>
      <c r="F33" s="3" t="str">
        <f t="shared" si="0"/>
        <v/>
      </c>
      <c r="G33" s="7"/>
      <c r="H33" s="2"/>
      <c r="I33" s="3"/>
      <c r="J33" s="7"/>
      <c r="K33" s="6"/>
      <c r="L33" s="2"/>
      <c r="M33" s="3"/>
      <c r="N33" s="3"/>
      <c r="X33">
        <f t="shared" si="1"/>
        <v>0</v>
      </c>
      <c r="Y33" t="str">
        <f t="shared" si="2"/>
        <v/>
      </c>
      <c r="Z33">
        <f t="shared" si="3"/>
        <v>0</v>
      </c>
    </row>
    <row r="34" spans="1:26" x14ac:dyDescent="0.25">
      <c r="A34" s="3"/>
      <c r="B34" s="7"/>
      <c r="C34" s="2"/>
      <c r="D34" s="3"/>
      <c r="E34" s="3"/>
      <c r="F34" s="3" t="str">
        <f t="shared" si="0"/>
        <v/>
      </c>
      <c r="G34" s="7"/>
      <c r="H34" s="2"/>
      <c r="I34" s="3"/>
      <c r="J34" s="7"/>
      <c r="K34" s="6"/>
      <c r="L34" s="2"/>
      <c r="M34" s="3"/>
      <c r="N34" s="3"/>
      <c r="X34">
        <f t="shared" si="1"/>
        <v>0</v>
      </c>
      <c r="Y34" t="str">
        <f t="shared" si="2"/>
        <v/>
      </c>
      <c r="Z34">
        <f t="shared" si="3"/>
        <v>0</v>
      </c>
    </row>
    <row r="35" spans="1:26" x14ac:dyDescent="0.25">
      <c r="A35" s="3"/>
      <c r="B35" s="7"/>
      <c r="C35" s="2"/>
      <c r="D35" s="3"/>
      <c r="E35" s="3"/>
      <c r="F35" s="3" t="str">
        <f t="shared" si="0"/>
        <v/>
      </c>
      <c r="G35" s="7"/>
      <c r="H35" s="2"/>
      <c r="I35" s="3"/>
      <c r="J35" s="7"/>
      <c r="K35" s="6"/>
      <c r="L35" s="2"/>
      <c r="M35" s="3"/>
      <c r="N35" s="3"/>
      <c r="X35">
        <f t="shared" si="1"/>
        <v>0</v>
      </c>
      <c r="Y35" t="str">
        <f t="shared" si="2"/>
        <v/>
      </c>
      <c r="Z35">
        <f t="shared" si="3"/>
        <v>0</v>
      </c>
    </row>
    <row r="36" spans="1:26" x14ac:dyDescent="0.25">
      <c r="A36" s="3"/>
      <c r="B36" s="7"/>
      <c r="C36" s="2"/>
      <c r="D36" s="3"/>
      <c r="E36" s="3"/>
      <c r="F36" s="3" t="str">
        <f t="shared" si="0"/>
        <v/>
      </c>
      <c r="G36" s="7"/>
      <c r="H36" s="2"/>
      <c r="I36" s="3"/>
      <c r="J36" s="7"/>
      <c r="K36" s="6"/>
      <c r="L36" s="2"/>
      <c r="M36" s="3"/>
      <c r="N36" s="3"/>
      <c r="X36">
        <f t="shared" si="1"/>
        <v>0</v>
      </c>
      <c r="Y36" t="str">
        <f t="shared" si="2"/>
        <v/>
      </c>
      <c r="Z36">
        <f t="shared" si="3"/>
        <v>0</v>
      </c>
    </row>
    <row r="37" spans="1:26" x14ac:dyDescent="0.25">
      <c r="A37" s="3"/>
      <c r="B37" s="7"/>
      <c r="C37" s="2"/>
      <c r="D37" s="3"/>
      <c r="E37" s="3"/>
      <c r="F37" s="3" t="str">
        <f t="shared" si="0"/>
        <v/>
      </c>
      <c r="G37" s="7"/>
      <c r="H37" s="2"/>
      <c r="I37" s="3"/>
      <c r="J37" s="7"/>
      <c r="K37" s="6"/>
      <c r="L37" s="2"/>
      <c r="M37" s="3"/>
      <c r="N37" s="3"/>
      <c r="X37">
        <f t="shared" si="1"/>
        <v>0</v>
      </c>
      <c r="Y37" t="str">
        <f t="shared" si="2"/>
        <v/>
      </c>
      <c r="Z37">
        <f t="shared" si="3"/>
        <v>0</v>
      </c>
    </row>
    <row r="38" spans="1:26" x14ac:dyDescent="0.25">
      <c r="A38" s="3"/>
      <c r="B38" s="7"/>
      <c r="C38" s="2"/>
      <c r="D38" s="3"/>
      <c r="E38" s="3"/>
      <c r="F38" s="3" t="str">
        <f t="shared" si="0"/>
        <v/>
      </c>
      <c r="G38" s="7"/>
      <c r="H38" s="2"/>
      <c r="I38" s="3"/>
      <c r="J38" s="7"/>
      <c r="K38" s="6"/>
      <c r="L38" s="2"/>
      <c r="M38" s="3"/>
      <c r="N38" s="3"/>
      <c r="X38">
        <f t="shared" si="1"/>
        <v>0</v>
      </c>
      <c r="Y38" t="str">
        <f t="shared" si="2"/>
        <v/>
      </c>
      <c r="Z38">
        <f t="shared" si="3"/>
        <v>0</v>
      </c>
    </row>
    <row r="39" spans="1:26" x14ac:dyDescent="0.25">
      <c r="A39" s="3"/>
      <c r="B39" s="7"/>
      <c r="C39" s="2"/>
      <c r="D39" s="3"/>
      <c r="E39" s="3"/>
      <c r="F39" s="3" t="str">
        <f t="shared" si="0"/>
        <v/>
      </c>
      <c r="G39" s="7"/>
      <c r="H39" s="2"/>
      <c r="I39" s="3"/>
      <c r="J39" s="7"/>
      <c r="K39" s="6"/>
      <c r="L39" s="2"/>
      <c r="M39" s="3"/>
      <c r="N39" s="3"/>
      <c r="X39">
        <f t="shared" si="1"/>
        <v>0</v>
      </c>
      <c r="Y39" t="str">
        <f t="shared" si="2"/>
        <v/>
      </c>
      <c r="Z39">
        <f t="shared" si="3"/>
        <v>0</v>
      </c>
    </row>
    <row r="40" spans="1:26" x14ac:dyDescent="0.25">
      <c r="A40" s="3"/>
      <c r="B40" s="7"/>
      <c r="C40" s="2"/>
      <c r="D40" s="3"/>
      <c r="E40" s="3"/>
      <c r="F40" s="3" t="str">
        <f t="shared" si="0"/>
        <v/>
      </c>
      <c r="G40" s="7"/>
      <c r="H40" s="2"/>
      <c r="I40" s="3"/>
      <c r="J40" s="7"/>
      <c r="K40" s="6"/>
      <c r="L40" s="2"/>
      <c r="M40" s="3"/>
      <c r="N40" s="3"/>
      <c r="X40">
        <f t="shared" si="1"/>
        <v>0</v>
      </c>
      <c r="Y40" t="str">
        <f t="shared" si="2"/>
        <v/>
      </c>
      <c r="Z40">
        <f t="shared" si="3"/>
        <v>0</v>
      </c>
    </row>
    <row r="41" spans="1:26" x14ac:dyDescent="0.25">
      <c r="A41" s="3"/>
      <c r="B41" s="7"/>
      <c r="C41" s="2"/>
      <c r="D41" s="3"/>
      <c r="E41" s="3"/>
      <c r="F41" s="3" t="str">
        <f t="shared" si="0"/>
        <v/>
      </c>
      <c r="G41" s="7"/>
      <c r="H41" s="2"/>
      <c r="I41" s="3"/>
      <c r="J41" s="7"/>
      <c r="K41" s="6"/>
      <c r="L41" s="2"/>
      <c r="M41" s="3"/>
      <c r="N41" s="3"/>
      <c r="X41">
        <f t="shared" si="1"/>
        <v>0</v>
      </c>
      <c r="Y41" t="str">
        <f t="shared" si="2"/>
        <v/>
      </c>
      <c r="Z41">
        <f t="shared" si="3"/>
        <v>0</v>
      </c>
    </row>
    <row r="42" spans="1:26" x14ac:dyDescent="0.25">
      <c r="A42" s="3"/>
      <c r="B42" s="7"/>
      <c r="C42" s="2"/>
      <c r="D42" s="3"/>
      <c r="E42" s="3"/>
      <c r="F42" s="3" t="str">
        <f t="shared" si="0"/>
        <v/>
      </c>
      <c r="G42" s="7"/>
      <c r="H42" s="2"/>
      <c r="I42" s="3"/>
      <c r="J42" s="7"/>
      <c r="K42" s="6"/>
      <c r="L42" s="2"/>
      <c r="M42" s="3"/>
      <c r="N42" s="3"/>
      <c r="X42">
        <f t="shared" si="1"/>
        <v>0</v>
      </c>
      <c r="Y42" t="str">
        <f t="shared" si="2"/>
        <v/>
      </c>
      <c r="Z42">
        <f t="shared" si="3"/>
        <v>0</v>
      </c>
    </row>
    <row r="43" spans="1:26" x14ac:dyDescent="0.25">
      <c r="A43" s="3"/>
      <c r="B43" s="7"/>
      <c r="C43" s="2"/>
      <c r="D43" s="3"/>
      <c r="E43" s="3"/>
      <c r="F43" s="3" t="str">
        <f t="shared" si="0"/>
        <v/>
      </c>
      <c r="G43" s="7"/>
      <c r="H43" s="2"/>
      <c r="I43" s="3"/>
      <c r="J43" s="7"/>
      <c r="K43" s="6"/>
      <c r="L43" s="2"/>
      <c r="M43" s="3"/>
      <c r="N43" s="3"/>
      <c r="X43">
        <f t="shared" si="1"/>
        <v>0</v>
      </c>
      <c r="Y43" t="str">
        <f t="shared" si="2"/>
        <v/>
      </c>
      <c r="Z43">
        <f t="shared" si="3"/>
        <v>0</v>
      </c>
    </row>
    <row r="44" spans="1:26" x14ac:dyDescent="0.25">
      <c r="A44" s="3"/>
      <c r="B44" s="7"/>
      <c r="C44" s="2"/>
      <c r="D44" s="3"/>
      <c r="E44" s="3"/>
      <c r="F44" s="3" t="str">
        <f t="shared" si="0"/>
        <v/>
      </c>
      <c r="G44" s="7"/>
      <c r="H44" s="2"/>
      <c r="I44" s="3"/>
      <c r="J44" s="7"/>
      <c r="K44" s="6"/>
      <c r="L44" s="2"/>
      <c r="M44" s="3"/>
      <c r="N44" s="3"/>
      <c r="X44">
        <f t="shared" si="1"/>
        <v>0</v>
      </c>
      <c r="Y44" t="str">
        <f t="shared" si="2"/>
        <v/>
      </c>
      <c r="Z44">
        <f t="shared" si="3"/>
        <v>0</v>
      </c>
    </row>
    <row r="45" spans="1:26" x14ac:dyDescent="0.25">
      <c r="A45" s="3"/>
      <c r="B45" s="7"/>
      <c r="C45" s="2"/>
      <c r="D45" s="3"/>
      <c r="E45" s="3"/>
      <c r="F45" s="3" t="str">
        <f t="shared" si="0"/>
        <v/>
      </c>
      <c r="G45" s="7"/>
      <c r="H45" s="2"/>
      <c r="I45" s="3"/>
      <c r="J45" s="7"/>
      <c r="K45" s="6"/>
      <c r="L45" s="2"/>
      <c r="M45" s="3"/>
      <c r="N45" s="3"/>
      <c r="X45">
        <f t="shared" si="1"/>
        <v>0</v>
      </c>
      <c r="Y45" t="str">
        <f t="shared" si="2"/>
        <v/>
      </c>
      <c r="Z45">
        <f t="shared" si="3"/>
        <v>0</v>
      </c>
    </row>
    <row r="46" spans="1:26" x14ac:dyDescent="0.25">
      <c r="A46" s="3"/>
      <c r="B46" s="7"/>
      <c r="C46" s="2"/>
      <c r="D46" s="3"/>
      <c r="E46" s="3"/>
      <c r="F46" s="3" t="str">
        <f t="shared" si="0"/>
        <v/>
      </c>
      <c r="G46" s="7"/>
      <c r="H46" s="2"/>
      <c r="I46" s="3"/>
      <c r="J46" s="7"/>
      <c r="K46" s="6"/>
      <c r="L46" s="2"/>
      <c r="M46" s="3"/>
      <c r="N46" s="3"/>
      <c r="X46">
        <f t="shared" si="1"/>
        <v>0</v>
      </c>
      <c r="Y46" t="str">
        <f t="shared" si="2"/>
        <v/>
      </c>
      <c r="Z46">
        <f t="shared" si="3"/>
        <v>0</v>
      </c>
    </row>
    <row r="47" spans="1:26" x14ac:dyDescent="0.25">
      <c r="A47" s="3"/>
      <c r="B47" s="7"/>
      <c r="C47" s="2"/>
      <c r="D47" s="3"/>
      <c r="E47" s="3"/>
      <c r="F47" s="3" t="str">
        <f t="shared" si="0"/>
        <v/>
      </c>
      <c r="G47" s="7"/>
      <c r="H47" s="2"/>
      <c r="I47" s="3"/>
      <c r="J47" s="7"/>
      <c r="K47" s="6"/>
      <c r="L47" s="2"/>
      <c r="M47" s="3"/>
      <c r="N47" s="3"/>
      <c r="X47">
        <f t="shared" si="1"/>
        <v>0</v>
      </c>
      <c r="Y47" t="str">
        <f t="shared" si="2"/>
        <v/>
      </c>
      <c r="Z47">
        <f t="shared" si="3"/>
        <v>0</v>
      </c>
    </row>
    <row r="48" spans="1:26" x14ac:dyDescent="0.25">
      <c r="A48" s="3"/>
      <c r="B48" s="7"/>
      <c r="C48" s="2"/>
      <c r="D48" s="3"/>
      <c r="E48" s="3"/>
      <c r="F48" s="3" t="str">
        <f t="shared" si="0"/>
        <v/>
      </c>
      <c r="G48" s="7"/>
      <c r="H48" s="2"/>
      <c r="I48" s="3"/>
      <c r="J48" s="7"/>
      <c r="K48" s="6"/>
      <c r="L48" s="2"/>
      <c r="M48" s="3"/>
      <c r="N48" s="3"/>
      <c r="X48">
        <f t="shared" si="1"/>
        <v>0</v>
      </c>
      <c r="Y48" t="str">
        <f t="shared" si="2"/>
        <v/>
      </c>
      <c r="Z48">
        <f t="shared" si="3"/>
        <v>0</v>
      </c>
    </row>
    <row r="49" spans="1:26" x14ac:dyDescent="0.25">
      <c r="A49" s="3"/>
      <c r="B49" s="7"/>
      <c r="C49" s="2"/>
      <c r="D49" s="3"/>
      <c r="E49" s="3"/>
      <c r="F49" s="3" t="str">
        <f t="shared" si="0"/>
        <v/>
      </c>
      <c r="G49" s="7"/>
      <c r="H49" s="2"/>
      <c r="I49" s="3"/>
      <c r="J49" s="7"/>
      <c r="K49" s="6"/>
      <c r="L49" s="2"/>
      <c r="M49" s="3"/>
      <c r="N49" s="3"/>
      <c r="X49">
        <f t="shared" si="1"/>
        <v>0</v>
      </c>
      <c r="Y49" t="str">
        <f t="shared" si="2"/>
        <v/>
      </c>
      <c r="Z49">
        <f t="shared" si="3"/>
        <v>0</v>
      </c>
    </row>
    <row r="50" spans="1:26" x14ac:dyDescent="0.25">
      <c r="A50" s="3"/>
      <c r="B50" s="7"/>
      <c r="C50" s="2"/>
      <c r="D50" s="3"/>
      <c r="E50" s="3"/>
      <c r="F50" s="3" t="str">
        <f t="shared" si="0"/>
        <v/>
      </c>
      <c r="G50" s="7"/>
      <c r="H50" s="2"/>
      <c r="I50" s="3"/>
      <c r="J50" s="7"/>
      <c r="K50" s="6"/>
      <c r="L50" s="2"/>
      <c r="M50" s="3"/>
      <c r="N50" s="3"/>
      <c r="X50">
        <f t="shared" si="1"/>
        <v>0</v>
      </c>
      <c r="Y50" t="str">
        <f t="shared" si="2"/>
        <v/>
      </c>
      <c r="Z50">
        <f t="shared" si="3"/>
        <v>0</v>
      </c>
    </row>
    <row r="51" spans="1:26" x14ac:dyDescent="0.25">
      <c r="A51" s="3"/>
      <c r="B51" s="7"/>
      <c r="C51" s="2"/>
      <c r="D51" s="3"/>
      <c r="E51" s="3"/>
      <c r="F51" s="3" t="str">
        <f t="shared" si="0"/>
        <v/>
      </c>
      <c r="G51" s="7"/>
      <c r="H51" s="2"/>
      <c r="I51" s="3"/>
      <c r="J51" s="7"/>
      <c r="K51" s="6"/>
      <c r="L51" s="2"/>
      <c r="M51" s="3"/>
      <c r="N51" s="3"/>
      <c r="X51">
        <f t="shared" si="1"/>
        <v>0</v>
      </c>
      <c r="Y51" t="str">
        <f t="shared" si="2"/>
        <v/>
      </c>
      <c r="Z51">
        <f t="shared" si="3"/>
        <v>0</v>
      </c>
    </row>
    <row r="52" spans="1:26" x14ac:dyDescent="0.25">
      <c r="A52" s="3"/>
      <c r="B52" s="7"/>
      <c r="C52" s="2"/>
      <c r="D52" s="3"/>
      <c r="E52" s="3"/>
      <c r="F52" s="3" t="str">
        <f t="shared" si="0"/>
        <v/>
      </c>
      <c r="G52" s="7"/>
      <c r="H52" s="2"/>
      <c r="I52" s="3"/>
      <c r="J52" s="7"/>
      <c r="K52" s="6"/>
      <c r="L52" s="2"/>
      <c r="M52" s="3"/>
      <c r="N52" s="3"/>
      <c r="X52">
        <f t="shared" si="1"/>
        <v>0</v>
      </c>
      <c r="Y52" t="str">
        <f t="shared" si="2"/>
        <v/>
      </c>
      <c r="Z52">
        <f t="shared" si="3"/>
        <v>0</v>
      </c>
    </row>
    <row r="53" spans="1:26" x14ac:dyDescent="0.25">
      <c r="A53" s="3"/>
      <c r="B53" s="7"/>
      <c r="C53" s="2"/>
      <c r="D53" s="3"/>
      <c r="E53" s="3"/>
      <c r="F53" s="3" t="str">
        <f t="shared" si="0"/>
        <v/>
      </c>
      <c r="G53" s="7"/>
      <c r="H53" s="2"/>
      <c r="I53" s="3"/>
      <c r="J53" s="7"/>
      <c r="K53" s="6"/>
      <c r="L53" s="2"/>
      <c r="M53" s="3"/>
      <c r="N53" s="3"/>
      <c r="X53">
        <f t="shared" si="1"/>
        <v>0</v>
      </c>
      <c r="Y53" t="str">
        <f t="shared" si="2"/>
        <v/>
      </c>
      <c r="Z53">
        <f t="shared" si="3"/>
        <v>0</v>
      </c>
    </row>
    <row r="54" spans="1:26" x14ac:dyDescent="0.25">
      <c r="A54" s="3"/>
      <c r="B54" s="7"/>
      <c r="C54" s="2"/>
      <c r="D54" s="3"/>
      <c r="E54" s="3"/>
      <c r="F54" s="3" t="str">
        <f t="shared" si="0"/>
        <v/>
      </c>
      <c r="G54" s="7"/>
      <c r="H54" s="2"/>
      <c r="I54" s="3"/>
      <c r="J54" s="7"/>
      <c r="K54" s="6"/>
      <c r="L54" s="2"/>
      <c r="M54" s="3"/>
      <c r="N54" s="3"/>
      <c r="X54">
        <f t="shared" si="1"/>
        <v>0</v>
      </c>
      <c r="Y54" t="str">
        <f t="shared" si="2"/>
        <v/>
      </c>
      <c r="Z54">
        <f t="shared" si="3"/>
        <v>0</v>
      </c>
    </row>
    <row r="55" spans="1:26" x14ac:dyDescent="0.25">
      <c r="A55" s="3"/>
      <c r="B55" s="7"/>
      <c r="C55" s="2"/>
      <c r="D55" s="3"/>
      <c r="E55" s="3"/>
      <c r="F55" s="3" t="str">
        <f t="shared" si="0"/>
        <v/>
      </c>
      <c r="G55" s="7"/>
      <c r="H55" s="2"/>
      <c r="I55" s="3"/>
      <c r="J55" s="7"/>
      <c r="K55" s="6"/>
      <c r="L55" s="2"/>
      <c r="M55" s="3"/>
      <c r="N55" s="3"/>
      <c r="X55">
        <f t="shared" si="1"/>
        <v>0</v>
      </c>
      <c r="Y55" t="str">
        <f t="shared" si="2"/>
        <v/>
      </c>
      <c r="Z55">
        <f t="shared" si="3"/>
        <v>0</v>
      </c>
    </row>
    <row r="56" spans="1:26" x14ac:dyDescent="0.25">
      <c r="A56" s="3"/>
      <c r="B56" s="7"/>
      <c r="C56" s="2"/>
      <c r="D56" s="3"/>
      <c r="E56" s="3"/>
      <c r="F56" s="3" t="str">
        <f t="shared" si="0"/>
        <v/>
      </c>
      <c r="G56" s="7"/>
      <c r="H56" s="2"/>
      <c r="I56" s="3"/>
      <c r="J56" s="7"/>
      <c r="K56" s="6"/>
      <c r="L56" s="2"/>
      <c r="M56" s="3"/>
      <c r="N56" s="3"/>
      <c r="X56">
        <f t="shared" si="1"/>
        <v>0</v>
      </c>
      <c r="Y56" t="str">
        <f t="shared" si="2"/>
        <v/>
      </c>
      <c r="Z56">
        <f t="shared" si="3"/>
        <v>0</v>
      </c>
    </row>
    <row r="57" spans="1:26" x14ac:dyDescent="0.25">
      <c r="A57" s="3"/>
      <c r="B57" s="7"/>
      <c r="C57" s="2"/>
      <c r="D57" s="3"/>
      <c r="E57" s="3"/>
      <c r="F57" s="3" t="str">
        <f t="shared" si="0"/>
        <v/>
      </c>
      <c r="G57" s="7"/>
      <c r="H57" s="2"/>
      <c r="I57" s="3"/>
      <c r="J57" s="7"/>
      <c r="K57" s="6"/>
      <c r="L57" s="2"/>
      <c r="M57" s="3"/>
      <c r="N57" s="3"/>
      <c r="X57">
        <f t="shared" si="1"/>
        <v>0</v>
      </c>
      <c r="Y57" t="str">
        <f t="shared" si="2"/>
        <v/>
      </c>
      <c r="Z57">
        <f t="shared" si="3"/>
        <v>0</v>
      </c>
    </row>
    <row r="58" spans="1:26" x14ac:dyDescent="0.25">
      <c r="A58" s="3"/>
      <c r="B58" s="7"/>
      <c r="C58" s="2"/>
      <c r="D58" s="3"/>
      <c r="E58" s="3"/>
      <c r="F58" s="3" t="str">
        <f t="shared" si="0"/>
        <v/>
      </c>
      <c r="G58" s="7"/>
      <c r="H58" s="2"/>
      <c r="I58" s="3"/>
      <c r="J58" s="7"/>
      <c r="K58" s="6"/>
      <c r="L58" s="2"/>
      <c r="M58" s="3"/>
      <c r="N58" s="3"/>
      <c r="X58">
        <f t="shared" si="1"/>
        <v>0</v>
      </c>
      <c r="Y58" t="str">
        <f t="shared" si="2"/>
        <v/>
      </c>
      <c r="Z58">
        <f t="shared" si="3"/>
        <v>0</v>
      </c>
    </row>
    <row r="59" spans="1:26" x14ac:dyDescent="0.25">
      <c r="A59" s="3"/>
      <c r="B59" s="7"/>
      <c r="C59" s="2"/>
      <c r="D59" s="3"/>
      <c r="E59" s="3"/>
      <c r="F59" s="3" t="str">
        <f t="shared" si="0"/>
        <v/>
      </c>
      <c r="G59" s="7"/>
      <c r="H59" s="2"/>
      <c r="I59" s="3"/>
      <c r="J59" s="7"/>
      <c r="K59" s="6"/>
      <c r="L59" s="2"/>
      <c r="M59" s="3"/>
      <c r="N59" s="3"/>
      <c r="X59">
        <f t="shared" si="1"/>
        <v>0</v>
      </c>
      <c r="Y59" t="str">
        <f t="shared" si="2"/>
        <v/>
      </c>
      <c r="Z59">
        <f t="shared" si="3"/>
        <v>0</v>
      </c>
    </row>
    <row r="60" spans="1:26" x14ac:dyDescent="0.25">
      <c r="A60" s="3"/>
      <c r="B60" s="7"/>
      <c r="C60" s="2"/>
      <c r="D60" s="3"/>
      <c r="E60" s="3"/>
      <c r="F60" s="3" t="str">
        <f t="shared" si="0"/>
        <v/>
      </c>
      <c r="G60" s="7"/>
      <c r="H60" s="2"/>
      <c r="I60" s="3"/>
      <c r="J60" s="7"/>
      <c r="K60" s="6"/>
      <c r="L60" s="2"/>
      <c r="M60" s="3"/>
      <c r="N60" s="3"/>
      <c r="X60">
        <f t="shared" si="1"/>
        <v>0</v>
      </c>
      <c r="Y60" t="str">
        <f t="shared" si="2"/>
        <v/>
      </c>
      <c r="Z60">
        <f t="shared" si="3"/>
        <v>0</v>
      </c>
    </row>
    <row r="61" spans="1:26" x14ac:dyDescent="0.25">
      <c r="A61" s="3"/>
      <c r="B61" s="7"/>
      <c r="C61" s="2"/>
      <c r="D61" s="3"/>
      <c r="E61" s="3"/>
      <c r="F61" s="3" t="str">
        <f t="shared" si="0"/>
        <v/>
      </c>
      <c r="G61" s="7"/>
      <c r="H61" s="2"/>
      <c r="I61" s="3"/>
      <c r="J61" s="7"/>
      <c r="K61" s="6"/>
      <c r="L61" s="2"/>
      <c r="M61" s="3"/>
      <c r="N61" s="3"/>
      <c r="X61">
        <f t="shared" si="1"/>
        <v>0</v>
      </c>
      <c r="Y61" t="str">
        <f t="shared" si="2"/>
        <v/>
      </c>
      <c r="Z61">
        <f t="shared" si="3"/>
        <v>0</v>
      </c>
    </row>
    <row r="62" spans="1:26" x14ac:dyDescent="0.25">
      <c r="A62" s="3"/>
      <c r="B62" s="7"/>
      <c r="C62" s="2"/>
      <c r="D62" s="3"/>
      <c r="E62" s="3"/>
      <c r="F62" s="3" t="str">
        <f t="shared" si="0"/>
        <v/>
      </c>
      <c r="G62" s="7"/>
      <c r="H62" s="2"/>
      <c r="I62" s="3"/>
      <c r="J62" s="7"/>
      <c r="K62" s="6"/>
      <c r="L62" s="2"/>
      <c r="M62" s="3"/>
      <c r="N62" s="3"/>
      <c r="X62">
        <f t="shared" si="1"/>
        <v>0</v>
      </c>
      <c r="Y62" t="str">
        <f t="shared" si="2"/>
        <v/>
      </c>
      <c r="Z62">
        <f t="shared" si="3"/>
        <v>0</v>
      </c>
    </row>
    <row r="63" spans="1:26" x14ac:dyDescent="0.25">
      <c r="A63" s="3"/>
      <c r="B63" s="7"/>
      <c r="C63" s="2"/>
      <c r="D63" s="3"/>
      <c r="E63" s="3"/>
      <c r="F63" s="3" t="str">
        <f t="shared" si="0"/>
        <v/>
      </c>
      <c r="G63" s="7"/>
      <c r="H63" s="2"/>
      <c r="I63" s="3"/>
      <c r="J63" s="7"/>
      <c r="K63" s="6"/>
      <c r="L63" s="2"/>
      <c r="M63" s="3"/>
      <c r="N63" s="3"/>
      <c r="X63">
        <f t="shared" si="1"/>
        <v>0</v>
      </c>
      <c r="Y63" t="str">
        <f t="shared" si="2"/>
        <v/>
      </c>
      <c r="Z63">
        <f t="shared" si="3"/>
        <v>0</v>
      </c>
    </row>
    <row r="64" spans="1:26" x14ac:dyDescent="0.25">
      <c r="A64" s="3"/>
      <c r="B64" s="7"/>
      <c r="C64" s="2"/>
      <c r="D64" s="3"/>
      <c r="E64" s="3"/>
      <c r="F64" s="3" t="str">
        <f t="shared" si="0"/>
        <v/>
      </c>
      <c r="G64" s="7"/>
      <c r="H64" s="2"/>
      <c r="I64" s="3"/>
      <c r="J64" s="7"/>
      <c r="K64" s="6"/>
      <c r="L64" s="2"/>
      <c r="M64" s="3"/>
      <c r="N64" s="3"/>
      <c r="X64">
        <f t="shared" si="1"/>
        <v>0</v>
      </c>
      <c r="Y64" t="str">
        <f t="shared" si="2"/>
        <v/>
      </c>
      <c r="Z64">
        <f t="shared" si="3"/>
        <v>0</v>
      </c>
    </row>
    <row r="65" spans="1:26" x14ac:dyDescent="0.25">
      <c r="A65" s="3"/>
      <c r="B65" s="7"/>
      <c r="C65" s="2"/>
      <c r="D65" s="3"/>
      <c r="E65" s="3"/>
      <c r="F65" s="3" t="str">
        <f t="shared" si="0"/>
        <v/>
      </c>
      <c r="G65" s="7"/>
      <c r="H65" s="2"/>
      <c r="I65" s="3"/>
      <c r="J65" s="7"/>
      <c r="K65" s="6"/>
      <c r="L65" s="2"/>
      <c r="M65" s="3"/>
      <c r="N65" s="3"/>
      <c r="X65">
        <f t="shared" si="1"/>
        <v>0</v>
      </c>
      <c r="Y65" t="str">
        <f t="shared" si="2"/>
        <v/>
      </c>
      <c r="Z65">
        <f t="shared" si="3"/>
        <v>0</v>
      </c>
    </row>
    <row r="66" spans="1:26" x14ac:dyDescent="0.25">
      <c r="A66" s="3"/>
      <c r="B66" s="7"/>
      <c r="C66" s="2"/>
      <c r="D66" s="3"/>
      <c r="E66" s="3"/>
      <c r="F66" s="3" t="str">
        <f t="shared" si="0"/>
        <v/>
      </c>
      <c r="G66" s="7"/>
      <c r="H66" s="2"/>
      <c r="I66" s="3"/>
      <c r="J66" s="7"/>
      <c r="K66" s="6"/>
      <c r="L66" s="2"/>
      <c r="M66" s="3"/>
      <c r="N66" s="3"/>
      <c r="X66">
        <f t="shared" si="1"/>
        <v>0</v>
      </c>
      <c r="Y66" t="str">
        <f t="shared" si="2"/>
        <v/>
      </c>
      <c r="Z66">
        <f t="shared" si="3"/>
        <v>0</v>
      </c>
    </row>
    <row r="67" spans="1:26" x14ac:dyDescent="0.25">
      <c r="A67" s="3"/>
      <c r="B67" s="7"/>
      <c r="C67" s="2"/>
      <c r="D67" s="3"/>
      <c r="E67" s="3"/>
      <c r="F67" s="3" t="str">
        <f t="shared" si="0"/>
        <v/>
      </c>
      <c r="G67" s="7"/>
      <c r="H67" s="2"/>
      <c r="I67" s="3"/>
      <c r="J67" s="7"/>
      <c r="K67" s="6"/>
      <c r="L67" s="2"/>
      <c r="M67" s="3"/>
      <c r="N67" s="3"/>
      <c r="X67">
        <f t="shared" si="1"/>
        <v>0</v>
      </c>
      <c r="Y67" t="str">
        <f t="shared" si="2"/>
        <v/>
      </c>
      <c r="Z67">
        <f t="shared" si="3"/>
        <v>0</v>
      </c>
    </row>
    <row r="68" spans="1:26" x14ac:dyDescent="0.25">
      <c r="A68" s="3"/>
      <c r="B68" s="7"/>
      <c r="C68" s="2"/>
      <c r="D68" s="3"/>
      <c r="E68" s="3"/>
      <c r="F68" s="3" t="str">
        <f t="shared" si="0"/>
        <v/>
      </c>
      <c r="G68" s="7"/>
      <c r="H68" s="2"/>
      <c r="I68" s="3"/>
      <c r="J68" s="7"/>
      <c r="K68" s="6"/>
      <c r="L68" s="2"/>
      <c r="M68" s="3"/>
      <c r="N68" s="3"/>
      <c r="X68">
        <f t="shared" si="1"/>
        <v>0</v>
      </c>
      <c r="Y68" t="str">
        <f t="shared" si="2"/>
        <v/>
      </c>
      <c r="Z68">
        <f t="shared" si="3"/>
        <v>0</v>
      </c>
    </row>
    <row r="69" spans="1:26" x14ac:dyDescent="0.25">
      <c r="A69" s="3"/>
      <c r="B69" s="7"/>
      <c r="C69" s="2"/>
      <c r="D69" s="3"/>
      <c r="E69" s="3"/>
      <c r="F69" s="3" t="str">
        <f t="shared" si="0"/>
        <v/>
      </c>
      <c r="G69" s="7"/>
      <c r="H69" s="2"/>
      <c r="I69" s="3"/>
      <c r="J69" s="7"/>
      <c r="K69" s="6"/>
      <c r="L69" s="2"/>
      <c r="M69" s="3"/>
      <c r="N69" s="3"/>
      <c r="X69">
        <f t="shared" si="1"/>
        <v>0</v>
      </c>
      <c r="Y69" t="str">
        <f t="shared" si="2"/>
        <v/>
      </c>
      <c r="Z69">
        <f t="shared" si="3"/>
        <v>0</v>
      </c>
    </row>
    <row r="70" spans="1:26" x14ac:dyDescent="0.25">
      <c r="A70" s="3"/>
      <c r="B70" s="7"/>
      <c r="C70" s="2"/>
      <c r="D70" s="3"/>
      <c r="E70" s="3"/>
      <c r="F70" s="3" t="str">
        <f t="shared" si="0"/>
        <v/>
      </c>
      <c r="G70" s="7"/>
      <c r="H70" s="2"/>
      <c r="I70" s="3"/>
      <c r="J70" s="7"/>
      <c r="K70" s="6"/>
      <c r="L70" s="2"/>
      <c r="M70" s="3"/>
      <c r="N70" s="3"/>
      <c r="X70">
        <f t="shared" si="1"/>
        <v>0</v>
      </c>
      <c r="Y70" t="str">
        <f t="shared" si="2"/>
        <v/>
      </c>
      <c r="Z70">
        <f t="shared" si="3"/>
        <v>0</v>
      </c>
    </row>
    <row r="71" spans="1:26" x14ac:dyDescent="0.25">
      <c r="A71" s="3"/>
      <c r="B71" s="7"/>
      <c r="C71" s="2"/>
      <c r="D71" s="3"/>
      <c r="E71" s="3"/>
      <c r="F71" s="3" t="str">
        <f t="shared" ref="F71:F134" si="4">+D71&amp;E71</f>
        <v/>
      </c>
      <c r="G71" s="7"/>
      <c r="H71" s="2"/>
      <c r="I71" s="3"/>
      <c r="J71" s="7"/>
      <c r="K71" s="6"/>
      <c r="L71" s="2"/>
      <c r="M71" s="3"/>
      <c r="N71" s="3"/>
      <c r="X71">
        <f t="shared" ref="X71:X134" si="5">IF(D71="",0,COUNTIF($F$6:$F$201,F71))</f>
        <v>0</v>
      </c>
      <c r="Y71" t="str">
        <f t="shared" ref="Y71:Y134" si="6">+M71&amp;N71</f>
        <v/>
      </c>
      <c r="Z71">
        <f t="shared" ref="Z71:Z134" si="7">IF(M71="",0,COUNTIF($Y$6:$Y$201,Y71))</f>
        <v>0</v>
      </c>
    </row>
    <row r="72" spans="1:26" x14ac:dyDescent="0.25">
      <c r="A72" s="3"/>
      <c r="B72" s="7"/>
      <c r="C72" s="2"/>
      <c r="D72" s="3"/>
      <c r="E72" s="3"/>
      <c r="F72" s="3" t="str">
        <f t="shared" si="4"/>
        <v/>
      </c>
      <c r="G72" s="7"/>
      <c r="H72" s="2"/>
      <c r="I72" s="3"/>
      <c r="J72" s="7"/>
      <c r="K72" s="6"/>
      <c r="L72" s="2"/>
      <c r="M72" s="3"/>
      <c r="N72" s="3"/>
      <c r="X72">
        <f t="shared" si="5"/>
        <v>0</v>
      </c>
      <c r="Y72" t="str">
        <f t="shared" si="6"/>
        <v/>
      </c>
      <c r="Z72">
        <f t="shared" si="7"/>
        <v>0</v>
      </c>
    </row>
    <row r="73" spans="1:26" x14ac:dyDescent="0.25">
      <c r="A73" s="3"/>
      <c r="B73" s="7"/>
      <c r="C73" s="2"/>
      <c r="D73" s="3"/>
      <c r="E73" s="3"/>
      <c r="F73" s="3" t="str">
        <f t="shared" si="4"/>
        <v/>
      </c>
      <c r="G73" s="7"/>
      <c r="H73" s="2"/>
      <c r="I73" s="3"/>
      <c r="J73" s="7"/>
      <c r="K73" s="6"/>
      <c r="L73" s="2"/>
      <c r="M73" s="3"/>
      <c r="N73" s="3"/>
      <c r="X73">
        <f t="shared" si="5"/>
        <v>0</v>
      </c>
      <c r="Y73" t="str">
        <f t="shared" si="6"/>
        <v/>
      </c>
      <c r="Z73">
        <f t="shared" si="7"/>
        <v>0</v>
      </c>
    </row>
    <row r="74" spans="1:26" x14ac:dyDescent="0.25">
      <c r="A74" s="3"/>
      <c r="B74" s="7"/>
      <c r="C74" s="2"/>
      <c r="D74" s="3"/>
      <c r="E74" s="3"/>
      <c r="F74" s="3" t="str">
        <f t="shared" si="4"/>
        <v/>
      </c>
      <c r="G74" s="7"/>
      <c r="H74" s="2"/>
      <c r="I74" s="3"/>
      <c r="J74" s="7"/>
      <c r="K74" s="6"/>
      <c r="L74" s="2"/>
      <c r="M74" s="3"/>
      <c r="N74" s="3"/>
      <c r="X74">
        <f t="shared" si="5"/>
        <v>0</v>
      </c>
      <c r="Y74" t="str">
        <f t="shared" si="6"/>
        <v/>
      </c>
      <c r="Z74">
        <f t="shared" si="7"/>
        <v>0</v>
      </c>
    </row>
    <row r="75" spans="1:26" x14ac:dyDescent="0.25">
      <c r="A75" s="3"/>
      <c r="B75" s="7"/>
      <c r="C75" s="2"/>
      <c r="D75" s="3"/>
      <c r="E75" s="3"/>
      <c r="F75" s="3" t="str">
        <f t="shared" si="4"/>
        <v/>
      </c>
      <c r="G75" s="7"/>
      <c r="H75" s="2"/>
      <c r="I75" s="3"/>
      <c r="J75" s="7"/>
      <c r="K75" s="6"/>
      <c r="L75" s="2"/>
      <c r="M75" s="3"/>
      <c r="N75" s="3"/>
      <c r="X75">
        <f t="shared" si="5"/>
        <v>0</v>
      </c>
      <c r="Y75" t="str">
        <f t="shared" si="6"/>
        <v/>
      </c>
      <c r="Z75">
        <f t="shared" si="7"/>
        <v>0</v>
      </c>
    </row>
    <row r="76" spans="1:26" x14ac:dyDescent="0.25">
      <c r="A76" s="3"/>
      <c r="B76" s="7"/>
      <c r="C76" s="2"/>
      <c r="D76" s="3"/>
      <c r="E76" s="3"/>
      <c r="F76" s="3" t="str">
        <f t="shared" si="4"/>
        <v/>
      </c>
      <c r="G76" s="7"/>
      <c r="H76" s="2"/>
      <c r="I76" s="3"/>
      <c r="J76" s="7"/>
      <c r="K76" s="6"/>
      <c r="L76" s="2"/>
      <c r="M76" s="3"/>
      <c r="N76" s="3"/>
      <c r="X76">
        <f t="shared" si="5"/>
        <v>0</v>
      </c>
      <c r="Y76" t="str">
        <f t="shared" si="6"/>
        <v/>
      </c>
      <c r="Z76">
        <f t="shared" si="7"/>
        <v>0</v>
      </c>
    </row>
    <row r="77" spans="1:26" x14ac:dyDescent="0.25">
      <c r="A77" s="3"/>
      <c r="B77" s="7"/>
      <c r="C77" s="2"/>
      <c r="D77" s="3"/>
      <c r="E77" s="3"/>
      <c r="F77" s="3" t="str">
        <f t="shared" si="4"/>
        <v/>
      </c>
      <c r="G77" s="7"/>
      <c r="H77" s="2"/>
      <c r="I77" s="3"/>
      <c r="J77" s="7"/>
      <c r="K77" s="6"/>
      <c r="L77" s="2"/>
      <c r="M77" s="3"/>
      <c r="N77" s="3"/>
      <c r="X77">
        <f t="shared" si="5"/>
        <v>0</v>
      </c>
      <c r="Y77" t="str">
        <f t="shared" si="6"/>
        <v/>
      </c>
      <c r="Z77">
        <f t="shared" si="7"/>
        <v>0</v>
      </c>
    </row>
    <row r="78" spans="1:26" x14ac:dyDescent="0.25">
      <c r="A78" s="3"/>
      <c r="B78" s="7"/>
      <c r="C78" s="2"/>
      <c r="D78" s="3"/>
      <c r="E78" s="3"/>
      <c r="F78" s="3" t="str">
        <f t="shared" si="4"/>
        <v/>
      </c>
      <c r="G78" s="7"/>
      <c r="H78" s="2"/>
      <c r="I78" s="3"/>
      <c r="J78" s="7"/>
      <c r="K78" s="6"/>
      <c r="L78" s="2"/>
      <c r="M78" s="3"/>
      <c r="N78" s="3"/>
      <c r="X78">
        <f t="shared" si="5"/>
        <v>0</v>
      </c>
      <c r="Y78" t="str">
        <f t="shared" si="6"/>
        <v/>
      </c>
      <c r="Z78">
        <f t="shared" si="7"/>
        <v>0</v>
      </c>
    </row>
    <row r="79" spans="1:26" x14ac:dyDescent="0.25">
      <c r="A79" s="3"/>
      <c r="B79" s="7"/>
      <c r="C79" s="2"/>
      <c r="D79" s="3"/>
      <c r="E79" s="3"/>
      <c r="F79" s="3" t="str">
        <f t="shared" si="4"/>
        <v/>
      </c>
      <c r="G79" s="7"/>
      <c r="H79" s="2"/>
      <c r="I79" s="3"/>
      <c r="J79" s="7"/>
      <c r="K79" s="6"/>
      <c r="L79" s="2"/>
      <c r="M79" s="3"/>
      <c r="N79" s="3"/>
      <c r="X79">
        <f t="shared" si="5"/>
        <v>0</v>
      </c>
      <c r="Y79" t="str">
        <f t="shared" si="6"/>
        <v/>
      </c>
      <c r="Z79">
        <f t="shared" si="7"/>
        <v>0</v>
      </c>
    </row>
    <row r="80" spans="1:26" x14ac:dyDescent="0.25">
      <c r="A80" s="3"/>
      <c r="B80" s="7"/>
      <c r="C80" s="2"/>
      <c r="D80" s="3"/>
      <c r="E80" s="3"/>
      <c r="F80" s="3" t="str">
        <f t="shared" si="4"/>
        <v/>
      </c>
      <c r="G80" s="7"/>
      <c r="H80" s="2"/>
      <c r="I80" s="3"/>
      <c r="J80" s="7"/>
      <c r="K80" s="6"/>
      <c r="L80" s="2"/>
      <c r="M80" s="3"/>
      <c r="N80" s="3"/>
      <c r="X80">
        <f t="shared" si="5"/>
        <v>0</v>
      </c>
      <c r="Y80" t="str">
        <f t="shared" si="6"/>
        <v/>
      </c>
      <c r="Z80">
        <f t="shared" si="7"/>
        <v>0</v>
      </c>
    </row>
    <row r="81" spans="1:26" x14ac:dyDescent="0.25">
      <c r="A81" s="3"/>
      <c r="B81" s="7"/>
      <c r="C81" s="2"/>
      <c r="D81" s="3"/>
      <c r="E81" s="3"/>
      <c r="F81" s="3" t="str">
        <f t="shared" si="4"/>
        <v/>
      </c>
      <c r="G81" s="7"/>
      <c r="H81" s="2"/>
      <c r="I81" s="3"/>
      <c r="J81" s="7"/>
      <c r="K81" s="6"/>
      <c r="L81" s="2"/>
      <c r="M81" s="3"/>
      <c r="N81" s="3"/>
      <c r="X81">
        <f t="shared" si="5"/>
        <v>0</v>
      </c>
      <c r="Y81" t="str">
        <f t="shared" si="6"/>
        <v/>
      </c>
      <c r="Z81">
        <f t="shared" si="7"/>
        <v>0</v>
      </c>
    </row>
    <row r="82" spans="1:26" x14ac:dyDescent="0.25">
      <c r="A82" s="3"/>
      <c r="B82" s="7"/>
      <c r="C82" s="2"/>
      <c r="D82" s="3"/>
      <c r="E82" s="3"/>
      <c r="F82" s="3" t="str">
        <f t="shared" si="4"/>
        <v/>
      </c>
      <c r="G82" s="7"/>
      <c r="H82" s="2"/>
      <c r="I82" s="3"/>
      <c r="J82" s="7"/>
      <c r="K82" s="6"/>
      <c r="L82" s="2"/>
      <c r="M82" s="3"/>
      <c r="N82" s="3"/>
      <c r="X82">
        <f t="shared" si="5"/>
        <v>0</v>
      </c>
      <c r="Y82" t="str">
        <f t="shared" si="6"/>
        <v/>
      </c>
      <c r="Z82">
        <f t="shared" si="7"/>
        <v>0</v>
      </c>
    </row>
    <row r="83" spans="1:26" x14ac:dyDescent="0.25">
      <c r="A83" s="3"/>
      <c r="B83" s="7"/>
      <c r="C83" s="2"/>
      <c r="D83" s="3"/>
      <c r="E83" s="3"/>
      <c r="F83" s="3" t="str">
        <f t="shared" si="4"/>
        <v/>
      </c>
      <c r="G83" s="7"/>
      <c r="H83" s="2"/>
      <c r="I83" s="3"/>
      <c r="J83" s="7"/>
      <c r="K83" s="6"/>
      <c r="L83" s="2"/>
      <c r="M83" s="3"/>
      <c r="N83" s="3"/>
      <c r="X83">
        <f t="shared" si="5"/>
        <v>0</v>
      </c>
      <c r="Y83" t="str">
        <f t="shared" si="6"/>
        <v/>
      </c>
      <c r="Z83">
        <f t="shared" si="7"/>
        <v>0</v>
      </c>
    </row>
    <row r="84" spans="1:26" x14ac:dyDescent="0.25">
      <c r="A84" s="3"/>
      <c r="B84" s="7"/>
      <c r="C84" s="2"/>
      <c r="D84" s="3"/>
      <c r="E84" s="3"/>
      <c r="F84" s="3" t="str">
        <f t="shared" si="4"/>
        <v/>
      </c>
      <c r="G84" s="7"/>
      <c r="H84" s="2"/>
      <c r="I84" s="3"/>
      <c r="J84" s="7"/>
      <c r="K84" s="6"/>
      <c r="L84" s="2"/>
      <c r="M84" s="3"/>
      <c r="N84" s="3"/>
      <c r="X84">
        <f t="shared" si="5"/>
        <v>0</v>
      </c>
      <c r="Y84" t="str">
        <f t="shared" si="6"/>
        <v/>
      </c>
      <c r="Z84">
        <f t="shared" si="7"/>
        <v>0</v>
      </c>
    </row>
    <row r="85" spans="1:26" x14ac:dyDescent="0.25">
      <c r="A85" s="3"/>
      <c r="B85" s="7"/>
      <c r="C85" s="2"/>
      <c r="D85" s="3"/>
      <c r="E85" s="3"/>
      <c r="F85" s="3" t="str">
        <f t="shared" si="4"/>
        <v/>
      </c>
      <c r="G85" s="7"/>
      <c r="H85" s="2"/>
      <c r="I85" s="3"/>
      <c r="J85" s="7"/>
      <c r="K85" s="6"/>
      <c r="L85" s="2"/>
      <c r="M85" s="3"/>
      <c r="N85" s="3"/>
      <c r="X85">
        <f t="shared" si="5"/>
        <v>0</v>
      </c>
      <c r="Y85" t="str">
        <f t="shared" si="6"/>
        <v/>
      </c>
      <c r="Z85">
        <f t="shared" si="7"/>
        <v>0</v>
      </c>
    </row>
    <row r="86" spans="1:26" x14ac:dyDescent="0.25">
      <c r="A86" s="3"/>
      <c r="B86" s="7"/>
      <c r="C86" s="2"/>
      <c r="D86" s="3"/>
      <c r="E86" s="3"/>
      <c r="F86" s="3" t="str">
        <f t="shared" si="4"/>
        <v/>
      </c>
      <c r="G86" s="7"/>
      <c r="H86" s="2"/>
      <c r="I86" s="3"/>
      <c r="J86" s="7"/>
      <c r="K86" s="6"/>
      <c r="L86" s="2"/>
      <c r="M86" s="3"/>
      <c r="N86" s="3"/>
      <c r="X86">
        <f t="shared" si="5"/>
        <v>0</v>
      </c>
      <c r="Y86" t="str">
        <f t="shared" si="6"/>
        <v/>
      </c>
      <c r="Z86">
        <f t="shared" si="7"/>
        <v>0</v>
      </c>
    </row>
    <row r="87" spans="1:26" x14ac:dyDescent="0.25">
      <c r="A87" s="3"/>
      <c r="B87" s="7"/>
      <c r="C87" s="2"/>
      <c r="D87" s="3"/>
      <c r="E87" s="3"/>
      <c r="F87" s="3" t="str">
        <f t="shared" si="4"/>
        <v/>
      </c>
      <c r="G87" s="7"/>
      <c r="H87" s="2"/>
      <c r="I87" s="3"/>
      <c r="J87" s="7"/>
      <c r="K87" s="6"/>
      <c r="L87" s="2"/>
      <c r="M87" s="3"/>
      <c r="N87" s="3"/>
      <c r="X87">
        <f t="shared" si="5"/>
        <v>0</v>
      </c>
      <c r="Y87" t="str">
        <f t="shared" si="6"/>
        <v/>
      </c>
      <c r="Z87">
        <f t="shared" si="7"/>
        <v>0</v>
      </c>
    </row>
    <row r="88" spans="1:26" x14ac:dyDescent="0.25">
      <c r="A88" s="3"/>
      <c r="B88" s="7"/>
      <c r="C88" s="2"/>
      <c r="D88" s="3"/>
      <c r="E88" s="3"/>
      <c r="F88" s="3" t="str">
        <f t="shared" si="4"/>
        <v/>
      </c>
      <c r="G88" s="7"/>
      <c r="H88" s="2"/>
      <c r="I88" s="3"/>
      <c r="J88" s="7"/>
      <c r="K88" s="6"/>
      <c r="L88" s="2"/>
      <c r="M88" s="3"/>
      <c r="N88" s="3"/>
      <c r="X88">
        <f t="shared" si="5"/>
        <v>0</v>
      </c>
      <c r="Y88" t="str">
        <f t="shared" si="6"/>
        <v/>
      </c>
      <c r="Z88">
        <f t="shared" si="7"/>
        <v>0</v>
      </c>
    </row>
    <row r="89" spans="1:26" x14ac:dyDescent="0.25">
      <c r="A89" s="3"/>
      <c r="B89" s="7"/>
      <c r="C89" s="2"/>
      <c r="D89" s="3"/>
      <c r="E89" s="3"/>
      <c r="F89" s="3" t="str">
        <f t="shared" si="4"/>
        <v/>
      </c>
      <c r="G89" s="7"/>
      <c r="H89" s="2"/>
      <c r="I89" s="3"/>
      <c r="J89" s="7"/>
      <c r="K89" s="6"/>
      <c r="L89" s="2"/>
      <c r="M89" s="3"/>
      <c r="N89" s="3"/>
      <c r="X89">
        <f t="shared" si="5"/>
        <v>0</v>
      </c>
      <c r="Y89" t="str">
        <f t="shared" si="6"/>
        <v/>
      </c>
      <c r="Z89">
        <f t="shared" si="7"/>
        <v>0</v>
      </c>
    </row>
    <row r="90" spans="1:26" x14ac:dyDescent="0.25">
      <c r="A90" s="3"/>
      <c r="B90" s="7"/>
      <c r="C90" s="2"/>
      <c r="D90" s="3"/>
      <c r="E90" s="3"/>
      <c r="F90" s="3" t="str">
        <f t="shared" si="4"/>
        <v/>
      </c>
      <c r="G90" s="7"/>
      <c r="H90" s="2"/>
      <c r="I90" s="3"/>
      <c r="J90" s="7"/>
      <c r="K90" s="6"/>
      <c r="L90" s="2"/>
      <c r="M90" s="3"/>
      <c r="N90" s="3"/>
      <c r="X90">
        <f t="shared" si="5"/>
        <v>0</v>
      </c>
      <c r="Y90" t="str">
        <f t="shared" si="6"/>
        <v/>
      </c>
      <c r="Z90">
        <f t="shared" si="7"/>
        <v>0</v>
      </c>
    </row>
    <row r="91" spans="1:26" x14ac:dyDescent="0.25">
      <c r="A91" s="3"/>
      <c r="B91" s="7"/>
      <c r="C91" s="2"/>
      <c r="D91" s="3"/>
      <c r="E91" s="3"/>
      <c r="F91" s="3" t="str">
        <f t="shared" si="4"/>
        <v/>
      </c>
      <c r="G91" s="7"/>
      <c r="H91" s="2"/>
      <c r="I91" s="3"/>
      <c r="J91" s="7"/>
      <c r="K91" s="6"/>
      <c r="L91" s="2"/>
      <c r="M91" s="3"/>
      <c r="N91" s="3"/>
      <c r="X91">
        <f t="shared" si="5"/>
        <v>0</v>
      </c>
      <c r="Y91" t="str">
        <f t="shared" si="6"/>
        <v/>
      </c>
      <c r="Z91">
        <f t="shared" si="7"/>
        <v>0</v>
      </c>
    </row>
    <row r="92" spans="1:26" x14ac:dyDescent="0.25">
      <c r="A92" s="3"/>
      <c r="B92" s="7"/>
      <c r="C92" s="2"/>
      <c r="D92" s="3"/>
      <c r="E92" s="3"/>
      <c r="F92" s="3" t="str">
        <f t="shared" si="4"/>
        <v/>
      </c>
      <c r="G92" s="7"/>
      <c r="H92" s="2"/>
      <c r="I92" s="3"/>
      <c r="J92" s="7"/>
      <c r="K92" s="6"/>
      <c r="L92" s="2"/>
      <c r="M92" s="3"/>
      <c r="N92" s="3"/>
      <c r="X92">
        <f t="shared" si="5"/>
        <v>0</v>
      </c>
      <c r="Y92" t="str">
        <f t="shared" si="6"/>
        <v/>
      </c>
      <c r="Z92">
        <f t="shared" si="7"/>
        <v>0</v>
      </c>
    </row>
    <row r="93" spans="1:26" x14ac:dyDescent="0.25">
      <c r="A93" s="3"/>
      <c r="B93" s="7"/>
      <c r="C93" s="2"/>
      <c r="D93" s="3"/>
      <c r="E93" s="3"/>
      <c r="F93" s="3" t="str">
        <f t="shared" si="4"/>
        <v/>
      </c>
      <c r="G93" s="7"/>
      <c r="H93" s="2"/>
      <c r="I93" s="3"/>
      <c r="J93" s="7"/>
      <c r="K93" s="6"/>
      <c r="L93" s="2"/>
      <c r="M93" s="3"/>
      <c r="N93" s="3"/>
      <c r="X93">
        <f t="shared" si="5"/>
        <v>0</v>
      </c>
      <c r="Y93" t="str">
        <f t="shared" si="6"/>
        <v/>
      </c>
      <c r="Z93">
        <f t="shared" si="7"/>
        <v>0</v>
      </c>
    </row>
    <row r="94" spans="1:26" x14ac:dyDescent="0.25">
      <c r="A94" s="3"/>
      <c r="B94" s="7"/>
      <c r="C94" s="2"/>
      <c r="D94" s="3"/>
      <c r="E94" s="3"/>
      <c r="F94" s="3" t="str">
        <f t="shared" si="4"/>
        <v/>
      </c>
      <c r="G94" s="7"/>
      <c r="H94" s="2"/>
      <c r="I94" s="3"/>
      <c r="J94" s="7"/>
      <c r="K94" s="6"/>
      <c r="L94" s="2"/>
      <c r="M94" s="3"/>
      <c r="N94" s="3"/>
      <c r="X94">
        <f t="shared" si="5"/>
        <v>0</v>
      </c>
      <c r="Y94" t="str">
        <f t="shared" si="6"/>
        <v/>
      </c>
      <c r="Z94">
        <f t="shared" si="7"/>
        <v>0</v>
      </c>
    </row>
    <row r="95" spans="1:26" x14ac:dyDescent="0.25">
      <c r="A95" s="3"/>
      <c r="B95" s="7"/>
      <c r="C95" s="2"/>
      <c r="D95" s="3"/>
      <c r="E95" s="3"/>
      <c r="F95" s="3" t="str">
        <f t="shared" si="4"/>
        <v/>
      </c>
      <c r="G95" s="7"/>
      <c r="H95" s="2"/>
      <c r="I95" s="3"/>
      <c r="J95" s="7"/>
      <c r="K95" s="6"/>
      <c r="L95" s="2"/>
      <c r="M95" s="3"/>
      <c r="N95" s="3"/>
      <c r="X95">
        <f t="shared" si="5"/>
        <v>0</v>
      </c>
      <c r="Y95" t="str">
        <f t="shared" si="6"/>
        <v/>
      </c>
      <c r="Z95">
        <f t="shared" si="7"/>
        <v>0</v>
      </c>
    </row>
    <row r="96" spans="1:26" x14ac:dyDescent="0.25">
      <c r="A96" s="3"/>
      <c r="B96" s="7"/>
      <c r="C96" s="2"/>
      <c r="D96" s="3"/>
      <c r="E96" s="3"/>
      <c r="F96" s="3" t="str">
        <f t="shared" si="4"/>
        <v/>
      </c>
      <c r="G96" s="7"/>
      <c r="H96" s="2"/>
      <c r="I96" s="3"/>
      <c r="J96" s="7"/>
      <c r="K96" s="6"/>
      <c r="L96" s="2"/>
      <c r="M96" s="3"/>
      <c r="N96" s="3"/>
      <c r="X96">
        <f t="shared" si="5"/>
        <v>0</v>
      </c>
      <c r="Y96" t="str">
        <f t="shared" si="6"/>
        <v/>
      </c>
      <c r="Z96">
        <f t="shared" si="7"/>
        <v>0</v>
      </c>
    </row>
    <row r="97" spans="1:26" x14ac:dyDescent="0.25">
      <c r="A97" s="3"/>
      <c r="B97" s="7"/>
      <c r="C97" s="2"/>
      <c r="D97" s="3"/>
      <c r="E97" s="3"/>
      <c r="F97" s="3" t="str">
        <f t="shared" si="4"/>
        <v/>
      </c>
      <c r="G97" s="7"/>
      <c r="H97" s="2"/>
      <c r="I97" s="3"/>
      <c r="J97" s="7"/>
      <c r="K97" s="6"/>
      <c r="L97" s="2"/>
      <c r="M97" s="3"/>
      <c r="N97" s="3"/>
      <c r="X97">
        <f t="shared" si="5"/>
        <v>0</v>
      </c>
      <c r="Y97" t="str">
        <f t="shared" si="6"/>
        <v/>
      </c>
      <c r="Z97">
        <f t="shared" si="7"/>
        <v>0</v>
      </c>
    </row>
    <row r="98" spans="1:26" x14ac:dyDescent="0.25">
      <c r="A98" s="3"/>
      <c r="B98" s="7"/>
      <c r="C98" s="2"/>
      <c r="D98" s="3"/>
      <c r="E98" s="3"/>
      <c r="F98" s="3" t="str">
        <f t="shared" si="4"/>
        <v/>
      </c>
      <c r="G98" s="7"/>
      <c r="H98" s="2"/>
      <c r="I98" s="3"/>
      <c r="J98" s="7"/>
      <c r="K98" s="6"/>
      <c r="L98" s="2"/>
      <c r="M98" s="3"/>
      <c r="N98" s="3"/>
      <c r="X98">
        <f t="shared" si="5"/>
        <v>0</v>
      </c>
      <c r="Y98" t="str">
        <f t="shared" si="6"/>
        <v/>
      </c>
      <c r="Z98">
        <f t="shared" si="7"/>
        <v>0</v>
      </c>
    </row>
    <row r="99" spans="1:26" x14ac:dyDescent="0.25">
      <c r="A99" s="3"/>
      <c r="B99" s="7"/>
      <c r="C99" s="2"/>
      <c r="D99" s="3"/>
      <c r="E99" s="3"/>
      <c r="F99" s="3" t="str">
        <f t="shared" si="4"/>
        <v/>
      </c>
      <c r="G99" s="7"/>
      <c r="H99" s="2"/>
      <c r="I99" s="3"/>
      <c r="J99" s="7"/>
      <c r="K99" s="6"/>
      <c r="L99" s="2"/>
      <c r="M99" s="3"/>
      <c r="N99" s="3"/>
      <c r="X99">
        <f t="shared" si="5"/>
        <v>0</v>
      </c>
      <c r="Y99" t="str">
        <f t="shared" si="6"/>
        <v/>
      </c>
      <c r="Z99">
        <f t="shared" si="7"/>
        <v>0</v>
      </c>
    </row>
    <row r="100" spans="1:26" x14ac:dyDescent="0.25">
      <c r="A100" s="3"/>
      <c r="B100" s="7"/>
      <c r="C100" s="2"/>
      <c r="D100" s="3"/>
      <c r="E100" s="3"/>
      <c r="F100" s="3" t="str">
        <f t="shared" si="4"/>
        <v/>
      </c>
      <c r="G100" s="7"/>
      <c r="H100" s="2"/>
      <c r="I100" s="3"/>
      <c r="J100" s="7"/>
      <c r="K100" s="6"/>
      <c r="L100" s="2"/>
      <c r="M100" s="3"/>
      <c r="N100" s="3"/>
      <c r="X100">
        <f t="shared" si="5"/>
        <v>0</v>
      </c>
      <c r="Y100" t="str">
        <f t="shared" si="6"/>
        <v/>
      </c>
      <c r="Z100">
        <f t="shared" si="7"/>
        <v>0</v>
      </c>
    </row>
    <row r="101" spans="1:26" x14ac:dyDescent="0.25">
      <c r="A101" s="3"/>
      <c r="B101" s="7"/>
      <c r="C101" s="2"/>
      <c r="D101" s="3"/>
      <c r="E101" s="3"/>
      <c r="F101" s="3" t="str">
        <f t="shared" si="4"/>
        <v/>
      </c>
      <c r="G101" s="7"/>
      <c r="H101" s="2"/>
      <c r="I101" s="3"/>
      <c r="J101" s="7"/>
      <c r="K101" s="6"/>
      <c r="L101" s="2"/>
      <c r="M101" s="3"/>
      <c r="N101" s="3"/>
      <c r="X101">
        <f t="shared" si="5"/>
        <v>0</v>
      </c>
      <c r="Y101" t="str">
        <f t="shared" si="6"/>
        <v/>
      </c>
      <c r="Z101">
        <f t="shared" si="7"/>
        <v>0</v>
      </c>
    </row>
    <row r="102" spans="1:26" x14ac:dyDescent="0.25">
      <c r="A102" s="3"/>
      <c r="B102" s="7"/>
      <c r="C102" s="2"/>
      <c r="D102" s="3"/>
      <c r="E102" s="3"/>
      <c r="F102" s="3" t="str">
        <f t="shared" si="4"/>
        <v/>
      </c>
      <c r="G102" s="7"/>
      <c r="H102" s="2"/>
      <c r="I102" s="3"/>
      <c r="J102" s="7"/>
      <c r="K102" s="6"/>
      <c r="L102" s="2"/>
      <c r="M102" s="3"/>
      <c r="N102" s="3"/>
      <c r="X102">
        <f t="shared" si="5"/>
        <v>0</v>
      </c>
      <c r="Y102" t="str">
        <f t="shared" si="6"/>
        <v/>
      </c>
      <c r="Z102">
        <f t="shared" si="7"/>
        <v>0</v>
      </c>
    </row>
    <row r="103" spans="1:26" x14ac:dyDescent="0.25">
      <c r="A103" s="3"/>
      <c r="B103" s="7"/>
      <c r="C103" s="2"/>
      <c r="D103" s="3"/>
      <c r="E103" s="3"/>
      <c r="F103" s="3" t="str">
        <f t="shared" si="4"/>
        <v/>
      </c>
      <c r="G103" s="7"/>
      <c r="H103" s="2"/>
      <c r="I103" s="3"/>
      <c r="J103" s="7"/>
      <c r="K103" s="6"/>
      <c r="L103" s="2"/>
      <c r="M103" s="3"/>
      <c r="N103" s="3"/>
      <c r="X103">
        <f t="shared" si="5"/>
        <v>0</v>
      </c>
      <c r="Y103" t="str">
        <f t="shared" si="6"/>
        <v/>
      </c>
      <c r="Z103">
        <f t="shared" si="7"/>
        <v>0</v>
      </c>
    </row>
    <row r="104" spans="1:26" x14ac:dyDescent="0.25">
      <c r="A104" s="3"/>
      <c r="B104" s="7"/>
      <c r="C104" s="2"/>
      <c r="D104" s="3"/>
      <c r="E104" s="3"/>
      <c r="F104" s="3" t="str">
        <f t="shared" si="4"/>
        <v/>
      </c>
      <c r="G104" s="7"/>
      <c r="H104" s="2"/>
      <c r="I104" s="3"/>
      <c r="J104" s="7"/>
      <c r="K104" s="6"/>
      <c r="L104" s="2"/>
      <c r="M104" s="3"/>
      <c r="N104" s="3"/>
      <c r="X104">
        <f t="shared" si="5"/>
        <v>0</v>
      </c>
      <c r="Y104" t="str">
        <f t="shared" si="6"/>
        <v/>
      </c>
      <c r="Z104">
        <f t="shared" si="7"/>
        <v>0</v>
      </c>
    </row>
    <row r="105" spans="1:26" x14ac:dyDescent="0.25">
      <c r="A105" s="3"/>
      <c r="B105" s="7"/>
      <c r="C105" s="2"/>
      <c r="D105" s="3"/>
      <c r="E105" s="3"/>
      <c r="F105" s="3" t="str">
        <f t="shared" si="4"/>
        <v/>
      </c>
      <c r="G105" s="7"/>
      <c r="H105" s="2"/>
      <c r="I105" s="3"/>
      <c r="J105" s="7"/>
      <c r="K105" s="6"/>
      <c r="L105" s="2"/>
      <c r="M105" s="3"/>
      <c r="N105" s="3"/>
      <c r="X105">
        <f t="shared" si="5"/>
        <v>0</v>
      </c>
      <c r="Y105" t="str">
        <f t="shared" si="6"/>
        <v/>
      </c>
      <c r="Z105">
        <f t="shared" si="7"/>
        <v>0</v>
      </c>
    </row>
    <row r="106" spans="1:26" x14ac:dyDescent="0.25">
      <c r="A106" s="3"/>
      <c r="B106" s="7"/>
      <c r="C106" s="2"/>
      <c r="D106" s="3"/>
      <c r="E106" s="3"/>
      <c r="F106" s="3" t="str">
        <f t="shared" si="4"/>
        <v/>
      </c>
      <c r="G106" s="7"/>
      <c r="H106" s="2"/>
      <c r="I106" s="3"/>
      <c r="J106" s="7"/>
      <c r="K106" s="6"/>
      <c r="L106" s="2"/>
      <c r="M106" s="3"/>
      <c r="N106" s="3"/>
      <c r="X106">
        <f t="shared" si="5"/>
        <v>0</v>
      </c>
      <c r="Y106" t="str">
        <f t="shared" si="6"/>
        <v/>
      </c>
      <c r="Z106">
        <f t="shared" si="7"/>
        <v>0</v>
      </c>
    </row>
    <row r="107" spans="1:26" x14ac:dyDescent="0.25">
      <c r="A107" s="3"/>
      <c r="B107" s="7"/>
      <c r="C107" s="2"/>
      <c r="D107" s="3"/>
      <c r="E107" s="3"/>
      <c r="F107" s="3" t="str">
        <f t="shared" si="4"/>
        <v/>
      </c>
      <c r="G107" s="7"/>
      <c r="H107" s="2"/>
      <c r="I107" s="3"/>
      <c r="J107" s="7"/>
      <c r="K107" s="6"/>
      <c r="L107" s="2"/>
      <c r="M107" s="3"/>
      <c r="N107" s="3"/>
      <c r="X107">
        <f t="shared" si="5"/>
        <v>0</v>
      </c>
      <c r="Y107" t="str">
        <f t="shared" si="6"/>
        <v/>
      </c>
      <c r="Z107">
        <f t="shared" si="7"/>
        <v>0</v>
      </c>
    </row>
    <row r="108" spans="1:26" x14ac:dyDescent="0.25">
      <c r="A108" s="3"/>
      <c r="B108" s="7"/>
      <c r="C108" s="2"/>
      <c r="D108" s="3"/>
      <c r="E108" s="3"/>
      <c r="F108" s="3" t="str">
        <f t="shared" si="4"/>
        <v/>
      </c>
      <c r="G108" s="7"/>
      <c r="H108" s="2"/>
      <c r="I108" s="3"/>
      <c r="J108" s="7"/>
      <c r="K108" s="6"/>
      <c r="L108" s="2"/>
      <c r="M108" s="3"/>
      <c r="N108" s="3"/>
      <c r="X108">
        <f t="shared" si="5"/>
        <v>0</v>
      </c>
      <c r="Y108" t="str">
        <f t="shared" si="6"/>
        <v/>
      </c>
      <c r="Z108">
        <f t="shared" si="7"/>
        <v>0</v>
      </c>
    </row>
    <row r="109" spans="1:26" x14ac:dyDescent="0.25">
      <c r="A109" s="3"/>
      <c r="B109" s="7"/>
      <c r="C109" s="2"/>
      <c r="D109" s="3"/>
      <c r="E109" s="3"/>
      <c r="F109" s="3" t="str">
        <f t="shared" si="4"/>
        <v/>
      </c>
      <c r="G109" s="7"/>
      <c r="H109" s="2"/>
      <c r="I109" s="3"/>
      <c r="J109" s="7"/>
      <c r="K109" s="6"/>
      <c r="L109" s="2"/>
      <c r="M109" s="3"/>
      <c r="N109" s="3"/>
      <c r="X109">
        <f t="shared" si="5"/>
        <v>0</v>
      </c>
      <c r="Y109" t="str">
        <f t="shared" si="6"/>
        <v/>
      </c>
      <c r="Z109">
        <f t="shared" si="7"/>
        <v>0</v>
      </c>
    </row>
    <row r="110" spans="1:26" x14ac:dyDescent="0.25">
      <c r="A110" s="3"/>
      <c r="B110" s="7"/>
      <c r="C110" s="2"/>
      <c r="D110" s="3"/>
      <c r="E110" s="3"/>
      <c r="F110" s="3" t="str">
        <f t="shared" si="4"/>
        <v/>
      </c>
      <c r="G110" s="7"/>
      <c r="H110" s="2"/>
      <c r="I110" s="3"/>
      <c r="J110" s="7"/>
      <c r="K110" s="6"/>
      <c r="L110" s="2"/>
      <c r="M110" s="3"/>
      <c r="N110" s="3"/>
      <c r="X110">
        <f t="shared" si="5"/>
        <v>0</v>
      </c>
      <c r="Y110" t="str">
        <f t="shared" si="6"/>
        <v/>
      </c>
      <c r="Z110">
        <f t="shared" si="7"/>
        <v>0</v>
      </c>
    </row>
    <row r="111" spans="1:26" x14ac:dyDescent="0.25">
      <c r="A111" s="3"/>
      <c r="B111" s="7"/>
      <c r="C111" s="2"/>
      <c r="D111" s="3"/>
      <c r="E111" s="3"/>
      <c r="F111" s="3" t="str">
        <f t="shared" si="4"/>
        <v/>
      </c>
      <c r="G111" s="7"/>
      <c r="H111" s="2"/>
      <c r="I111" s="3"/>
      <c r="J111" s="7"/>
      <c r="K111" s="6"/>
      <c r="L111" s="2"/>
      <c r="M111" s="3"/>
      <c r="N111" s="3"/>
      <c r="X111">
        <f t="shared" si="5"/>
        <v>0</v>
      </c>
      <c r="Y111" t="str">
        <f t="shared" si="6"/>
        <v/>
      </c>
      <c r="Z111">
        <f t="shared" si="7"/>
        <v>0</v>
      </c>
    </row>
    <row r="112" spans="1:26" x14ac:dyDescent="0.25">
      <c r="A112" s="3"/>
      <c r="B112" s="7"/>
      <c r="C112" s="2"/>
      <c r="D112" s="3"/>
      <c r="E112" s="3"/>
      <c r="F112" s="3" t="str">
        <f t="shared" si="4"/>
        <v/>
      </c>
      <c r="G112" s="7"/>
      <c r="H112" s="2"/>
      <c r="I112" s="3"/>
      <c r="J112" s="7"/>
      <c r="K112" s="6"/>
      <c r="L112" s="2"/>
      <c r="M112" s="3"/>
      <c r="N112" s="3"/>
      <c r="X112">
        <f t="shared" si="5"/>
        <v>0</v>
      </c>
      <c r="Y112" t="str">
        <f t="shared" si="6"/>
        <v/>
      </c>
      <c r="Z112">
        <f t="shared" si="7"/>
        <v>0</v>
      </c>
    </row>
    <row r="113" spans="1:26" x14ac:dyDescent="0.25">
      <c r="A113" s="3"/>
      <c r="B113" s="7"/>
      <c r="C113" s="2"/>
      <c r="D113" s="3"/>
      <c r="E113" s="3"/>
      <c r="F113" s="3" t="str">
        <f t="shared" si="4"/>
        <v/>
      </c>
      <c r="G113" s="7"/>
      <c r="H113" s="2"/>
      <c r="I113" s="3"/>
      <c r="J113" s="7"/>
      <c r="K113" s="6"/>
      <c r="L113" s="2"/>
      <c r="M113" s="3"/>
      <c r="N113" s="3"/>
      <c r="X113">
        <f t="shared" si="5"/>
        <v>0</v>
      </c>
      <c r="Y113" t="str">
        <f t="shared" si="6"/>
        <v/>
      </c>
      <c r="Z113">
        <f t="shared" si="7"/>
        <v>0</v>
      </c>
    </row>
    <row r="114" spans="1:26" x14ac:dyDescent="0.25">
      <c r="A114" s="3"/>
      <c r="B114" s="7"/>
      <c r="C114" s="2"/>
      <c r="D114" s="3"/>
      <c r="E114" s="3"/>
      <c r="F114" s="3" t="str">
        <f t="shared" si="4"/>
        <v/>
      </c>
      <c r="G114" s="7"/>
      <c r="H114" s="2"/>
      <c r="I114" s="3"/>
      <c r="J114" s="7"/>
      <c r="K114" s="6"/>
      <c r="L114" s="2"/>
      <c r="M114" s="3"/>
      <c r="N114" s="3"/>
      <c r="X114">
        <f t="shared" si="5"/>
        <v>0</v>
      </c>
      <c r="Y114" t="str">
        <f t="shared" si="6"/>
        <v/>
      </c>
      <c r="Z114">
        <f t="shared" si="7"/>
        <v>0</v>
      </c>
    </row>
    <row r="115" spans="1:26" x14ac:dyDescent="0.25">
      <c r="A115" s="3"/>
      <c r="B115" s="7"/>
      <c r="C115" s="2"/>
      <c r="D115" s="3"/>
      <c r="E115" s="3"/>
      <c r="F115" s="3" t="str">
        <f t="shared" si="4"/>
        <v/>
      </c>
      <c r="G115" s="7"/>
      <c r="H115" s="2"/>
      <c r="I115" s="3"/>
      <c r="J115" s="7"/>
      <c r="K115" s="6"/>
      <c r="L115" s="2"/>
      <c r="M115" s="3"/>
      <c r="N115" s="3"/>
      <c r="X115">
        <f t="shared" si="5"/>
        <v>0</v>
      </c>
      <c r="Y115" t="str">
        <f t="shared" si="6"/>
        <v/>
      </c>
      <c r="Z115">
        <f t="shared" si="7"/>
        <v>0</v>
      </c>
    </row>
    <row r="116" spans="1:26" x14ac:dyDescent="0.25">
      <c r="A116" s="3"/>
      <c r="B116" s="7"/>
      <c r="C116" s="2"/>
      <c r="D116" s="3"/>
      <c r="E116" s="3"/>
      <c r="F116" s="3" t="str">
        <f t="shared" si="4"/>
        <v/>
      </c>
      <c r="G116" s="7"/>
      <c r="H116" s="2"/>
      <c r="I116" s="3"/>
      <c r="J116" s="7"/>
      <c r="K116" s="6"/>
      <c r="L116" s="2"/>
      <c r="M116" s="3"/>
      <c r="N116" s="3"/>
      <c r="X116">
        <f t="shared" si="5"/>
        <v>0</v>
      </c>
      <c r="Y116" t="str">
        <f t="shared" si="6"/>
        <v/>
      </c>
      <c r="Z116">
        <f t="shared" si="7"/>
        <v>0</v>
      </c>
    </row>
    <row r="117" spans="1:26" x14ac:dyDescent="0.25">
      <c r="A117" s="3"/>
      <c r="B117" s="7"/>
      <c r="C117" s="2"/>
      <c r="D117" s="3"/>
      <c r="E117" s="3"/>
      <c r="F117" s="3" t="str">
        <f t="shared" si="4"/>
        <v/>
      </c>
      <c r="G117" s="7"/>
      <c r="H117" s="2"/>
      <c r="I117" s="3"/>
      <c r="J117" s="7"/>
      <c r="K117" s="6"/>
      <c r="L117" s="2"/>
      <c r="M117" s="3"/>
      <c r="N117" s="3"/>
      <c r="X117">
        <f t="shared" si="5"/>
        <v>0</v>
      </c>
      <c r="Y117" t="str">
        <f t="shared" si="6"/>
        <v/>
      </c>
      <c r="Z117">
        <f t="shared" si="7"/>
        <v>0</v>
      </c>
    </row>
    <row r="118" spans="1:26" x14ac:dyDescent="0.25">
      <c r="A118" s="3"/>
      <c r="B118" s="7"/>
      <c r="C118" s="2"/>
      <c r="D118" s="3"/>
      <c r="E118" s="3"/>
      <c r="F118" s="3" t="str">
        <f t="shared" si="4"/>
        <v/>
      </c>
      <c r="G118" s="7"/>
      <c r="H118" s="2"/>
      <c r="I118" s="3"/>
      <c r="J118" s="7"/>
      <c r="K118" s="6"/>
      <c r="L118" s="2"/>
      <c r="M118" s="3"/>
      <c r="N118" s="3"/>
      <c r="X118">
        <f t="shared" si="5"/>
        <v>0</v>
      </c>
      <c r="Y118" t="str">
        <f t="shared" si="6"/>
        <v/>
      </c>
      <c r="Z118">
        <f t="shared" si="7"/>
        <v>0</v>
      </c>
    </row>
    <row r="119" spans="1:26" x14ac:dyDescent="0.25">
      <c r="A119" s="3"/>
      <c r="B119" s="7"/>
      <c r="C119" s="2"/>
      <c r="D119" s="3"/>
      <c r="E119" s="3"/>
      <c r="F119" s="3" t="str">
        <f t="shared" si="4"/>
        <v/>
      </c>
      <c r="G119" s="7"/>
      <c r="H119" s="2"/>
      <c r="I119" s="3"/>
      <c r="J119" s="7"/>
      <c r="K119" s="6"/>
      <c r="L119" s="2"/>
      <c r="M119" s="3"/>
      <c r="N119" s="3"/>
      <c r="X119">
        <f t="shared" si="5"/>
        <v>0</v>
      </c>
      <c r="Y119" t="str">
        <f t="shared" si="6"/>
        <v/>
      </c>
      <c r="Z119">
        <f t="shared" si="7"/>
        <v>0</v>
      </c>
    </row>
    <row r="120" spans="1:26" x14ac:dyDescent="0.25">
      <c r="A120" s="3"/>
      <c r="B120" s="7"/>
      <c r="C120" s="2"/>
      <c r="D120" s="3"/>
      <c r="E120" s="3"/>
      <c r="F120" s="3" t="str">
        <f t="shared" si="4"/>
        <v/>
      </c>
      <c r="G120" s="7"/>
      <c r="H120" s="2"/>
      <c r="I120" s="3"/>
      <c r="J120" s="7"/>
      <c r="K120" s="6"/>
      <c r="L120" s="2"/>
      <c r="M120" s="3"/>
      <c r="N120" s="3"/>
      <c r="X120">
        <f t="shared" si="5"/>
        <v>0</v>
      </c>
      <c r="Y120" t="str">
        <f t="shared" si="6"/>
        <v/>
      </c>
      <c r="Z120">
        <f t="shared" si="7"/>
        <v>0</v>
      </c>
    </row>
    <row r="121" spans="1:26" x14ac:dyDescent="0.25">
      <c r="A121" s="3"/>
      <c r="B121" s="7"/>
      <c r="C121" s="2"/>
      <c r="D121" s="3"/>
      <c r="E121" s="3"/>
      <c r="F121" s="3" t="str">
        <f t="shared" si="4"/>
        <v/>
      </c>
      <c r="G121" s="7"/>
      <c r="H121" s="2"/>
      <c r="I121" s="3"/>
      <c r="J121" s="7"/>
      <c r="K121" s="6"/>
      <c r="L121" s="2"/>
      <c r="M121" s="3"/>
      <c r="N121" s="3"/>
      <c r="X121">
        <f t="shared" si="5"/>
        <v>0</v>
      </c>
      <c r="Y121" t="str">
        <f t="shared" si="6"/>
        <v/>
      </c>
      <c r="Z121">
        <f t="shared" si="7"/>
        <v>0</v>
      </c>
    </row>
    <row r="122" spans="1:26" x14ac:dyDescent="0.25">
      <c r="A122" s="3"/>
      <c r="B122" s="7"/>
      <c r="C122" s="2"/>
      <c r="D122" s="3"/>
      <c r="E122" s="3"/>
      <c r="F122" s="3" t="str">
        <f t="shared" si="4"/>
        <v/>
      </c>
      <c r="G122" s="7"/>
      <c r="H122" s="2"/>
      <c r="I122" s="3"/>
      <c r="J122" s="7"/>
      <c r="K122" s="6"/>
      <c r="L122" s="2"/>
      <c r="M122" s="3"/>
      <c r="N122" s="3"/>
      <c r="X122">
        <f t="shared" si="5"/>
        <v>0</v>
      </c>
      <c r="Y122" t="str">
        <f t="shared" si="6"/>
        <v/>
      </c>
      <c r="Z122">
        <f t="shared" si="7"/>
        <v>0</v>
      </c>
    </row>
    <row r="123" spans="1:26" x14ac:dyDescent="0.25">
      <c r="A123" s="3"/>
      <c r="B123" s="7"/>
      <c r="C123" s="2"/>
      <c r="D123" s="3"/>
      <c r="E123" s="3"/>
      <c r="F123" s="3" t="str">
        <f t="shared" si="4"/>
        <v/>
      </c>
      <c r="G123" s="7"/>
      <c r="H123" s="2"/>
      <c r="I123" s="3"/>
      <c r="J123" s="7"/>
      <c r="K123" s="6"/>
      <c r="L123" s="2"/>
      <c r="M123" s="3"/>
      <c r="N123" s="3"/>
      <c r="X123">
        <f t="shared" si="5"/>
        <v>0</v>
      </c>
      <c r="Y123" t="str">
        <f t="shared" si="6"/>
        <v/>
      </c>
      <c r="Z123">
        <f t="shared" si="7"/>
        <v>0</v>
      </c>
    </row>
    <row r="124" spans="1:26" x14ac:dyDescent="0.25">
      <c r="A124" s="3"/>
      <c r="B124" s="7"/>
      <c r="C124" s="2"/>
      <c r="D124" s="3"/>
      <c r="E124" s="3"/>
      <c r="F124" s="3" t="str">
        <f t="shared" si="4"/>
        <v/>
      </c>
      <c r="G124" s="7"/>
      <c r="H124" s="2"/>
      <c r="I124" s="3"/>
      <c r="J124" s="7"/>
      <c r="K124" s="6"/>
      <c r="L124" s="2"/>
      <c r="M124" s="3"/>
      <c r="N124" s="3"/>
      <c r="X124">
        <f t="shared" si="5"/>
        <v>0</v>
      </c>
      <c r="Y124" t="str">
        <f t="shared" si="6"/>
        <v/>
      </c>
      <c r="Z124">
        <f t="shared" si="7"/>
        <v>0</v>
      </c>
    </row>
    <row r="125" spans="1:26" x14ac:dyDescent="0.25">
      <c r="A125" s="3"/>
      <c r="B125" s="7"/>
      <c r="C125" s="2"/>
      <c r="D125" s="3"/>
      <c r="E125" s="3"/>
      <c r="F125" s="3" t="str">
        <f t="shared" si="4"/>
        <v/>
      </c>
      <c r="G125" s="7"/>
      <c r="H125" s="2"/>
      <c r="I125" s="3"/>
      <c r="J125" s="7"/>
      <c r="K125" s="6"/>
      <c r="L125" s="2"/>
      <c r="M125" s="3"/>
      <c r="N125" s="3"/>
      <c r="X125">
        <f t="shared" si="5"/>
        <v>0</v>
      </c>
      <c r="Y125" t="str">
        <f t="shared" si="6"/>
        <v/>
      </c>
      <c r="Z125">
        <f t="shared" si="7"/>
        <v>0</v>
      </c>
    </row>
    <row r="126" spans="1:26" x14ac:dyDescent="0.25">
      <c r="A126" s="3"/>
      <c r="B126" s="7"/>
      <c r="C126" s="2"/>
      <c r="D126" s="3"/>
      <c r="E126" s="3"/>
      <c r="F126" s="3" t="str">
        <f t="shared" si="4"/>
        <v/>
      </c>
      <c r="G126" s="7"/>
      <c r="H126" s="2"/>
      <c r="I126" s="3"/>
      <c r="J126" s="7"/>
      <c r="K126" s="6"/>
      <c r="L126" s="2"/>
      <c r="M126" s="3"/>
      <c r="N126" s="3"/>
      <c r="X126">
        <f t="shared" si="5"/>
        <v>0</v>
      </c>
      <c r="Y126" t="str">
        <f t="shared" si="6"/>
        <v/>
      </c>
      <c r="Z126">
        <f t="shared" si="7"/>
        <v>0</v>
      </c>
    </row>
    <row r="127" spans="1:26" x14ac:dyDescent="0.25">
      <c r="A127" s="3"/>
      <c r="B127" s="7"/>
      <c r="C127" s="2"/>
      <c r="D127" s="3"/>
      <c r="E127" s="3"/>
      <c r="F127" s="3" t="str">
        <f t="shared" si="4"/>
        <v/>
      </c>
      <c r="G127" s="7"/>
      <c r="H127" s="2"/>
      <c r="I127" s="3"/>
      <c r="J127" s="7"/>
      <c r="K127" s="6"/>
      <c r="L127" s="2"/>
      <c r="M127" s="3"/>
      <c r="N127" s="3"/>
      <c r="X127">
        <f t="shared" si="5"/>
        <v>0</v>
      </c>
      <c r="Y127" t="str">
        <f t="shared" si="6"/>
        <v/>
      </c>
      <c r="Z127">
        <f t="shared" si="7"/>
        <v>0</v>
      </c>
    </row>
    <row r="128" spans="1:26" x14ac:dyDescent="0.25">
      <c r="A128" s="3"/>
      <c r="B128" s="7"/>
      <c r="C128" s="2"/>
      <c r="D128" s="3"/>
      <c r="E128" s="3"/>
      <c r="F128" s="3" t="str">
        <f t="shared" si="4"/>
        <v/>
      </c>
      <c r="G128" s="7"/>
      <c r="H128" s="2"/>
      <c r="I128" s="3"/>
      <c r="J128" s="7"/>
      <c r="K128" s="6"/>
      <c r="L128" s="2"/>
      <c r="M128" s="3"/>
      <c r="N128" s="3"/>
      <c r="X128">
        <f t="shared" si="5"/>
        <v>0</v>
      </c>
      <c r="Y128" t="str">
        <f t="shared" si="6"/>
        <v/>
      </c>
      <c r="Z128">
        <f t="shared" si="7"/>
        <v>0</v>
      </c>
    </row>
    <row r="129" spans="1:26" x14ac:dyDescent="0.25">
      <c r="A129" s="3"/>
      <c r="B129" s="7"/>
      <c r="C129" s="2"/>
      <c r="D129" s="3"/>
      <c r="E129" s="3"/>
      <c r="F129" s="3" t="str">
        <f t="shared" si="4"/>
        <v/>
      </c>
      <c r="G129" s="7"/>
      <c r="H129" s="2"/>
      <c r="I129" s="3"/>
      <c r="J129" s="7"/>
      <c r="K129" s="6"/>
      <c r="L129" s="2"/>
      <c r="M129" s="3"/>
      <c r="N129" s="3"/>
      <c r="X129">
        <f t="shared" si="5"/>
        <v>0</v>
      </c>
      <c r="Y129" t="str">
        <f t="shared" si="6"/>
        <v/>
      </c>
      <c r="Z129">
        <f t="shared" si="7"/>
        <v>0</v>
      </c>
    </row>
    <row r="130" spans="1:26" x14ac:dyDescent="0.25">
      <c r="A130" s="3"/>
      <c r="B130" s="7"/>
      <c r="C130" s="2"/>
      <c r="D130" s="3"/>
      <c r="E130" s="3"/>
      <c r="F130" s="3" t="str">
        <f t="shared" si="4"/>
        <v/>
      </c>
      <c r="G130" s="7"/>
      <c r="H130" s="2"/>
      <c r="I130" s="3"/>
      <c r="J130" s="7"/>
      <c r="K130" s="6"/>
      <c r="L130" s="2"/>
      <c r="M130" s="3"/>
      <c r="N130" s="3"/>
      <c r="X130">
        <f t="shared" si="5"/>
        <v>0</v>
      </c>
      <c r="Y130" t="str">
        <f t="shared" si="6"/>
        <v/>
      </c>
      <c r="Z130">
        <f t="shared" si="7"/>
        <v>0</v>
      </c>
    </row>
    <row r="131" spans="1:26" x14ac:dyDescent="0.25">
      <c r="A131" s="3"/>
      <c r="B131" s="7"/>
      <c r="C131" s="2"/>
      <c r="D131" s="3"/>
      <c r="E131" s="3"/>
      <c r="F131" s="3" t="str">
        <f t="shared" si="4"/>
        <v/>
      </c>
      <c r="G131" s="7"/>
      <c r="H131" s="2"/>
      <c r="I131" s="3"/>
      <c r="J131" s="7"/>
      <c r="K131" s="6"/>
      <c r="L131" s="2"/>
      <c r="M131" s="3"/>
      <c r="N131" s="3"/>
      <c r="X131">
        <f t="shared" si="5"/>
        <v>0</v>
      </c>
      <c r="Y131" t="str">
        <f t="shared" si="6"/>
        <v/>
      </c>
      <c r="Z131">
        <f t="shared" si="7"/>
        <v>0</v>
      </c>
    </row>
    <row r="132" spans="1:26" x14ac:dyDescent="0.25">
      <c r="A132" s="3"/>
      <c r="B132" s="7"/>
      <c r="C132" s="2"/>
      <c r="D132" s="3"/>
      <c r="E132" s="3"/>
      <c r="F132" s="3" t="str">
        <f t="shared" si="4"/>
        <v/>
      </c>
      <c r="G132" s="7"/>
      <c r="H132" s="2"/>
      <c r="I132" s="3"/>
      <c r="J132" s="7"/>
      <c r="K132" s="6"/>
      <c r="L132" s="2"/>
      <c r="M132" s="3"/>
      <c r="N132" s="3"/>
      <c r="X132">
        <f t="shared" si="5"/>
        <v>0</v>
      </c>
      <c r="Y132" t="str">
        <f t="shared" si="6"/>
        <v/>
      </c>
      <c r="Z132">
        <f t="shared" si="7"/>
        <v>0</v>
      </c>
    </row>
    <row r="133" spans="1:26" x14ac:dyDescent="0.25">
      <c r="A133" s="3"/>
      <c r="B133" s="7"/>
      <c r="C133" s="2"/>
      <c r="D133" s="3"/>
      <c r="E133" s="3"/>
      <c r="F133" s="3" t="str">
        <f t="shared" si="4"/>
        <v/>
      </c>
      <c r="G133" s="7"/>
      <c r="H133" s="2"/>
      <c r="I133" s="3"/>
      <c r="J133" s="7"/>
      <c r="K133" s="6"/>
      <c r="L133" s="2"/>
      <c r="M133" s="3"/>
      <c r="N133" s="3"/>
      <c r="X133">
        <f t="shared" si="5"/>
        <v>0</v>
      </c>
      <c r="Y133" t="str">
        <f t="shared" si="6"/>
        <v/>
      </c>
      <c r="Z133">
        <f t="shared" si="7"/>
        <v>0</v>
      </c>
    </row>
    <row r="134" spans="1:26" x14ac:dyDescent="0.25">
      <c r="A134" s="3"/>
      <c r="B134" s="7"/>
      <c r="C134" s="2"/>
      <c r="D134" s="3"/>
      <c r="E134" s="3"/>
      <c r="F134" s="3" t="str">
        <f t="shared" si="4"/>
        <v/>
      </c>
      <c r="G134" s="7"/>
      <c r="H134" s="2"/>
      <c r="I134" s="3"/>
      <c r="J134" s="7"/>
      <c r="K134" s="6"/>
      <c r="L134" s="2"/>
      <c r="M134" s="3"/>
      <c r="N134" s="3"/>
      <c r="X134">
        <f t="shared" si="5"/>
        <v>0</v>
      </c>
      <c r="Y134" t="str">
        <f t="shared" si="6"/>
        <v/>
      </c>
      <c r="Z134">
        <f t="shared" si="7"/>
        <v>0</v>
      </c>
    </row>
    <row r="135" spans="1:26" x14ac:dyDescent="0.25">
      <c r="A135" s="3"/>
      <c r="B135" s="7"/>
      <c r="C135" s="2"/>
      <c r="D135" s="3"/>
      <c r="E135" s="3"/>
      <c r="F135" s="3" t="str">
        <f t="shared" ref="F135:F198" si="8">+D135&amp;E135</f>
        <v/>
      </c>
      <c r="G135" s="7"/>
      <c r="H135" s="2"/>
      <c r="I135" s="3"/>
      <c r="J135" s="7"/>
      <c r="K135" s="6"/>
      <c r="L135" s="2"/>
      <c r="M135" s="3"/>
      <c r="N135" s="3"/>
      <c r="X135">
        <f t="shared" ref="X135:X198" si="9">IF(D135="",0,COUNTIF($F$6:$F$201,F135))</f>
        <v>0</v>
      </c>
      <c r="Y135" t="str">
        <f t="shared" ref="Y135:Y198" si="10">+M135&amp;N135</f>
        <v/>
      </c>
      <c r="Z135">
        <f t="shared" ref="Z135:Z198" si="11">IF(M135="",0,COUNTIF($Y$6:$Y$201,Y135))</f>
        <v>0</v>
      </c>
    </row>
    <row r="136" spans="1:26" x14ac:dyDescent="0.25">
      <c r="A136" s="3"/>
      <c r="B136" s="7"/>
      <c r="C136" s="2"/>
      <c r="D136" s="3"/>
      <c r="E136" s="3"/>
      <c r="F136" s="3" t="str">
        <f t="shared" si="8"/>
        <v/>
      </c>
      <c r="G136" s="7"/>
      <c r="H136" s="2"/>
      <c r="I136" s="3"/>
      <c r="J136" s="7"/>
      <c r="K136" s="6"/>
      <c r="L136" s="2"/>
      <c r="M136" s="3"/>
      <c r="N136" s="3"/>
      <c r="X136">
        <f t="shared" si="9"/>
        <v>0</v>
      </c>
      <c r="Y136" t="str">
        <f t="shared" si="10"/>
        <v/>
      </c>
      <c r="Z136">
        <f t="shared" si="11"/>
        <v>0</v>
      </c>
    </row>
    <row r="137" spans="1:26" x14ac:dyDescent="0.25">
      <c r="A137" s="3"/>
      <c r="B137" s="7"/>
      <c r="C137" s="2"/>
      <c r="D137" s="3"/>
      <c r="E137" s="3"/>
      <c r="F137" s="3" t="str">
        <f t="shared" si="8"/>
        <v/>
      </c>
      <c r="G137" s="7"/>
      <c r="H137" s="2"/>
      <c r="I137" s="3"/>
      <c r="J137" s="7"/>
      <c r="K137" s="6"/>
      <c r="L137" s="2"/>
      <c r="M137" s="3"/>
      <c r="N137" s="3"/>
      <c r="X137">
        <f t="shared" si="9"/>
        <v>0</v>
      </c>
      <c r="Y137" t="str">
        <f t="shared" si="10"/>
        <v/>
      </c>
      <c r="Z137">
        <f t="shared" si="11"/>
        <v>0</v>
      </c>
    </row>
    <row r="138" spans="1:26" x14ac:dyDescent="0.25">
      <c r="A138" s="3"/>
      <c r="B138" s="7"/>
      <c r="C138" s="2"/>
      <c r="D138" s="3"/>
      <c r="E138" s="3"/>
      <c r="F138" s="3" t="str">
        <f t="shared" si="8"/>
        <v/>
      </c>
      <c r="G138" s="7"/>
      <c r="H138" s="2"/>
      <c r="I138" s="3"/>
      <c r="J138" s="7"/>
      <c r="K138" s="6"/>
      <c r="L138" s="2"/>
      <c r="M138" s="3"/>
      <c r="N138" s="3"/>
      <c r="X138">
        <f t="shared" si="9"/>
        <v>0</v>
      </c>
      <c r="Y138" t="str">
        <f t="shared" si="10"/>
        <v/>
      </c>
      <c r="Z138">
        <f t="shared" si="11"/>
        <v>0</v>
      </c>
    </row>
    <row r="139" spans="1:26" x14ac:dyDescent="0.25">
      <c r="A139" s="3"/>
      <c r="B139" s="7"/>
      <c r="C139" s="2"/>
      <c r="D139" s="3"/>
      <c r="E139" s="3"/>
      <c r="F139" s="3" t="str">
        <f t="shared" si="8"/>
        <v/>
      </c>
      <c r="G139" s="7"/>
      <c r="H139" s="2"/>
      <c r="I139" s="3"/>
      <c r="J139" s="7"/>
      <c r="K139" s="6"/>
      <c r="L139" s="2"/>
      <c r="M139" s="3"/>
      <c r="N139" s="3"/>
      <c r="X139">
        <f t="shared" si="9"/>
        <v>0</v>
      </c>
      <c r="Y139" t="str">
        <f t="shared" si="10"/>
        <v/>
      </c>
      <c r="Z139">
        <f t="shared" si="11"/>
        <v>0</v>
      </c>
    </row>
    <row r="140" spans="1:26" x14ac:dyDescent="0.25">
      <c r="A140" s="3"/>
      <c r="B140" s="7"/>
      <c r="C140" s="2"/>
      <c r="D140" s="3"/>
      <c r="E140" s="3"/>
      <c r="F140" s="3" t="str">
        <f t="shared" si="8"/>
        <v/>
      </c>
      <c r="G140" s="7"/>
      <c r="H140" s="2"/>
      <c r="I140" s="3"/>
      <c r="J140" s="7"/>
      <c r="K140" s="6"/>
      <c r="L140" s="2"/>
      <c r="M140" s="3"/>
      <c r="N140" s="3"/>
      <c r="X140">
        <f t="shared" si="9"/>
        <v>0</v>
      </c>
      <c r="Y140" t="str">
        <f t="shared" si="10"/>
        <v/>
      </c>
      <c r="Z140">
        <f t="shared" si="11"/>
        <v>0</v>
      </c>
    </row>
    <row r="141" spans="1:26" x14ac:dyDescent="0.25">
      <c r="A141" s="3"/>
      <c r="B141" s="7"/>
      <c r="C141" s="2"/>
      <c r="D141" s="3"/>
      <c r="E141" s="3"/>
      <c r="F141" s="3" t="str">
        <f t="shared" si="8"/>
        <v/>
      </c>
      <c r="G141" s="7"/>
      <c r="H141" s="2"/>
      <c r="I141" s="3"/>
      <c r="J141" s="7"/>
      <c r="K141" s="6"/>
      <c r="L141" s="2"/>
      <c r="M141" s="3"/>
      <c r="N141" s="3"/>
      <c r="X141">
        <f t="shared" si="9"/>
        <v>0</v>
      </c>
      <c r="Y141" t="str">
        <f t="shared" si="10"/>
        <v/>
      </c>
      <c r="Z141">
        <f t="shared" si="11"/>
        <v>0</v>
      </c>
    </row>
    <row r="142" spans="1:26" x14ac:dyDescent="0.25">
      <c r="A142" s="3"/>
      <c r="B142" s="7"/>
      <c r="C142" s="2"/>
      <c r="D142" s="3"/>
      <c r="E142" s="3"/>
      <c r="F142" s="3" t="str">
        <f t="shared" si="8"/>
        <v/>
      </c>
      <c r="G142" s="7"/>
      <c r="H142" s="2"/>
      <c r="I142" s="3"/>
      <c r="J142" s="7"/>
      <c r="K142" s="6"/>
      <c r="L142" s="2"/>
      <c r="M142" s="3"/>
      <c r="N142" s="3"/>
      <c r="X142">
        <f t="shared" si="9"/>
        <v>0</v>
      </c>
      <c r="Y142" t="str">
        <f t="shared" si="10"/>
        <v/>
      </c>
      <c r="Z142">
        <f t="shared" si="11"/>
        <v>0</v>
      </c>
    </row>
    <row r="143" spans="1:26" x14ac:dyDescent="0.25">
      <c r="A143" s="3"/>
      <c r="B143" s="7"/>
      <c r="C143" s="2"/>
      <c r="D143" s="3"/>
      <c r="E143" s="3"/>
      <c r="F143" s="3" t="str">
        <f t="shared" si="8"/>
        <v/>
      </c>
      <c r="G143" s="7"/>
      <c r="H143" s="2"/>
      <c r="I143" s="3"/>
      <c r="J143" s="7"/>
      <c r="K143" s="6"/>
      <c r="L143" s="2"/>
      <c r="M143" s="3"/>
      <c r="N143" s="3"/>
      <c r="X143">
        <f t="shared" si="9"/>
        <v>0</v>
      </c>
      <c r="Y143" t="str">
        <f t="shared" si="10"/>
        <v/>
      </c>
      <c r="Z143">
        <f t="shared" si="11"/>
        <v>0</v>
      </c>
    </row>
    <row r="144" spans="1:26" x14ac:dyDescent="0.25">
      <c r="A144" s="3"/>
      <c r="B144" s="7"/>
      <c r="C144" s="2"/>
      <c r="D144" s="3"/>
      <c r="E144" s="3"/>
      <c r="F144" s="3" t="str">
        <f t="shared" si="8"/>
        <v/>
      </c>
      <c r="G144" s="7"/>
      <c r="H144" s="2"/>
      <c r="I144" s="3"/>
      <c r="J144" s="7"/>
      <c r="K144" s="6"/>
      <c r="L144" s="2"/>
      <c r="M144" s="3"/>
      <c r="N144" s="3"/>
      <c r="X144">
        <f t="shared" si="9"/>
        <v>0</v>
      </c>
      <c r="Y144" t="str">
        <f t="shared" si="10"/>
        <v/>
      </c>
      <c r="Z144">
        <f t="shared" si="11"/>
        <v>0</v>
      </c>
    </row>
    <row r="145" spans="1:26" x14ac:dyDescent="0.25">
      <c r="A145" s="3"/>
      <c r="B145" s="7"/>
      <c r="C145" s="2"/>
      <c r="D145" s="3"/>
      <c r="E145" s="3"/>
      <c r="F145" s="3" t="str">
        <f t="shared" si="8"/>
        <v/>
      </c>
      <c r="G145" s="7"/>
      <c r="H145" s="2"/>
      <c r="I145" s="3"/>
      <c r="J145" s="7"/>
      <c r="K145" s="6"/>
      <c r="L145" s="2"/>
      <c r="M145" s="3"/>
      <c r="N145" s="3"/>
      <c r="X145">
        <f t="shared" si="9"/>
        <v>0</v>
      </c>
      <c r="Y145" t="str">
        <f t="shared" si="10"/>
        <v/>
      </c>
      <c r="Z145">
        <f t="shared" si="11"/>
        <v>0</v>
      </c>
    </row>
    <row r="146" spans="1:26" x14ac:dyDescent="0.25">
      <c r="A146" s="3"/>
      <c r="B146" s="7"/>
      <c r="C146" s="2"/>
      <c r="D146" s="3"/>
      <c r="E146" s="3"/>
      <c r="F146" s="3" t="str">
        <f t="shared" si="8"/>
        <v/>
      </c>
      <c r="G146" s="7"/>
      <c r="H146" s="2"/>
      <c r="I146" s="3"/>
      <c r="J146" s="7"/>
      <c r="K146" s="6"/>
      <c r="L146" s="2"/>
      <c r="M146" s="3"/>
      <c r="N146" s="3"/>
      <c r="X146">
        <f t="shared" si="9"/>
        <v>0</v>
      </c>
      <c r="Y146" t="str">
        <f t="shared" si="10"/>
        <v/>
      </c>
      <c r="Z146">
        <f t="shared" si="11"/>
        <v>0</v>
      </c>
    </row>
    <row r="147" spans="1:26" x14ac:dyDescent="0.25">
      <c r="A147" s="3"/>
      <c r="B147" s="7"/>
      <c r="C147" s="2"/>
      <c r="D147" s="3"/>
      <c r="E147" s="3"/>
      <c r="F147" s="3" t="str">
        <f t="shared" si="8"/>
        <v/>
      </c>
      <c r="G147" s="7"/>
      <c r="H147" s="2"/>
      <c r="I147" s="3"/>
      <c r="J147" s="7"/>
      <c r="K147" s="6"/>
      <c r="L147" s="2"/>
      <c r="M147" s="3"/>
      <c r="N147" s="3"/>
      <c r="X147">
        <f t="shared" si="9"/>
        <v>0</v>
      </c>
      <c r="Y147" t="str">
        <f t="shared" si="10"/>
        <v/>
      </c>
      <c r="Z147">
        <f t="shared" si="11"/>
        <v>0</v>
      </c>
    </row>
    <row r="148" spans="1:26" x14ac:dyDescent="0.25">
      <c r="A148" s="3"/>
      <c r="B148" s="7"/>
      <c r="C148" s="2"/>
      <c r="D148" s="3"/>
      <c r="E148" s="3"/>
      <c r="F148" s="3" t="str">
        <f t="shared" si="8"/>
        <v/>
      </c>
      <c r="G148" s="7"/>
      <c r="H148" s="2"/>
      <c r="I148" s="3"/>
      <c r="J148" s="7"/>
      <c r="K148" s="6"/>
      <c r="L148" s="2"/>
      <c r="M148" s="3"/>
      <c r="N148" s="3"/>
      <c r="X148">
        <f t="shared" si="9"/>
        <v>0</v>
      </c>
      <c r="Y148" t="str">
        <f t="shared" si="10"/>
        <v/>
      </c>
      <c r="Z148">
        <f t="shared" si="11"/>
        <v>0</v>
      </c>
    </row>
    <row r="149" spans="1:26" x14ac:dyDescent="0.25">
      <c r="A149" s="3"/>
      <c r="B149" s="7"/>
      <c r="C149" s="2"/>
      <c r="D149" s="3"/>
      <c r="E149" s="3"/>
      <c r="F149" s="3" t="str">
        <f t="shared" si="8"/>
        <v/>
      </c>
      <c r="G149" s="7"/>
      <c r="H149" s="2"/>
      <c r="I149" s="3"/>
      <c r="J149" s="7"/>
      <c r="K149" s="6"/>
      <c r="L149" s="2"/>
      <c r="M149" s="3"/>
      <c r="N149" s="3"/>
      <c r="X149">
        <f t="shared" si="9"/>
        <v>0</v>
      </c>
      <c r="Y149" t="str">
        <f t="shared" si="10"/>
        <v/>
      </c>
      <c r="Z149">
        <f t="shared" si="11"/>
        <v>0</v>
      </c>
    </row>
    <row r="150" spans="1:26" x14ac:dyDescent="0.25">
      <c r="A150" s="3"/>
      <c r="B150" s="7"/>
      <c r="C150" s="2"/>
      <c r="D150" s="3"/>
      <c r="E150" s="3"/>
      <c r="F150" s="3" t="str">
        <f t="shared" si="8"/>
        <v/>
      </c>
      <c r="G150" s="7"/>
      <c r="H150" s="2"/>
      <c r="I150" s="3"/>
      <c r="J150" s="7"/>
      <c r="K150" s="6"/>
      <c r="L150" s="2"/>
      <c r="M150" s="3"/>
      <c r="N150" s="3"/>
      <c r="X150">
        <f t="shared" si="9"/>
        <v>0</v>
      </c>
      <c r="Y150" t="str">
        <f t="shared" si="10"/>
        <v/>
      </c>
      <c r="Z150">
        <f t="shared" si="11"/>
        <v>0</v>
      </c>
    </row>
    <row r="151" spans="1:26" x14ac:dyDescent="0.25">
      <c r="A151" s="3"/>
      <c r="B151" s="7"/>
      <c r="C151" s="2"/>
      <c r="D151" s="3"/>
      <c r="E151" s="3"/>
      <c r="F151" s="3" t="str">
        <f t="shared" si="8"/>
        <v/>
      </c>
      <c r="G151" s="7"/>
      <c r="H151" s="2"/>
      <c r="I151" s="3"/>
      <c r="J151" s="7"/>
      <c r="K151" s="6"/>
      <c r="L151" s="2"/>
      <c r="M151" s="3"/>
      <c r="N151" s="3"/>
      <c r="X151">
        <f t="shared" si="9"/>
        <v>0</v>
      </c>
      <c r="Y151" t="str">
        <f t="shared" si="10"/>
        <v/>
      </c>
      <c r="Z151">
        <f t="shared" si="11"/>
        <v>0</v>
      </c>
    </row>
    <row r="152" spans="1:26" x14ac:dyDescent="0.25">
      <c r="A152" s="3"/>
      <c r="B152" s="7"/>
      <c r="C152" s="2"/>
      <c r="D152" s="3"/>
      <c r="E152" s="3"/>
      <c r="F152" s="3" t="str">
        <f t="shared" si="8"/>
        <v/>
      </c>
      <c r="G152" s="7"/>
      <c r="H152" s="2"/>
      <c r="I152" s="3"/>
      <c r="J152" s="7"/>
      <c r="K152" s="6"/>
      <c r="L152" s="2"/>
      <c r="M152" s="3"/>
      <c r="N152" s="3"/>
      <c r="X152">
        <f t="shared" si="9"/>
        <v>0</v>
      </c>
      <c r="Y152" t="str">
        <f t="shared" si="10"/>
        <v/>
      </c>
      <c r="Z152">
        <f t="shared" si="11"/>
        <v>0</v>
      </c>
    </row>
    <row r="153" spans="1:26" x14ac:dyDescent="0.25">
      <c r="A153" s="3"/>
      <c r="B153" s="7"/>
      <c r="C153" s="2"/>
      <c r="D153" s="3"/>
      <c r="E153" s="3"/>
      <c r="F153" s="3" t="str">
        <f t="shared" si="8"/>
        <v/>
      </c>
      <c r="G153" s="7"/>
      <c r="H153" s="2"/>
      <c r="I153" s="3"/>
      <c r="J153" s="7"/>
      <c r="K153" s="6"/>
      <c r="L153" s="2"/>
      <c r="M153" s="3"/>
      <c r="N153" s="3"/>
      <c r="X153">
        <f t="shared" si="9"/>
        <v>0</v>
      </c>
      <c r="Y153" t="str">
        <f t="shared" si="10"/>
        <v/>
      </c>
      <c r="Z153">
        <f t="shared" si="11"/>
        <v>0</v>
      </c>
    </row>
    <row r="154" spans="1:26" x14ac:dyDescent="0.25">
      <c r="A154" s="3"/>
      <c r="B154" s="7"/>
      <c r="C154" s="2"/>
      <c r="D154" s="3"/>
      <c r="E154" s="3"/>
      <c r="F154" s="3" t="str">
        <f t="shared" si="8"/>
        <v/>
      </c>
      <c r="G154" s="7"/>
      <c r="H154" s="2"/>
      <c r="I154" s="3"/>
      <c r="J154" s="7"/>
      <c r="K154" s="6"/>
      <c r="L154" s="2"/>
      <c r="M154" s="3"/>
      <c r="N154" s="3"/>
      <c r="X154">
        <f t="shared" si="9"/>
        <v>0</v>
      </c>
      <c r="Y154" t="str">
        <f t="shared" si="10"/>
        <v/>
      </c>
      <c r="Z154">
        <f t="shared" si="11"/>
        <v>0</v>
      </c>
    </row>
    <row r="155" spans="1:26" x14ac:dyDescent="0.25">
      <c r="A155" s="3"/>
      <c r="B155" s="7"/>
      <c r="C155" s="2"/>
      <c r="D155" s="3"/>
      <c r="E155" s="3"/>
      <c r="F155" s="3" t="str">
        <f t="shared" si="8"/>
        <v/>
      </c>
      <c r="G155" s="7"/>
      <c r="H155" s="2"/>
      <c r="I155" s="3"/>
      <c r="J155" s="7"/>
      <c r="K155" s="6"/>
      <c r="L155" s="2"/>
      <c r="M155" s="3"/>
      <c r="N155" s="3"/>
      <c r="X155">
        <f t="shared" si="9"/>
        <v>0</v>
      </c>
      <c r="Y155" t="str">
        <f t="shared" si="10"/>
        <v/>
      </c>
      <c r="Z155">
        <f t="shared" si="11"/>
        <v>0</v>
      </c>
    </row>
    <row r="156" spans="1:26" x14ac:dyDescent="0.25">
      <c r="A156" s="3"/>
      <c r="B156" s="7"/>
      <c r="C156" s="2"/>
      <c r="D156" s="3"/>
      <c r="E156" s="3"/>
      <c r="F156" s="3" t="str">
        <f t="shared" si="8"/>
        <v/>
      </c>
      <c r="G156" s="7"/>
      <c r="H156" s="2"/>
      <c r="I156" s="3"/>
      <c r="J156" s="7"/>
      <c r="K156" s="6"/>
      <c r="L156" s="2"/>
      <c r="M156" s="3"/>
      <c r="N156" s="3"/>
      <c r="X156">
        <f t="shared" si="9"/>
        <v>0</v>
      </c>
      <c r="Y156" t="str">
        <f t="shared" si="10"/>
        <v/>
      </c>
      <c r="Z156">
        <f t="shared" si="11"/>
        <v>0</v>
      </c>
    </row>
    <row r="157" spans="1:26" x14ac:dyDescent="0.25">
      <c r="A157" s="3"/>
      <c r="B157" s="7"/>
      <c r="C157" s="2"/>
      <c r="D157" s="3"/>
      <c r="E157" s="3"/>
      <c r="F157" s="3" t="str">
        <f t="shared" si="8"/>
        <v/>
      </c>
      <c r="G157" s="7"/>
      <c r="H157" s="2"/>
      <c r="I157" s="3"/>
      <c r="J157" s="7"/>
      <c r="K157" s="6"/>
      <c r="L157" s="2"/>
      <c r="M157" s="3"/>
      <c r="N157" s="3"/>
      <c r="X157">
        <f t="shared" si="9"/>
        <v>0</v>
      </c>
      <c r="Y157" t="str">
        <f t="shared" si="10"/>
        <v/>
      </c>
      <c r="Z157">
        <f t="shared" si="11"/>
        <v>0</v>
      </c>
    </row>
    <row r="158" spans="1:26" x14ac:dyDescent="0.25">
      <c r="A158" s="3"/>
      <c r="B158" s="7"/>
      <c r="C158" s="2"/>
      <c r="D158" s="3"/>
      <c r="E158" s="3"/>
      <c r="F158" s="3" t="str">
        <f t="shared" si="8"/>
        <v/>
      </c>
      <c r="G158" s="7"/>
      <c r="H158" s="2"/>
      <c r="I158" s="3"/>
      <c r="J158" s="7"/>
      <c r="K158" s="6"/>
      <c r="L158" s="2"/>
      <c r="M158" s="3"/>
      <c r="N158" s="3"/>
      <c r="X158">
        <f t="shared" si="9"/>
        <v>0</v>
      </c>
      <c r="Y158" t="str">
        <f t="shared" si="10"/>
        <v/>
      </c>
      <c r="Z158">
        <f t="shared" si="11"/>
        <v>0</v>
      </c>
    </row>
    <row r="159" spans="1:26" x14ac:dyDescent="0.25">
      <c r="A159" s="3"/>
      <c r="B159" s="7"/>
      <c r="C159" s="2"/>
      <c r="D159" s="3"/>
      <c r="E159" s="3"/>
      <c r="F159" s="3" t="str">
        <f t="shared" si="8"/>
        <v/>
      </c>
      <c r="G159" s="7"/>
      <c r="H159" s="2"/>
      <c r="I159" s="3"/>
      <c r="J159" s="7"/>
      <c r="K159" s="6"/>
      <c r="L159" s="2"/>
      <c r="M159" s="3"/>
      <c r="N159" s="3"/>
      <c r="X159">
        <f t="shared" si="9"/>
        <v>0</v>
      </c>
      <c r="Y159" t="str">
        <f t="shared" si="10"/>
        <v/>
      </c>
      <c r="Z159">
        <f t="shared" si="11"/>
        <v>0</v>
      </c>
    </row>
    <row r="160" spans="1:26" x14ac:dyDescent="0.25">
      <c r="A160" s="3"/>
      <c r="B160" s="7"/>
      <c r="C160" s="2"/>
      <c r="D160" s="3"/>
      <c r="E160" s="3"/>
      <c r="F160" s="3" t="str">
        <f t="shared" si="8"/>
        <v/>
      </c>
      <c r="G160" s="7"/>
      <c r="H160" s="2"/>
      <c r="I160" s="3"/>
      <c r="J160" s="7"/>
      <c r="K160" s="6"/>
      <c r="L160" s="2"/>
      <c r="M160" s="3"/>
      <c r="N160" s="3"/>
      <c r="X160">
        <f t="shared" si="9"/>
        <v>0</v>
      </c>
      <c r="Y160" t="str">
        <f t="shared" si="10"/>
        <v/>
      </c>
      <c r="Z160">
        <f t="shared" si="11"/>
        <v>0</v>
      </c>
    </row>
    <row r="161" spans="1:26" x14ac:dyDescent="0.25">
      <c r="A161" s="3"/>
      <c r="B161" s="7"/>
      <c r="C161" s="2"/>
      <c r="D161" s="3"/>
      <c r="E161" s="3"/>
      <c r="F161" s="3" t="str">
        <f t="shared" si="8"/>
        <v/>
      </c>
      <c r="G161" s="7"/>
      <c r="H161" s="2"/>
      <c r="I161" s="3"/>
      <c r="J161" s="7"/>
      <c r="K161" s="6"/>
      <c r="L161" s="2"/>
      <c r="M161" s="3"/>
      <c r="N161" s="3"/>
      <c r="X161">
        <f t="shared" si="9"/>
        <v>0</v>
      </c>
      <c r="Y161" t="str">
        <f t="shared" si="10"/>
        <v/>
      </c>
      <c r="Z161">
        <f t="shared" si="11"/>
        <v>0</v>
      </c>
    </row>
    <row r="162" spans="1:26" x14ac:dyDescent="0.25">
      <c r="A162" s="3"/>
      <c r="B162" s="7"/>
      <c r="C162" s="2"/>
      <c r="D162" s="3"/>
      <c r="E162" s="3"/>
      <c r="F162" s="3" t="str">
        <f t="shared" si="8"/>
        <v/>
      </c>
      <c r="G162" s="7"/>
      <c r="H162" s="2"/>
      <c r="I162" s="3"/>
      <c r="J162" s="7"/>
      <c r="K162" s="6"/>
      <c r="L162" s="2"/>
      <c r="M162" s="3"/>
      <c r="N162" s="3"/>
      <c r="X162">
        <f t="shared" si="9"/>
        <v>0</v>
      </c>
      <c r="Y162" t="str">
        <f t="shared" si="10"/>
        <v/>
      </c>
      <c r="Z162">
        <f t="shared" si="11"/>
        <v>0</v>
      </c>
    </row>
    <row r="163" spans="1:26" x14ac:dyDescent="0.25">
      <c r="A163" s="3"/>
      <c r="B163" s="7"/>
      <c r="C163" s="2"/>
      <c r="D163" s="3"/>
      <c r="E163" s="3"/>
      <c r="F163" s="3" t="str">
        <f t="shared" si="8"/>
        <v/>
      </c>
      <c r="G163" s="7"/>
      <c r="H163" s="2"/>
      <c r="I163" s="3"/>
      <c r="J163" s="7"/>
      <c r="K163" s="6"/>
      <c r="L163" s="2"/>
      <c r="M163" s="3"/>
      <c r="N163" s="3"/>
      <c r="X163">
        <f t="shared" si="9"/>
        <v>0</v>
      </c>
      <c r="Y163" t="str">
        <f t="shared" si="10"/>
        <v/>
      </c>
      <c r="Z163">
        <f t="shared" si="11"/>
        <v>0</v>
      </c>
    </row>
    <row r="164" spans="1:26" x14ac:dyDescent="0.25">
      <c r="A164" s="3"/>
      <c r="B164" s="7"/>
      <c r="C164" s="2"/>
      <c r="D164" s="3"/>
      <c r="E164" s="3"/>
      <c r="F164" s="3" t="str">
        <f t="shared" si="8"/>
        <v/>
      </c>
      <c r="G164" s="7"/>
      <c r="H164" s="2"/>
      <c r="I164" s="3"/>
      <c r="J164" s="7"/>
      <c r="K164" s="6"/>
      <c r="L164" s="2"/>
      <c r="M164" s="3"/>
      <c r="N164" s="3"/>
      <c r="X164">
        <f t="shared" si="9"/>
        <v>0</v>
      </c>
      <c r="Y164" t="str">
        <f t="shared" si="10"/>
        <v/>
      </c>
      <c r="Z164">
        <f t="shared" si="11"/>
        <v>0</v>
      </c>
    </row>
    <row r="165" spans="1:26" x14ac:dyDescent="0.25">
      <c r="A165" s="3"/>
      <c r="B165" s="7"/>
      <c r="C165" s="2"/>
      <c r="D165" s="3"/>
      <c r="E165" s="3"/>
      <c r="F165" s="3" t="str">
        <f t="shared" si="8"/>
        <v/>
      </c>
      <c r="G165" s="7"/>
      <c r="H165" s="2"/>
      <c r="I165" s="3"/>
      <c r="J165" s="7"/>
      <c r="K165" s="6"/>
      <c r="L165" s="2"/>
      <c r="M165" s="3"/>
      <c r="N165" s="3"/>
      <c r="X165">
        <f t="shared" si="9"/>
        <v>0</v>
      </c>
      <c r="Y165" t="str">
        <f t="shared" si="10"/>
        <v/>
      </c>
      <c r="Z165">
        <f t="shared" si="11"/>
        <v>0</v>
      </c>
    </row>
    <row r="166" spans="1:26" x14ac:dyDescent="0.25">
      <c r="A166" s="3"/>
      <c r="B166" s="7"/>
      <c r="C166" s="2"/>
      <c r="D166" s="3"/>
      <c r="E166" s="3"/>
      <c r="F166" s="3" t="str">
        <f t="shared" si="8"/>
        <v/>
      </c>
      <c r="G166" s="7"/>
      <c r="H166" s="2"/>
      <c r="I166" s="3"/>
      <c r="J166" s="7"/>
      <c r="K166" s="6"/>
      <c r="L166" s="2"/>
      <c r="M166" s="3"/>
      <c r="N166" s="3"/>
      <c r="X166">
        <f t="shared" si="9"/>
        <v>0</v>
      </c>
      <c r="Y166" t="str">
        <f t="shared" si="10"/>
        <v/>
      </c>
      <c r="Z166">
        <f t="shared" si="11"/>
        <v>0</v>
      </c>
    </row>
    <row r="167" spans="1:26" x14ac:dyDescent="0.25">
      <c r="A167" s="3"/>
      <c r="B167" s="7"/>
      <c r="C167" s="2"/>
      <c r="D167" s="3"/>
      <c r="E167" s="3"/>
      <c r="F167" s="3" t="str">
        <f t="shared" si="8"/>
        <v/>
      </c>
      <c r="G167" s="7"/>
      <c r="H167" s="2"/>
      <c r="I167" s="3"/>
      <c r="J167" s="7"/>
      <c r="K167" s="6"/>
      <c r="L167" s="2"/>
      <c r="M167" s="3"/>
      <c r="N167" s="3"/>
      <c r="X167">
        <f t="shared" si="9"/>
        <v>0</v>
      </c>
      <c r="Y167" t="str">
        <f t="shared" si="10"/>
        <v/>
      </c>
      <c r="Z167">
        <f t="shared" si="11"/>
        <v>0</v>
      </c>
    </row>
    <row r="168" spans="1:26" x14ac:dyDescent="0.25">
      <c r="A168" s="3"/>
      <c r="B168" s="7"/>
      <c r="C168" s="2"/>
      <c r="D168" s="3"/>
      <c r="E168" s="3"/>
      <c r="F168" s="3" t="str">
        <f t="shared" si="8"/>
        <v/>
      </c>
      <c r="G168" s="7"/>
      <c r="H168" s="2"/>
      <c r="I168" s="3"/>
      <c r="J168" s="7"/>
      <c r="K168" s="6"/>
      <c r="L168" s="2"/>
      <c r="M168" s="3"/>
      <c r="N168" s="3"/>
      <c r="X168">
        <f t="shared" si="9"/>
        <v>0</v>
      </c>
      <c r="Y168" t="str">
        <f t="shared" si="10"/>
        <v/>
      </c>
      <c r="Z168">
        <f t="shared" si="11"/>
        <v>0</v>
      </c>
    </row>
    <row r="169" spans="1:26" x14ac:dyDescent="0.25">
      <c r="A169" s="3"/>
      <c r="B169" s="7"/>
      <c r="C169" s="2"/>
      <c r="D169" s="3"/>
      <c r="E169" s="3"/>
      <c r="F169" s="3" t="str">
        <f t="shared" si="8"/>
        <v/>
      </c>
      <c r="G169" s="7"/>
      <c r="H169" s="2"/>
      <c r="I169" s="3"/>
      <c r="J169" s="7"/>
      <c r="K169" s="6"/>
      <c r="L169" s="2"/>
      <c r="M169" s="3"/>
      <c r="N169" s="3"/>
      <c r="X169">
        <f t="shared" si="9"/>
        <v>0</v>
      </c>
      <c r="Y169" t="str">
        <f t="shared" si="10"/>
        <v/>
      </c>
      <c r="Z169">
        <f t="shared" si="11"/>
        <v>0</v>
      </c>
    </row>
    <row r="170" spans="1:26" x14ac:dyDescent="0.25">
      <c r="A170" s="3"/>
      <c r="B170" s="7"/>
      <c r="C170" s="2"/>
      <c r="D170" s="3"/>
      <c r="E170" s="3"/>
      <c r="F170" s="3" t="str">
        <f t="shared" si="8"/>
        <v/>
      </c>
      <c r="G170" s="7"/>
      <c r="H170" s="2"/>
      <c r="I170" s="3"/>
      <c r="J170" s="7"/>
      <c r="K170" s="6"/>
      <c r="L170" s="2"/>
      <c r="M170" s="3"/>
      <c r="N170" s="3"/>
      <c r="X170">
        <f t="shared" si="9"/>
        <v>0</v>
      </c>
      <c r="Y170" t="str">
        <f t="shared" si="10"/>
        <v/>
      </c>
      <c r="Z170">
        <f t="shared" si="11"/>
        <v>0</v>
      </c>
    </row>
    <row r="171" spans="1:26" x14ac:dyDescent="0.25">
      <c r="A171" s="3"/>
      <c r="B171" s="7"/>
      <c r="C171" s="2"/>
      <c r="D171" s="3"/>
      <c r="E171" s="3"/>
      <c r="F171" s="3" t="str">
        <f t="shared" si="8"/>
        <v/>
      </c>
      <c r="G171" s="7"/>
      <c r="H171" s="2"/>
      <c r="I171" s="3"/>
      <c r="J171" s="7"/>
      <c r="K171" s="6"/>
      <c r="L171" s="2"/>
      <c r="M171" s="3"/>
      <c r="N171" s="3"/>
      <c r="X171">
        <f t="shared" si="9"/>
        <v>0</v>
      </c>
      <c r="Y171" t="str">
        <f t="shared" si="10"/>
        <v/>
      </c>
      <c r="Z171">
        <f t="shared" si="11"/>
        <v>0</v>
      </c>
    </row>
    <row r="172" spans="1:26" x14ac:dyDescent="0.25">
      <c r="A172" s="3"/>
      <c r="B172" s="7"/>
      <c r="C172" s="2"/>
      <c r="D172" s="3"/>
      <c r="E172" s="3"/>
      <c r="F172" s="3" t="str">
        <f t="shared" si="8"/>
        <v/>
      </c>
      <c r="G172" s="7"/>
      <c r="H172" s="2"/>
      <c r="I172" s="3"/>
      <c r="J172" s="7"/>
      <c r="K172" s="6"/>
      <c r="L172" s="2"/>
      <c r="M172" s="3"/>
      <c r="N172" s="3"/>
      <c r="X172">
        <f t="shared" si="9"/>
        <v>0</v>
      </c>
      <c r="Y172" t="str">
        <f t="shared" si="10"/>
        <v/>
      </c>
      <c r="Z172">
        <f t="shared" si="11"/>
        <v>0</v>
      </c>
    </row>
    <row r="173" spans="1:26" x14ac:dyDescent="0.25">
      <c r="A173" s="3"/>
      <c r="B173" s="7"/>
      <c r="C173" s="2"/>
      <c r="D173" s="3"/>
      <c r="E173" s="3"/>
      <c r="F173" s="3" t="str">
        <f t="shared" si="8"/>
        <v/>
      </c>
      <c r="G173" s="7"/>
      <c r="H173" s="2"/>
      <c r="I173" s="3"/>
      <c r="J173" s="7"/>
      <c r="K173" s="6"/>
      <c r="L173" s="2"/>
      <c r="M173" s="3"/>
      <c r="N173" s="3"/>
      <c r="X173">
        <f t="shared" si="9"/>
        <v>0</v>
      </c>
      <c r="Y173" t="str">
        <f t="shared" si="10"/>
        <v/>
      </c>
      <c r="Z173">
        <f t="shared" si="11"/>
        <v>0</v>
      </c>
    </row>
    <row r="174" spans="1:26" x14ac:dyDescent="0.25">
      <c r="A174" s="3"/>
      <c r="B174" s="7"/>
      <c r="C174" s="2"/>
      <c r="D174" s="3"/>
      <c r="E174" s="3"/>
      <c r="F174" s="3" t="str">
        <f t="shared" si="8"/>
        <v/>
      </c>
      <c r="G174" s="7"/>
      <c r="H174" s="2"/>
      <c r="I174" s="3"/>
      <c r="J174" s="7"/>
      <c r="K174" s="6"/>
      <c r="L174" s="2"/>
      <c r="M174" s="3"/>
      <c r="N174" s="3"/>
      <c r="X174">
        <f t="shared" si="9"/>
        <v>0</v>
      </c>
      <c r="Y174" t="str">
        <f t="shared" si="10"/>
        <v/>
      </c>
      <c r="Z174">
        <f t="shared" si="11"/>
        <v>0</v>
      </c>
    </row>
    <row r="175" spans="1:26" x14ac:dyDescent="0.25">
      <c r="A175" s="3"/>
      <c r="B175" s="7"/>
      <c r="C175" s="2"/>
      <c r="D175" s="3"/>
      <c r="E175" s="3"/>
      <c r="F175" s="3" t="str">
        <f t="shared" si="8"/>
        <v/>
      </c>
      <c r="G175" s="7"/>
      <c r="H175" s="2"/>
      <c r="I175" s="3"/>
      <c r="J175" s="7"/>
      <c r="K175" s="6"/>
      <c r="L175" s="2"/>
      <c r="M175" s="3"/>
      <c r="N175" s="3"/>
      <c r="X175">
        <f t="shared" si="9"/>
        <v>0</v>
      </c>
      <c r="Y175" t="str">
        <f t="shared" si="10"/>
        <v/>
      </c>
      <c r="Z175">
        <f t="shared" si="11"/>
        <v>0</v>
      </c>
    </row>
    <row r="176" spans="1:26" x14ac:dyDescent="0.25">
      <c r="A176" s="3"/>
      <c r="B176" s="7"/>
      <c r="C176" s="2"/>
      <c r="D176" s="3"/>
      <c r="E176" s="3"/>
      <c r="F176" s="3" t="str">
        <f t="shared" si="8"/>
        <v/>
      </c>
      <c r="G176" s="7"/>
      <c r="H176" s="2"/>
      <c r="I176" s="3"/>
      <c r="J176" s="7"/>
      <c r="K176" s="6"/>
      <c r="L176" s="2"/>
      <c r="M176" s="3"/>
      <c r="N176" s="3"/>
      <c r="X176">
        <f t="shared" si="9"/>
        <v>0</v>
      </c>
      <c r="Y176" t="str">
        <f t="shared" si="10"/>
        <v/>
      </c>
      <c r="Z176">
        <f t="shared" si="11"/>
        <v>0</v>
      </c>
    </row>
    <row r="177" spans="1:26" x14ac:dyDescent="0.25">
      <c r="A177" s="3"/>
      <c r="B177" s="7"/>
      <c r="C177" s="2"/>
      <c r="D177" s="3"/>
      <c r="E177" s="3"/>
      <c r="F177" s="3" t="str">
        <f t="shared" si="8"/>
        <v/>
      </c>
      <c r="G177" s="7"/>
      <c r="H177" s="2"/>
      <c r="I177" s="3"/>
      <c r="J177" s="7"/>
      <c r="K177" s="6"/>
      <c r="L177" s="2"/>
      <c r="M177" s="3"/>
      <c r="N177" s="3"/>
      <c r="X177">
        <f t="shared" si="9"/>
        <v>0</v>
      </c>
      <c r="Y177" t="str">
        <f t="shared" si="10"/>
        <v/>
      </c>
      <c r="Z177">
        <f t="shared" si="11"/>
        <v>0</v>
      </c>
    </row>
    <row r="178" spans="1:26" x14ac:dyDescent="0.25">
      <c r="A178" s="3"/>
      <c r="B178" s="7"/>
      <c r="C178" s="2"/>
      <c r="D178" s="3"/>
      <c r="E178" s="3"/>
      <c r="F178" s="3" t="str">
        <f t="shared" si="8"/>
        <v/>
      </c>
      <c r="G178" s="7"/>
      <c r="H178" s="2"/>
      <c r="I178" s="3"/>
      <c r="J178" s="7"/>
      <c r="K178" s="6"/>
      <c r="L178" s="2"/>
      <c r="M178" s="3"/>
      <c r="N178" s="3"/>
      <c r="X178">
        <f t="shared" si="9"/>
        <v>0</v>
      </c>
      <c r="Y178" t="str">
        <f t="shared" si="10"/>
        <v/>
      </c>
      <c r="Z178">
        <f t="shared" si="11"/>
        <v>0</v>
      </c>
    </row>
    <row r="179" spans="1:26" x14ac:dyDescent="0.25">
      <c r="A179" s="3"/>
      <c r="B179" s="7"/>
      <c r="C179" s="2"/>
      <c r="D179" s="3"/>
      <c r="E179" s="3"/>
      <c r="F179" s="3" t="str">
        <f t="shared" si="8"/>
        <v/>
      </c>
      <c r="G179" s="7"/>
      <c r="H179" s="2"/>
      <c r="I179" s="3"/>
      <c r="J179" s="7"/>
      <c r="K179" s="6"/>
      <c r="L179" s="2"/>
      <c r="M179" s="3"/>
      <c r="N179" s="3"/>
      <c r="X179">
        <f t="shared" si="9"/>
        <v>0</v>
      </c>
      <c r="Y179" t="str">
        <f t="shared" si="10"/>
        <v/>
      </c>
      <c r="Z179">
        <f t="shared" si="11"/>
        <v>0</v>
      </c>
    </row>
    <row r="180" spans="1:26" x14ac:dyDescent="0.25">
      <c r="A180" s="3"/>
      <c r="B180" s="7"/>
      <c r="C180" s="2"/>
      <c r="D180" s="3"/>
      <c r="E180" s="3"/>
      <c r="F180" s="3" t="str">
        <f t="shared" si="8"/>
        <v/>
      </c>
      <c r="G180" s="7"/>
      <c r="H180" s="2"/>
      <c r="I180" s="3"/>
      <c r="J180" s="7"/>
      <c r="K180" s="6"/>
      <c r="L180" s="2"/>
      <c r="M180" s="3"/>
      <c r="N180" s="3"/>
      <c r="X180">
        <f t="shared" si="9"/>
        <v>0</v>
      </c>
      <c r="Y180" t="str">
        <f t="shared" si="10"/>
        <v/>
      </c>
      <c r="Z180">
        <f t="shared" si="11"/>
        <v>0</v>
      </c>
    </row>
    <row r="181" spans="1:26" x14ac:dyDescent="0.25">
      <c r="A181" s="3"/>
      <c r="B181" s="7"/>
      <c r="C181" s="2"/>
      <c r="D181" s="3"/>
      <c r="E181" s="3"/>
      <c r="F181" s="3" t="str">
        <f t="shared" si="8"/>
        <v/>
      </c>
      <c r="G181" s="7"/>
      <c r="H181" s="2"/>
      <c r="I181" s="3"/>
      <c r="J181" s="7"/>
      <c r="K181" s="6"/>
      <c r="L181" s="2"/>
      <c r="M181" s="3"/>
      <c r="N181" s="3"/>
      <c r="X181">
        <f t="shared" si="9"/>
        <v>0</v>
      </c>
      <c r="Y181" t="str">
        <f t="shared" si="10"/>
        <v/>
      </c>
      <c r="Z181">
        <f t="shared" si="11"/>
        <v>0</v>
      </c>
    </row>
    <row r="182" spans="1:26" x14ac:dyDescent="0.25">
      <c r="A182" s="3"/>
      <c r="B182" s="7"/>
      <c r="C182" s="2"/>
      <c r="D182" s="3"/>
      <c r="E182" s="3"/>
      <c r="F182" s="3" t="str">
        <f t="shared" si="8"/>
        <v/>
      </c>
      <c r="G182" s="7"/>
      <c r="H182" s="2"/>
      <c r="I182" s="3"/>
      <c r="J182" s="7"/>
      <c r="K182" s="6"/>
      <c r="L182" s="2"/>
      <c r="M182" s="3"/>
      <c r="N182" s="3"/>
      <c r="X182">
        <f t="shared" si="9"/>
        <v>0</v>
      </c>
      <c r="Y182" t="str">
        <f t="shared" si="10"/>
        <v/>
      </c>
      <c r="Z182">
        <f t="shared" si="11"/>
        <v>0</v>
      </c>
    </row>
    <row r="183" spans="1:26" x14ac:dyDescent="0.25">
      <c r="A183" s="3"/>
      <c r="B183" s="7"/>
      <c r="C183" s="2"/>
      <c r="D183" s="3"/>
      <c r="E183" s="3"/>
      <c r="F183" s="3" t="str">
        <f t="shared" si="8"/>
        <v/>
      </c>
      <c r="G183" s="7"/>
      <c r="H183" s="2"/>
      <c r="I183" s="3"/>
      <c r="J183" s="7"/>
      <c r="K183" s="6"/>
      <c r="L183" s="2"/>
      <c r="M183" s="3"/>
      <c r="N183" s="3"/>
      <c r="X183">
        <f t="shared" si="9"/>
        <v>0</v>
      </c>
      <c r="Y183" t="str">
        <f t="shared" si="10"/>
        <v/>
      </c>
      <c r="Z183">
        <f t="shared" si="11"/>
        <v>0</v>
      </c>
    </row>
    <row r="184" spans="1:26" x14ac:dyDescent="0.25">
      <c r="A184" s="3"/>
      <c r="B184" s="7"/>
      <c r="C184" s="2"/>
      <c r="D184" s="3"/>
      <c r="E184" s="3"/>
      <c r="F184" s="3" t="str">
        <f t="shared" si="8"/>
        <v/>
      </c>
      <c r="G184" s="7"/>
      <c r="H184" s="2"/>
      <c r="I184" s="3"/>
      <c r="J184" s="7"/>
      <c r="K184" s="6"/>
      <c r="L184" s="2"/>
      <c r="M184" s="3"/>
      <c r="N184" s="3"/>
      <c r="X184">
        <f t="shared" si="9"/>
        <v>0</v>
      </c>
      <c r="Y184" t="str">
        <f t="shared" si="10"/>
        <v/>
      </c>
      <c r="Z184">
        <f t="shared" si="11"/>
        <v>0</v>
      </c>
    </row>
    <row r="185" spans="1:26" x14ac:dyDescent="0.25">
      <c r="A185" s="3"/>
      <c r="B185" s="7"/>
      <c r="C185" s="2"/>
      <c r="D185" s="3"/>
      <c r="E185" s="3"/>
      <c r="F185" s="3" t="str">
        <f t="shared" si="8"/>
        <v/>
      </c>
      <c r="G185" s="7"/>
      <c r="H185" s="2"/>
      <c r="I185" s="3"/>
      <c r="J185" s="7"/>
      <c r="K185" s="6"/>
      <c r="L185" s="2"/>
      <c r="M185" s="3"/>
      <c r="N185" s="3"/>
      <c r="X185">
        <f t="shared" si="9"/>
        <v>0</v>
      </c>
      <c r="Y185" t="str">
        <f t="shared" si="10"/>
        <v/>
      </c>
      <c r="Z185">
        <f t="shared" si="11"/>
        <v>0</v>
      </c>
    </row>
    <row r="186" spans="1:26" x14ac:dyDescent="0.25">
      <c r="A186" s="3"/>
      <c r="B186" s="7"/>
      <c r="C186" s="2"/>
      <c r="D186" s="3"/>
      <c r="E186" s="3"/>
      <c r="F186" s="3" t="str">
        <f t="shared" si="8"/>
        <v/>
      </c>
      <c r="G186" s="7"/>
      <c r="H186" s="2"/>
      <c r="I186" s="3"/>
      <c r="J186" s="7"/>
      <c r="K186" s="6"/>
      <c r="L186" s="2"/>
      <c r="M186" s="3"/>
      <c r="N186" s="3"/>
      <c r="X186">
        <f t="shared" si="9"/>
        <v>0</v>
      </c>
      <c r="Y186" t="str">
        <f t="shared" si="10"/>
        <v/>
      </c>
      <c r="Z186">
        <f t="shared" si="11"/>
        <v>0</v>
      </c>
    </row>
    <row r="187" spans="1:26" x14ac:dyDescent="0.25">
      <c r="A187" s="3"/>
      <c r="B187" s="7"/>
      <c r="C187" s="2"/>
      <c r="D187" s="3"/>
      <c r="E187" s="3"/>
      <c r="F187" s="3" t="str">
        <f t="shared" si="8"/>
        <v/>
      </c>
      <c r="G187" s="7"/>
      <c r="H187" s="2"/>
      <c r="I187" s="3"/>
      <c r="J187" s="7"/>
      <c r="K187" s="6"/>
      <c r="L187" s="2"/>
      <c r="M187" s="3"/>
      <c r="N187" s="3"/>
      <c r="X187">
        <f t="shared" si="9"/>
        <v>0</v>
      </c>
      <c r="Y187" t="str">
        <f t="shared" si="10"/>
        <v/>
      </c>
      <c r="Z187">
        <f t="shared" si="11"/>
        <v>0</v>
      </c>
    </row>
    <row r="188" spans="1:26" x14ac:dyDescent="0.25">
      <c r="A188" s="3"/>
      <c r="B188" s="7"/>
      <c r="C188" s="2"/>
      <c r="D188" s="3"/>
      <c r="E188" s="3"/>
      <c r="F188" s="3" t="str">
        <f t="shared" si="8"/>
        <v/>
      </c>
      <c r="G188" s="7"/>
      <c r="H188" s="2"/>
      <c r="I188" s="3"/>
      <c r="J188" s="7"/>
      <c r="K188" s="6"/>
      <c r="L188" s="2"/>
      <c r="M188" s="3"/>
      <c r="N188" s="3"/>
      <c r="X188">
        <f t="shared" si="9"/>
        <v>0</v>
      </c>
      <c r="Y188" t="str">
        <f t="shared" si="10"/>
        <v/>
      </c>
      <c r="Z188">
        <f t="shared" si="11"/>
        <v>0</v>
      </c>
    </row>
    <row r="189" spans="1:26" x14ac:dyDescent="0.25">
      <c r="A189" s="3"/>
      <c r="B189" s="7"/>
      <c r="C189" s="2"/>
      <c r="D189" s="3"/>
      <c r="E189" s="3"/>
      <c r="F189" s="3" t="str">
        <f t="shared" si="8"/>
        <v/>
      </c>
      <c r="G189" s="7"/>
      <c r="H189" s="2"/>
      <c r="I189" s="3"/>
      <c r="J189" s="7"/>
      <c r="K189" s="6"/>
      <c r="L189" s="2"/>
      <c r="M189" s="3"/>
      <c r="N189" s="3"/>
      <c r="X189">
        <f t="shared" si="9"/>
        <v>0</v>
      </c>
      <c r="Y189" t="str">
        <f t="shared" si="10"/>
        <v/>
      </c>
      <c r="Z189">
        <f t="shared" si="11"/>
        <v>0</v>
      </c>
    </row>
    <row r="190" spans="1:26" x14ac:dyDescent="0.25">
      <c r="A190" s="3"/>
      <c r="B190" s="7"/>
      <c r="C190" s="2"/>
      <c r="D190" s="3"/>
      <c r="E190" s="3"/>
      <c r="F190" s="3" t="str">
        <f t="shared" si="8"/>
        <v/>
      </c>
      <c r="G190" s="7"/>
      <c r="H190" s="2"/>
      <c r="I190" s="3"/>
      <c r="J190" s="7"/>
      <c r="K190" s="6"/>
      <c r="L190" s="2"/>
      <c r="M190" s="3"/>
      <c r="N190" s="3"/>
      <c r="X190">
        <f t="shared" si="9"/>
        <v>0</v>
      </c>
      <c r="Y190" t="str">
        <f t="shared" si="10"/>
        <v/>
      </c>
      <c r="Z190">
        <f t="shared" si="11"/>
        <v>0</v>
      </c>
    </row>
    <row r="191" spans="1:26" x14ac:dyDescent="0.25">
      <c r="A191" s="3"/>
      <c r="B191" s="7"/>
      <c r="C191" s="2"/>
      <c r="D191" s="3"/>
      <c r="E191" s="3"/>
      <c r="F191" s="3" t="str">
        <f t="shared" si="8"/>
        <v/>
      </c>
      <c r="G191" s="7"/>
      <c r="H191" s="2"/>
      <c r="I191" s="3"/>
      <c r="J191" s="7"/>
      <c r="K191" s="6"/>
      <c r="L191" s="2"/>
      <c r="M191" s="3"/>
      <c r="N191" s="3"/>
      <c r="X191">
        <f t="shared" si="9"/>
        <v>0</v>
      </c>
      <c r="Y191" t="str">
        <f t="shared" si="10"/>
        <v/>
      </c>
      <c r="Z191">
        <f t="shared" si="11"/>
        <v>0</v>
      </c>
    </row>
    <row r="192" spans="1:26" x14ac:dyDescent="0.25">
      <c r="A192" s="3"/>
      <c r="B192" s="7"/>
      <c r="C192" s="2"/>
      <c r="D192" s="3"/>
      <c r="E192" s="3"/>
      <c r="F192" s="3" t="str">
        <f t="shared" si="8"/>
        <v/>
      </c>
      <c r="G192" s="7"/>
      <c r="H192" s="2"/>
      <c r="I192" s="3"/>
      <c r="J192" s="7"/>
      <c r="K192" s="6"/>
      <c r="L192" s="2"/>
      <c r="M192" s="3"/>
      <c r="N192" s="3"/>
      <c r="X192">
        <f t="shared" si="9"/>
        <v>0</v>
      </c>
      <c r="Y192" t="str">
        <f t="shared" si="10"/>
        <v/>
      </c>
      <c r="Z192">
        <f t="shared" si="11"/>
        <v>0</v>
      </c>
    </row>
    <row r="193" spans="1:26" x14ac:dyDescent="0.25">
      <c r="A193" s="3"/>
      <c r="B193" s="7"/>
      <c r="C193" s="2"/>
      <c r="D193" s="3"/>
      <c r="E193" s="3"/>
      <c r="F193" s="3" t="str">
        <f t="shared" si="8"/>
        <v/>
      </c>
      <c r="G193" s="7"/>
      <c r="H193" s="2"/>
      <c r="I193" s="3"/>
      <c r="J193" s="7"/>
      <c r="K193" s="6"/>
      <c r="L193" s="2"/>
      <c r="M193" s="3"/>
      <c r="N193" s="3"/>
      <c r="X193">
        <f t="shared" si="9"/>
        <v>0</v>
      </c>
      <c r="Y193" t="str">
        <f t="shared" si="10"/>
        <v/>
      </c>
      <c r="Z193">
        <f t="shared" si="11"/>
        <v>0</v>
      </c>
    </row>
    <row r="194" spans="1:26" x14ac:dyDescent="0.25">
      <c r="A194" s="3"/>
      <c r="B194" s="7"/>
      <c r="C194" s="2"/>
      <c r="D194" s="3"/>
      <c r="E194" s="3"/>
      <c r="F194" s="3" t="str">
        <f t="shared" si="8"/>
        <v/>
      </c>
      <c r="G194" s="7"/>
      <c r="H194" s="2"/>
      <c r="I194" s="3"/>
      <c r="J194" s="7"/>
      <c r="K194" s="6"/>
      <c r="L194" s="2"/>
      <c r="M194" s="3"/>
      <c r="N194" s="3"/>
      <c r="X194">
        <f t="shared" si="9"/>
        <v>0</v>
      </c>
      <c r="Y194" t="str">
        <f t="shared" si="10"/>
        <v/>
      </c>
      <c r="Z194">
        <f t="shared" si="11"/>
        <v>0</v>
      </c>
    </row>
    <row r="195" spans="1:26" x14ac:dyDescent="0.25">
      <c r="A195" s="3"/>
      <c r="B195" s="7"/>
      <c r="C195" s="2"/>
      <c r="D195" s="3"/>
      <c r="E195" s="3"/>
      <c r="F195" s="3" t="str">
        <f t="shared" si="8"/>
        <v/>
      </c>
      <c r="G195" s="7"/>
      <c r="H195" s="2"/>
      <c r="I195" s="3"/>
      <c r="J195" s="7"/>
      <c r="K195" s="6"/>
      <c r="L195" s="2"/>
      <c r="M195" s="3"/>
      <c r="N195" s="3"/>
      <c r="X195">
        <f t="shared" si="9"/>
        <v>0</v>
      </c>
      <c r="Y195" t="str">
        <f t="shared" si="10"/>
        <v/>
      </c>
      <c r="Z195">
        <f t="shared" si="11"/>
        <v>0</v>
      </c>
    </row>
    <row r="196" spans="1:26" x14ac:dyDescent="0.25">
      <c r="A196" s="3"/>
      <c r="B196" s="7"/>
      <c r="C196" s="2"/>
      <c r="D196" s="3"/>
      <c r="E196" s="3"/>
      <c r="F196" s="3" t="str">
        <f t="shared" si="8"/>
        <v/>
      </c>
      <c r="G196" s="7"/>
      <c r="H196" s="2"/>
      <c r="I196" s="3"/>
      <c r="J196" s="7"/>
      <c r="K196" s="6"/>
      <c r="L196" s="2"/>
      <c r="M196" s="3"/>
      <c r="N196" s="3"/>
      <c r="X196">
        <f t="shared" si="9"/>
        <v>0</v>
      </c>
      <c r="Y196" t="str">
        <f t="shared" si="10"/>
        <v/>
      </c>
      <c r="Z196">
        <f t="shared" si="11"/>
        <v>0</v>
      </c>
    </row>
    <row r="197" spans="1:26" x14ac:dyDescent="0.25">
      <c r="A197" s="3"/>
      <c r="B197" s="7"/>
      <c r="C197" s="2"/>
      <c r="D197" s="3"/>
      <c r="E197" s="3"/>
      <c r="F197" s="3" t="str">
        <f t="shared" si="8"/>
        <v/>
      </c>
      <c r="G197" s="7"/>
      <c r="H197" s="2"/>
      <c r="I197" s="3"/>
      <c r="J197" s="7"/>
      <c r="K197" s="6"/>
      <c r="L197" s="2"/>
      <c r="M197" s="3"/>
      <c r="N197" s="3"/>
      <c r="X197">
        <f t="shared" si="9"/>
        <v>0</v>
      </c>
      <c r="Y197" t="str">
        <f t="shared" si="10"/>
        <v/>
      </c>
      <c r="Z197">
        <f t="shared" si="11"/>
        <v>0</v>
      </c>
    </row>
    <row r="198" spans="1:26" x14ac:dyDescent="0.25">
      <c r="A198" s="3"/>
      <c r="B198" s="7"/>
      <c r="C198" s="2"/>
      <c r="D198" s="3"/>
      <c r="E198" s="3"/>
      <c r="F198" s="3" t="str">
        <f t="shared" si="8"/>
        <v/>
      </c>
      <c r="G198" s="7"/>
      <c r="H198" s="2"/>
      <c r="I198" s="3"/>
      <c r="J198" s="7"/>
      <c r="K198" s="6"/>
      <c r="L198" s="2"/>
      <c r="M198" s="3"/>
      <c r="N198" s="3"/>
      <c r="X198">
        <f t="shared" si="9"/>
        <v>0</v>
      </c>
      <c r="Y198" t="str">
        <f t="shared" si="10"/>
        <v/>
      </c>
      <c r="Z198">
        <f t="shared" si="11"/>
        <v>0</v>
      </c>
    </row>
    <row r="199" spans="1:26" x14ac:dyDescent="0.25">
      <c r="A199" s="3"/>
      <c r="B199" s="7"/>
      <c r="C199" s="2"/>
      <c r="D199" s="3"/>
      <c r="E199" s="3"/>
      <c r="F199" s="3" t="str">
        <f t="shared" ref="F199:F203" si="12">+D199&amp;E199</f>
        <v/>
      </c>
      <c r="G199" s="7"/>
      <c r="H199" s="2"/>
      <c r="I199" s="3"/>
      <c r="J199" s="7"/>
      <c r="K199" s="6"/>
      <c r="L199" s="2"/>
      <c r="M199" s="3"/>
      <c r="N199" s="3"/>
      <c r="X199">
        <f t="shared" ref="X199:X203" si="13">IF(D199="",0,COUNTIF($F$6:$F$201,F199))</f>
        <v>0</v>
      </c>
      <c r="Y199" t="str">
        <f t="shared" ref="Y199:Y203" si="14">+M199&amp;N199</f>
        <v/>
      </c>
      <c r="Z199">
        <f t="shared" ref="Z199:Z203" si="15">IF(M199="",0,COUNTIF($Y$6:$Y$201,Y199))</f>
        <v>0</v>
      </c>
    </row>
    <row r="200" spans="1:26" x14ac:dyDescent="0.25">
      <c r="A200" s="3"/>
      <c r="B200" s="7"/>
      <c r="C200" s="2"/>
      <c r="D200" s="3"/>
      <c r="E200" s="3"/>
      <c r="F200" s="3" t="str">
        <f t="shared" si="12"/>
        <v/>
      </c>
      <c r="G200" s="7"/>
      <c r="H200" s="2"/>
      <c r="I200" s="3"/>
      <c r="J200" s="7"/>
      <c r="K200" s="6"/>
      <c r="L200" s="2"/>
      <c r="M200" s="3"/>
      <c r="N200" s="3"/>
      <c r="X200">
        <f t="shared" si="13"/>
        <v>0</v>
      </c>
      <c r="Y200" t="str">
        <f t="shared" si="14"/>
        <v/>
      </c>
      <c r="Z200">
        <f t="shared" si="15"/>
        <v>0</v>
      </c>
    </row>
    <row r="201" spans="1:26" x14ac:dyDescent="0.25">
      <c r="A201" s="3"/>
      <c r="B201" s="7"/>
      <c r="C201" s="2"/>
      <c r="D201" s="3"/>
      <c r="E201" s="3"/>
      <c r="F201" s="3" t="str">
        <f t="shared" si="12"/>
        <v/>
      </c>
      <c r="G201" s="7"/>
      <c r="H201" s="2"/>
      <c r="I201" s="3"/>
      <c r="J201" s="7"/>
      <c r="K201" s="6"/>
      <c r="L201" s="2"/>
      <c r="M201" s="3"/>
      <c r="N201" s="3"/>
      <c r="X201">
        <f t="shared" si="13"/>
        <v>0</v>
      </c>
      <c r="Y201" t="str">
        <f t="shared" si="14"/>
        <v/>
      </c>
      <c r="Z201">
        <f t="shared" si="15"/>
        <v>0</v>
      </c>
    </row>
    <row r="202" spans="1:26" x14ac:dyDescent="0.25">
      <c r="A202" s="3"/>
      <c r="B202" s="7"/>
      <c r="C202" s="2"/>
      <c r="D202" s="3"/>
      <c r="E202" s="3"/>
      <c r="F202" s="3" t="str">
        <f t="shared" si="12"/>
        <v/>
      </c>
      <c r="G202" s="7"/>
      <c r="H202" s="2"/>
      <c r="I202" s="3"/>
      <c r="J202" s="7"/>
      <c r="K202" s="6"/>
      <c r="L202" s="2"/>
      <c r="M202" s="3"/>
      <c r="N202" s="3"/>
      <c r="X202">
        <f t="shared" si="13"/>
        <v>0</v>
      </c>
      <c r="Y202" t="str">
        <f t="shared" si="14"/>
        <v/>
      </c>
      <c r="Z202">
        <f t="shared" si="15"/>
        <v>0</v>
      </c>
    </row>
    <row r="203" spans="1:26" x14ac:dyDescent="0.25">
      <c r="A203" s="3"/>
      <c r="B203" s="7"/>
      <c r="C203" s="2"/>
      <c r="D203" s="3"/>
      <c r="E203" s="3"/>
      <c r="F203" s="3" t="str">
        <f t="shared" si="12"/>
        <v/>
      </c>
      <c r="G203" s="7"/>
      <c r="H203" s="2"/>
      <c r="I203" s="3"/>
      <c r="J203" s="7"/>
      <c r="K203" s="6"/>
      <c r="L203" s="2"/>
      <c r="M203" s="3"/>
      <c r="N203" s="3"/>
      <c r="X203">
        <f t="shared" si="13"/>
        <v>0</v>
      </c>
      <c r="Y203" t="str">
        <f t="shared" si="14"/>
        <v/>
      </c>
      <c r="Z203">
        <f t="shared" si="15"/>
        <v>0</v>
      </c>
    </row>
  </sheetData>
  <mergeCells count="1">
    <mergeCell ref="J4:K4"/>
  </mergeCells>
  <phoneticPr fontId="1" type="noConversion"/>
  <conditionalFormatting sqref="A6:A203">
    <cfRule type="duplicateValues" dxfId="9" priority="11"/>
  </conditionalFormatting>
  <conditionalFormatting sqref="M6:M203">
    <cfRule type="expression" dxfId="8" priority="10">
      <formula>Z6&gt;1</formula>
    </cfRule>
  </conditionalFormatting>
  <conditionalFormatting sqref="J6">
    <cfRule type="expression" dxfId="7" priority="7">
      <formula>AND(J6&lt;&gt;"",K6&lt;&gt;"")</formula>
    </cfRule>
  </conditionalFormatting>
  <conditionalFormatting sqref="K6">
    <cfRule type="expression" dxfId="6" priority="6">
      <formula>AND(J6&lt;&gt;"",K6&lt;&gt;"")</formula>
    </cfRule>
  </conditionalFormatting>
  <conditionalFormatting sqref="J7:J203">
    <cfRule type="expression" dxfId="5" priority="5">
      <formula>AND(J7&lt;&gt;"",K7&lt;&gt;"")</formula>
    </cfRule>
  </conditionalFormatting>
  <conditionalFormatting sqref="K7:K203">
    <cfRule type="expression" dxfId="4" priority="4">
      <formula>AND(J7&lt;&gt;"",K7&lt;&gt;"")</formula>
    </cfRule>
  </conditionalFormatting>
  <conditionalFormatting sqref="D6:D203">
    <cfRule type="expression" dxfId="3" priority="2">
      <formula>X6&gt;1</formula>
    </cfRule>
  </conditionalFormatting>
  <conditionalFormatting sqref="I6:I203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94AC-25D1-45F4-94B7-4B33F00B1726}">
  <sheetPr codeName="工作表3"/>
  <dimension ref="A1:AD401"/>
  <sheetViews>
    <sheetView showGridLines="0" topLeftCell="D1" zoomScaleNormal="100" workbookViewId="0">
      <pane ySplit="3" topLeftCell="A4" activePane="bottomLeft" state="frozen"/>
      <selection activeCell="Y6" sqref="Y6"/>
      <selection pane="bottomLeft" activeCell="Y6" sqref="Y6"/>
    </sheetView>
  </sheetViews>
  <sheetFormatPr defaultRowHeight="16.5" x14ac:dyDescent="0.25"/>
  <cols>
    <col min="1" max="1" width="34.5" customWidth="1"/>
    <col min="2" max="4" width="22.125" customWidth="1"/>
    <col min="6" max="6" width="17.25" bestFit="1" customWidth="1"/>
    <col min="7" max="7" width="16.25" bestFit="1" customWidth="1"/>
    <col min="8" max="8" width="16.25" customWidth="1"/>
    <col min="9" max="9" width="26.25" bestFit="1" customWidth="1"/>
    <col min="10" max="12" width="26.25" customWidth="1"/>
    <col min="14" max="14" width="19.75" bestFit="1" customWidth="1"/>
    <col min="15" max="15" width="21.125" customWidth="1"/>
    <col min="16" max="16" width="20.625" bestFit="1" customWidth="1"/>
    <col min="18" max="18" width="29.625" bestFit="1" customWidth="1"/>
    <col min="19" max="19" width="16.625" bestFit="1" customWidth="1"/>
    <col min="20" max="21" width="16.625" customWidth="1"/>
    <col min="22" max="22" width="17.5" bestFit="1" customWidth="1"/>
    <col min="23" max="23" width="20.625" bestFit="1" customWidth="1"/>
    <col min="24" max="25" width="20.625" customWidth="1"/>
    <col min="26" max="26" width="29.5" customWidth="1"/>
    <col min="27" max="27" width="22.75" bestFit="1" customWidth="1"/>
    <col min="30" max="30" width="12.375" bestFit="1" customWidth="1"/>
  </cols>
  <sheetData>
    <row r="1" spans="1:30" x14ac:dyDescent="0.25">
      <c r="A1" s="4" t="s">
        <v>3</v>
      </c>
      <c r="B1" s="2"/>
      <c r="C1" s="2"/>
      <c r="D1" s="2"/>
      <c r="E1" s="2"/>
      <c r="F1" s="4" t="s">
        <v>4</v>
      </c>
      <c r="G1" s="2"/>
      <c r="H1" s="2"/>
      <c r="I1" s="2"/>
      <c r="J1" s="2"/>
      <c r="K1" s="2"/>
      <c r="L1" s="2"/>
      <c r="M1" s="2"/>
      <c r="N1" s="4" t="s">
        <v>6</v>
      </c>
      <c r="O1" s="2"/>
      <c r="P1" s="2"/>
      <c r="Q1" s="2"/>
      <c r="R1" s="4" t="s">
        <v>18</v>
      </c>
      <c r="S1" s="2"/>
      <c r="T1" s="2"/>
      <c r="U1" s="2"/>
    </row>
    <row r="2" spans="1:30" x14ac:dyDescent="0.25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" ht="40.5" customHeight="1" x14ac:dyDescent="0.25">
      <c r="A3" s="8" t="s">
        <v>0</v>
      </c>
      <c r="B3" s="8" t="s">
        <v>1</v>
      </c>
      <c r="C3" s="8" t="s">
        <v>15</v>
      </c>
      <c r="D3" s="14" t="s">
        <v>43</v>
      </c>
      <c r="E3" s="5"/>
      <c r="F3" s="9" t="s">
        <v>2</v>
      </c>
      <c r="G3" s="9" t="s">
        <v>0</v>
      </c>
      <c r="H3" s="9"/>
      <c r="I3" s="9" t="s">
        <v>5</v>
      </c>
      <c r="J3" s="9" t="s">
        <v>44</v>
      </c>
      <c r="K3" s="9" t="s">
        <v>46</v>
      </c>
      <c r="L3" s="9" t="s">
        <v>45</v>
      </c>
      <c r="M3" s="12"/>
      <c r="N3" s="10" t="s">
        <v>7</v>
      </c>
      <c r="O3" s="10" t="s">
        <v>8</v>
      </c>
      <c r="P3" s="10" t="s">
        <v>9</v>
      </c>
      <c r="Q3" s="12"/>
      <c r="R3" s="10" t="s">
        <v>7</v>
      </c>
      <c r="S3" s="10" t="s">
        <v>0</v>
      </c>
      <c r="T3" s="10"/>
      <c r="U3" s="10"/>
      <c r="V3" s="10" t="s">
        <v>8</v>
      </c>
      <c r="W3" s="10" t="s">
        <v>9</v>
      </c>
      <c r="X3" s="10" t="s">
        <v>22</v>
      </c>
      <c r="Y3" s="10" t="s">
        <v>21</v>
      </c>
      <c r="Z3" s="10" t="s">
        <v>20</v>
      </c>
      <c r="AA3" s="10" t="s">
        <v>37</v>
      </c>
      <c r="AB3" s="10" t="s">
        <v>47</v>
      </c>
      <c r="AC3" s="10" t="s">
        <v>65</v>
      </c>
      <c r="AD3" s="10" t="s">
        <v>48</v>
      </c>
    </row>
    <row r="4" spans="1:30" x14ac:dyDescent="0.25">
      <c r="A4" s="3" t="str">
        <f>Input!A6</f>
        <v>HKG-XX1</v>
      </c>
      <c r="B4" s="7">
        <f>Input!B6</f>
        <v>320</v>
      </c>
      <c r="C4" s="7">
        <f>SUMIF($G$4:$G$201,$A4,$I$4:$I$201)</f>
        <v>30</v>
      </c>
      <c r="D4" s="7">
        <f>+C4+B4</f>
        <v>350</v>
      </c>
      <c r="E4" s="2"/>
      <c r="F4" s="3" t="str">
        <f>Input!D6</f>
        <v>HKG-AA1</v>
      </c>
      <c r="G4" s="3" t="str">
        <f>Input!E6</f>
        <v>HKG-XX1</v>
      </c>
      <c r="H4" s="3" t="str">
        <f>+F4&amp;G4</f>
        <v>HKG-AA1HKG-XX1</v>
      </c>
      <c r="I4" s="7">
        <f>Input!G6</f>
        <v>10</v>
      </c>
      <c r="J4" s="7">
        <f>VLOOKUP(G4,$A:$D,4,0)</f>
        <v>350</v>
      </c>
      <c r="K4" s="7">
        <f>SUMIF($F$4:$F$201,F4,$J$4:$J$201)</f>
        <v>425</v>
      </c>
      <c r="L4" s="7">
        <f>+I4*J4/K4</f>
        <v>8.235294117647058</v>
      </c>
      <c r="M4" s="2"/>
      <c r="N4" s="3" t="str">
        <f>Input!I6</f>
        <v>HKG-GG1</v>
      </c>
      <c r="O4" s="7">
        <f>Input!J6</f>
        <v>10</v>
      </c>
      <c r="P4" s="6">
        <f>Input!K6</f>
        <v>0</v>
      </c>
      <c r="Q4" s="2"/>
      <c r="R4" s="3" t="str">
        <f>Input!M6</f>
        <v>HKG-GG1</v>
      </c>
      <c r="S4" s="3" t="str">
        <f>Input!N6</f>
        <v>HKG-XX1</v>
      </c>
      <c r="T4" s="3">
        <f>COUNTIF($S$4:$S$201,S4)</f>
        <v>3</v>
      </c>
      <c r="U4" s="3" t="str">
        <f>+S4&amp;R4</f>
        <v>HKG-XX1HKG-GG1</v>
      </c>
      <c r="V4" s="7">
        <f>VLOOKUP(R4,N:P,2,0)</f>
        <v>10</v>
      </c>
      <c r="W4" s="6">
        <f>VLOOKUP(R4,N:P,3,0)</f>
        <v>0</v>
      </c>
      <c r="X4" s="7">
        <f>(VLOOKUP(S4,A:C,2,0)+VLOOKUP(S4,A:C,3,0))</f>
        <v>350</v>
      </c>
      <c r="Y4" s="7">
        <f>SUMIF($R$4:$R$201,R4,$X$4:$X$201)</f>
        <v>350</v>
      </c>
      <c r="Z4" s="7">
        <f>IF(V4&gt;0,V4*X4/MAX(V4,Y4),W4*X4)</f>
        <v>10</v>
      </c>
      <c r="AA4" s="7">
        <f>SUMIF($S$4:$S$201,S4,$Z$4:$Z$201)</f>
        <v>31.243902439024389</v>
      </c>
      <c r="AB4" s="7">
        <f>VLOOKUP(S4,A:B,2,0)</f>
        <v>320</v>
      </c>
      <c r="AC4" s="7">
        <f>VLOOKUP(S4,A:C,3,0)</f>
        <v>30</v>
      </c>
      <c r="AD4" s="7">
        <f t="shared" ref="AD4:AD67" si="0">IF(AA4&gt;=AB4,AB4*X4/Y4*Z4/AA4,Z4*AB4/X4)</f>
        <v>9.1428571428571423</v>
      </c>
    </row>
    <row r="5" spans="1:30" x14ac:dyDescent="0.25">
      <c r="A5" s="3" t="str">
        <f>Input!A7</f>
        <v>HKG-XX2</v>
      </c>
      <c r="B5" s="7">
        <f>Input!B7</f>
        <v>45</v>
      </c>
      <c r="C5" s="7">
        <f t="shared" ref="C5:C68" si="1">SUMIF($G$4:$G$201,$A5,$I$4:$I$201)</f>
        <v>30</v>
      </c>
      <c r="D5" s="7">
        <f t="shared" ref="D5:D68" si="2">+C5+B5</f>
        <v>75</v>
      </c>
      <c r="E5" s="2"/>
      <c r="F5" s="3" t="str">
        <f>Input!D7</f>
        <v>HKG-AA2</v>
      </c>
      <c r="G5" s="3" t="str">
        <f>Input!E7</f>
        <v>HKG-XX1</v>
      </c>
      <c r="H5" s="3" t="str">
        <f t="shared" ref="H5:H68" si="3">+F5&amp;G5</f>
        <v>HKG-AA2HKG-XX1</v>
      </c>
      <c r="I5" s="7">
        <f>Input!G7</f>
        <v>20</v>
      </c>
      <c r="J5" s="7">
        <f t="shared" ref="J5:J68" si="4">VLOOKUP(G5,$A:$D,4,0)</f>
        <v>350</v>
      </c>
      <c r="K5" s="7">
        <f t="shared" ref="K5:K68" si="5">SUMIF($F$4:$F$201,F5,$J$4:$J$201)</f>
        <v>425</v>
      </c>
      <c r="L5" s="7">
        <f t="shared" ref="L5:L68" si="6">+I5*J5/K5</f>
        <v>16.470588235294116</v>
      </c>
      <c r="M5" s="2"/>
      <c r="N5" s="3" t="str">
        <f>Input!I7</f>
        <v>HKG-GG2</v>
      </c>
      <c r="O5" s="7">
        <f>Input!J7</f>
        <v>11</v>
      </c>
      <c r="P5" s="6">
        <f>Input!K7</f>
        <v>0</v>
      </c>
      <c r="Q5" s="2"/>
      <c r="R5" s="3" t="str">
        <f>Input!M7</f>
        <v>HKG-GG2</v>
      </c>
      <c r="S5" s="3" t="str">
        <f>Input!N7</f>
        <v>HKG-XX1</v>
      </c>
      <c r="T5" s="3">
        <f t="shared" ref="T5:T68" si="7">COUNTIF($S$4:$S$201,S5)</f>
        <v>3</v>
      </c>
      <c r="U5" s="3" t="str">
        <f t="shared" ref="U5:U68" si="8">+S5&amp;R5</f>
        <v>HKG-XX1HKG-GG2</v>
      </c>
      <c r="V5" s="7">
        <f t="shared" ref="V5:V68" si="9">VLOOKUP(R5,N:P,2,0)</f>
        <v>11</v>
      </c>
      <c r="W5" s="6">
        <f t="shared" ref="W5:W68" si="10">VLOOKUP(R5,N:P,3,0)</f>
        <v>0</v>
      </c>
      <c r="X5" s="7">
        <f>(VLOOKUP(S5,A:C,2,0)+VLOOKUP(S5,A:C,3,0))</f>
        <v>350</v>
      </c>
      <c r="Y5" s="7">
        <f t="shared" ref="Y5:Y68" si="11">SUMIF($R$4:$R$201,R5,$X$4:$X$201)</f>
        <v>350</v>
      </c>
      <c r="Z5" s="7">
        <f t="shared" ref="Z5:Z68" si="12">IF(V5&gt;0,V5*X5/MAX(V5,Y5),W5*X5)</f>
        <v>11</v>
      </c>
      <c r="AA5" s="7">
        <f t="shared" ref="AA5:AA68" si="13">SUMIF($S$4:$S$201,S5,$Z$4:$Z$201)</f>
        <v>31.243902439024389</v>
      </c>
      <c r="AB5" s="7">
        <f t="shared" ref="AB5:AB68" si="14">VLOOKUP(S5,A:B,2,0)</f>
        <v>320</v>
      </c>
      <c r="AC5" s="7">
        <f t="shared" ref="AC5:AC68" si="15">VLOOKUP(S5,A:C,3,0)</f>
        <v>30</v>
      </c>
      <c r="AD5" s="7">
        <f t="shared" si="0"/>
        <v>10.057142857142857</v>
      </c>
    </row>
    <row r="6" spans="1:30" x14ac:dyDescent="0.25">
      <c r="A6" s="3" t="str">
        <f>Input!A8</f>
        <v>HKG-XX3</v>
      </c>
      <c r="B6" s="7">
        <f>Input!B8</f>
        <v>10</v>
      </c>
      <c r="C6" s="7">
        <f t="shared" si="1"/>
        <v>50</v>
      </c>
      <c r="D6" s="7">
        <f t="shared" si="2"/>
        <v>60</v>
      </c>
      <c r="E6" s="2"/>
      <c r="F6" s="3" t="str">
        <f>Input!D8</f>
        <v>HKG-AA1</v>
      </c>
      <c r="G6" s="3" t="str">
        <f>Input!E8</f>
        <v>HKG-XX2</v>
      </c>
      <c r="H6" s="3" t="str">
        <f t="shared" si="3"/>
        <v>HKG-AA1HKG-XX2</v>
      </c>
      <c r="I6" s="7">
        <f>Input!G8</f>
        <v>10</v>
      </c>
      <c r="J6" s="7">
        <f t="shared" si="4"/>
        <v>75</v>
      </c>
      <c r="K6" s="7">
        <f t="shared" si="5"/>
        <v>425</v>
      </c>
      <c r="L6" s="7">
        <f t="shared" si="6"/>
        <v>1.7647058823529411</v>
      </c>
      <c r="M6" s="2"/>
      <c r="N6" s="3" t="str">
        <f>Input!I8</f>
        <v>HKG-GG3</v>
      </c>
      <c r="O6" s="7">
        <f>Input!J8</f>
        <v>12</v>
      </c>
      <c r="P6" s="6">
        <f>Input!K8</f>
        <v>0</v>
      </c>
      <c r="Q6" s="2"/>
      <c r="R6" s="3" t="str">
        <f>Input!M8</f>
        <v>HKG-GG3</v>
      </c>
      <c r="S6" s="3" t="str">
        <f>Input!N8</f>
        <v>HKG-XX1</v>
      </c>
      <c r="T6" s="3">
        <f t="shared" si="7"/>
        <v>3</v>
      </c>
      <c r="U6" s="3" t="str">
        <f t="shared" si="8"/>
        <v>HKG-XX1HKG-GG3</v>
      </c>
      <c r="V6" s="7">
        <f t="shared" si="9"/>
        <v>12</v>
      </c>
      <c r="W6" s="6">
        <f t="shared" si="10"/>
        <v>0</v>
      </c>
      <c r="X6" s="7">
        <f>(VLOOKUP(S6,A:C,2,0)+VLOOKUP(S6,A:C,3,0))</f>
        <v>350</v>
      </c>
      <c r="Y6" s="7">
        <f t="shared" si="11"/>
        <v>410</v>
      </c>
      <c r="Z6" s="7">
        <f t="shared" si="12"/>
        <v>10.24390243902439</v>
      </c>
      <c r="AA6" s="7">
        <f t="shared" si="13"/>
        <v>31.243902439024389</v>
      </c>
      <c r="AB6" s="7">
        <f t="shared" si="14"/>
        <v>320</v>
      </c>
      <c r="AC6" s="7">
        <f t="shared" si="15"/>
        <v>30</v>
      </c>
      <c r="AD6" s="7">
        <f t="shared" si="0"/>
        <v>9.3658536585365848</v>
      </c>
    </row>
    <row r="7" spans="1:30" x14ac:dyDescent="0.25">
      <c r="A7" s="3" t="str">
        <f>Input!A9</f>
        <v>HKG-XX4</v>
      </c>
      <c r="B7" s="7">
        <f>Input!B9</f>
        <v>320</v>
      </c>
      <c r="C7" s="7">
        <f t="shared" si="1"/>
        <v>30</v>
      </c>
      <c r="D7" s="7">
        <f t="shared" si="2"/>
        <v>350</v>
      </c>
      <c r="E7" s="2"/>
      <c r="F7" s="3" t="str">
        <f>Input!D9</f>
        <v>HKG-AA2</v>
      </c>
      <c r="G7" s="3" t="str">
        <f>Input!E9</f>
        <v>HKG-XX2</v>
      </c>
      <c r="H7" s="3" t="str">
        <f t="shared" si="3"/>
        <v>HKG-AA2HKG-XX2</v>
      </c>
      <c r="I7" s="7">
        <f>Input!G9</f>
        <v>20</v>
      </c>
      <c r="J7" s="7">
        <f t="shared" si="4"/>
        <v>75</v>
      </c>
      <c r="K7" s="7">
        <f t="shared" si="5"/>
        <v>425</v>
      </c>
      <c r="L7" s="7">
        <f t="shared" si="6"/>
        <v>3.5294117647058822</v>
      </c>
      <c r="M7" s="2"/>
      <c r="N7" s="3" t="str">
        <f>Input!I9</f>
        <v>HKG-GG4</v>
      </c>
      <c r="O7" s="7">
        <f>Input!J9</f>
        <v>5</v>
      </c>
      <c r="P7" s="6">
        <f>Input!K9</f>
        <v>0</v>
      </c>
      <c r="Q7" s="2"/>
      <c r="R7" s="3" t="str">
        <f>Input!M9</f>
        <v>HKG-GG4</v>
      </c>
      <c r="S7" s="3" t="str">
        <f>Input!N9</f>
        <v>HKG-XX2</v>
      </c>
      <c r="T7" s="3">
        <f t="shared" si="7"/>
        <v>2</v>
      </c>
      <c r="U7" s="3" t="str">
        <f t="shared" si="8"/>
        <v>HKG-XX2HKG-GG4</v>
      </c>
      <c r="V7" s="7">
        <f t="shared" si="9"/>
        <v>5</v>
      </c>
      <c r="W7" s="6">
        <f t="shared" si="10"/>
        <v>0</v>
      </c>
      <c r="X7" s="7">
        <f t="shared" ref="X7:X70" si="16">(VLOOKUP(S7,A:C,2,0)+VLOOKUP(S7,A:C,3,0))</f>
        <v>75</v>
      </c>
      <c r="Y7" s="7">
        <f t="shared" si="11"/>
        <v>75</v>
      </c>
      <c r="Z7" s="7">
        <f t="shared" si="12"/>
        <v>5</v>
      </c>
      <c r="AA7" s="7">
        <f t="shared" si="13"/>
        <v>11</v>
      </c>
      <c r="AB7" s="7">
        <f t="shared" si="14"/>
        <v>45</v>
      </c>
      <c r="AC7" s="7">
        <f t="shared" si="15"/>
        <v>30</v>
      </c>
      <c r="AD7" s="7">
        <f t="shared" si="0"/>
        <v>3</v>
      </c>
    </row>
    <row r="8" spans="1:30" x14ac:dyDescent="0.25">
      <c r="A8" s="3" t="str">
        <f>Input!A10</f>
        <v>HKG-XX5</v>
      </c>
      <c r="B8" s="7">
        <f>Input!B10</f>
        <v>45</v>
      </c>
      <c r="C8" s="7">
        <f t="shared" si="1"/>
        <v>30</v>
      </c>
      <c r="D8" s="7">
        <f t="shared" si="2"/>
        <v>75</v>
      </c>
      <c r="E8" s="2"/>
      <c r="F8" s="3" t="str">
        <f>Input!D10</f>
        <v>HKG-AA3</v>
      </c>
      <c r="G8" s="3" t="str">
        <f>Input!E10</f>
        <v>HKG-XX3</v>
      </c>
      <c r="H8" s="3" t="str">
        <f t="shared" si="3"/>
        <v>HKG-AA3HKG-XX3</v>
      </c>
      <c r="I8" s="7">
        <f>Input!G10</f>
        <v>50</v>
      </c>
      <c r="J8" s="7">
        <f t="shared" si="4"/>
        <v>60</v>
      </c>
      <c r="K8" s="7">
        <f t="shared" si="5"/>
        <v>60</v>
      </c>
      <c r="L8" s="7">
        <f t="shared" si="6"/>
        <v>50</v>
      </c>
      <c r="M8" s="2"/>
      <c r="N8" s="3" t="str">
        <f>Input!I10</f>
        <v>HKG-GG5</v>
      </c>
      <c r="O8" s="7">
        <f>Input!J10</f>
        <v>6</v>
      </c>
      <c r="P8" s="6">
        <f>Input!K10</f>
        <v>0</v>
      </c>
      <c r="Q8" s="2"/>
      <c r="R8" s="3" t="str">
        <f>Input!M10</f>
        <v>HKG-GG5</v>
      </c>
      <c r="S8" s="3" t="str">
        <f>Input!N10</f>
        <v>HKG-XX2</v>
      </c>
      <c r="T8" s="3">
        <f t="shared" si="7"/>
        <v>2</v>
      </c>
      <c r="U8" s="3" t="str">
        <f t="shared" si="8"/>
        <v>HKG-XX2HKG-GG5</v>
      </c>
      <c r="V8" s="7">
        <f t="shared" si="9"/>
        <v>6</v>
      </c>
      <c r="W8" s="6">
        <f t="shared" si="10"/>
        <v>0</v>
      </c>
      <c r="X8" s="7">
        <f t="shared" si="16"/>
        <v>75</v>
      </c>
      <c r="Y8" s="7">
        <f t="shared" si="11"/>
        <v>75</v>
      </c>
      <c r="Z8" s="7">
        <f t="shared" si="12"/>
        <v>6</v>
      </c>
      <c r="AA8" s="7">
        <f t="shared" si="13"/>
        <v>11</v>
      </c>
      <c r="AB8" s="7">
        <f t="shared" si="14"/>
        <v>45</v>
      </c>
      <c r="AC8" s="7">
        <f t="shared" si="15"/>
        <v>30</v>
      </c>
      <c r="AD8" s="7">
        <f t="shared" si="0"/>
        <v>3.6</v>
      </c>
    </row>
    <row r="9" spans="1:30" x14ac:dyDescent="0.25">
      <c r="A9" s="3">
        <f>Input!A11</f>
        <v>0</v>
      </c>
      <c r="B9" s="7">
        <f>Input!B11</f>
        <v>0</v>
      </c>
      <c r="C9" s="7">
        <f t="shared" si="1"/>
        <v>0</v>
      </c>
      <c r="D9" s="7">
        <f t="shared" si="2"/>
        <v>0</v>
      </c>
      <c r="E9" s="2"/>
      <c r="F9" s="3" t="str">
        <f>Input!D11</f>
        <v>HKG-AB1</v>
      </c>
      <c r="G9" s="3" t="str">
        <f>Input!E11</f>
        <v>HKG-XX4</v>
      </c>
      <c r="H9" s="3" t="str">
        <f t="shared" si="3"/>
        <v>HKG-AB1HKG-XX4</v>
      </c>
      <c r="I9" s="7">
        <f>Input!G11</f>
        <v>10</v>
      </c>
      <c r="J9" s="7">
        <f t="shared" si="4"/>
        <v>350</v>
      </c>
      <c r="K9" s="7">
        <f t="shared" si="5"/>
        <v>425</v>
      </c>
      <c r="L9" s="7">
        <f t="shared" si="6"/>
        <v>8.235294117647058</v>
      </c>
      <c r="M9" s="2"/>
      <c r="N9" s="3" t="str">
        <f>Input!I11</f>
        <v>HKG-GG6</v>
      </c>
      <c r="O9" s="7">
        <f>Input!J11</f>
        <v>10</v>
      </c>
      <c r="P9" s="6">
        <f>Input!K11</f>
        <v>0</v>
      </c>
      <c r="Q9" s="2"/>
      <c r="R9" s="3" t="str">
        <f>Input!M11</f>
        <v>HKG-GG3</v>
      </c>
      <c r="S9" s="3" t="str">
        <f>Input!N11</f>
        <v>HKG-XX3</v>
      </c>
      <c r="T9" s="3">
        <f t="shared" si="7"/>
        <v>1</v>
      </c>
      <c r="U9" s="3" t="str">
        <f t="shared" si="8"/>
        <v>HKG-XX3HKG-GG3</v>
      </c>
      <c r="V9" s="7">
        <f t="shared" si="9"/>
        <v>12</v>
      </c>
      <c r="W9" s="6">
        <f t="shared" si="10"/>
        <v>0</v>
      </c>
      <c r="X9" s="7">
        <f t="shared" si="16"/>
        <v>60</v>
      </c>
      <c r="Y9" s="7">
        <f t="shared" si="11"/>
        <v>410</v>
      </c>
      <c r="Z9" s="7">
        <f t="shared" si="12"/>
        <v>1.7560975609756098</v>
      </c>
      <c r="AA9" s="7">
        <f t="shared" si="13"/>
        <v>1.7560975609756098</v>
      </c>
      <c r="AB9" s="7">
        <f t="shared" si="14"/>
        <v>10</v>
      </c>
      <c r="AC9" s="7">
        <f t="shared" si="15"/>
        <v>50</v>
      </c>
      <c r="AD9" s="7">
        <f t="shared" si="0"/>
        <v>0.29268292682926833</v>
      </c>
    </row>
    <row r="10" spans="1:30" x14ac:dyDescent="0.25">
      <c r="A10" s="3">
        <f>Input!A12</f>
        <v>0</v>
      </c>
      <c r="B10" s="7">
        <f>Input!B12</f>
        <v>0</v>
      </c>
      <c r="C10" s="7">
        <f t="shared" si="1"/>
        <v>0</v>
      </c>
      <c r="D10" s="7">
        <f t="shared" si="2"/>
        <v>0</v>
      </c>
      <c r="E10" s="2"/>
      <c r="F10" s="3" t="str">
        <f>Input!D12</f>
        <v>HKG-AB2</v>
      </c>
      <c r="G10" s="3" t="str">
        <f>Input!E12</f>
        <v>HKG-XX4</v>
      </c>
      <c r="H10" s="3" t="str">
        <f t="shared" si="3"/>
        <v>HKG-AB2HKG-XX4</v>
      </c>
      <c r="I10" s="7">
        <f>Input!G12</f>
        <v>20</v>
      </c>
      <c r="J10" s="7">
        <f t="shared" si="4"/>
        <v>350</v>
      </c>
      <c r="K10" s="7">
        <f t="shared" si="5"/>
        <v>425</v>
      </c>
      <c r="L10" s="7">
        <f t="shared" si="6"/>
        <v>16.470588235294116</v>
      </c>
      <c r="M10" s="2"/>
      <c r="N10" s="3" t="str">
        <f>Input!I12</f>
        <v>HKG-GH1</v>
      </c>
      <c r="O10" s="7">
        <f>Input!J12</f>
        <v>10</v>
      </c>
      <c r="P10" s="6">
        <f>Input!K12</f>
        <v>0</v>
      </c>
      <c r="Q10" s="2"/>
      <c r="R10" s="3" t="str">
        <f>Input!M12</f>
        <v>HKG-GH1</v>
      </c>
      <c r="S10" s="3" t="str">
        <f>Input!N12</f>
        <v>HKG-XX4</v>
      </c>
      <c r="T10" s="3">
        <f t="shared" si="7"/>
        <v>3</v>
      </c>
      <c r="U10" s="3" t="str">
        <f t="shared" si="8"/>
        <v>HKG-XX4HKG-GH1</v>
      </c>
      <c r="V10" s="7">
        <f t="shared" si="9"/>
        <v>10</v>
      </c>
      <c r="W10" s="6">
        <f t="shared" si="10"/>
        <v>0</v>
      </c>
      <c r="X10" s="7">
        <f t="shared" si="16"/>
        <v>350</v>
      </c>
      <c r="Y10" s="7">
        <f t="shared" si="11"/>
        <v>350</v>
      </c>
      <c r="Z10" s="7">
        <f t="shared" si="12"/>
        <v>10</v>
      </c>
      <c r="AA10" s="7">
        <f t="shared" si="13"/>
        <v>640</v>
      </c>
      <c r="AB10" s="7">
        <f t="shared" si="14"/>
        <v>320</v>
      </c>
      <c r="AC10" s="7">
        <f t="shared" si="15"/>
        <v>30</v>
      </c>
      <c r="AD10" s="7">
        <f t="shared" si="0"/>
        <v>5</v>
      </c>
    </row>
    <row r="11" spans="1:30" x14ac:dyDescent="0.25">
      <c r="A11" s="3">
        <f>Input!A13</f>
        <v>0</v>
      </c>
      <c r="B11" s="7">
        <f>Input!B13</f>
        <v>0</v>
      </c>
      <c r="C11" s="7">
        <f t="shared" si="1"/>
        <v>0</v>
      </c>
      <c r="D11" s="7">
        <f t="shared" si="2"/>
        <v>0</v>
      </c>
      <c r="E11" s="2"/>
      <c r="F11" s="3" t="str">
        <f>Input!D13</f>
        <v>HKG-AB1</v>
      </c>
      <c r="G11" s="3" t="str">
        <f>Input!E13</f>
        <v>HKG-XX5</v>
      </c>
      <c r="H11" s="3" t="str">
        <f t="shared" si="3"/>
        <v>HKG-AB1HKG-XX5</v>
      </c>
      <c r="I11" s="7">
        <f>Input!G13</f>
        <v>10</v>
      </c>
      <c r="J11" s="7">
        <f t="shared" si="4"/>
        <v>75</v>
      </c>
      <c r="K11" s="7">
        <f t="shared" si="5"/>
        <v>425</v>
      </c>
      <c r="L11" s="7">
        <f t="shared" si="6"/>
        <v>1.7647058823529411</v>
      </c>
      <c r="M11" s="2"/>
      <c r="N11" s="3" t="str">
        <f>Input!I13</f>
        <v>HKG-GH2</v>
      </c>
      <c r="O11" s="7">
        <f>Input!J13</f>
        <v>0</v>
      </c>
      <c r="P11" s="6">
        <f>Input!K13</f>
        <v>1</v>
      </c>
      <c r="Q11" s="2"/>
      <c r="R11" s="3" t="str">
        <f>Input!M13</f>
        <v>HKG-GH2</v>
      </c>
      <c r="S11" s="3" t="str">
        <f>Input!N13</f>
        <v>HKG-XX4</v>
      </c>
      <c r="T11" s="3">
        <f t="shared" si="7"/>
        <v>3</v>
      </c>
      <c r="U11" s="3" t="str">
        <f t="shared" si="8"/>
        <v>HKG-XX4HKG-GH2</v>
      </c>
      <c r="V11" s="7">
        <f t="shared" si="9"/>
        <v>0</v>
      </c>
      <c r="W11" s="6">
        <f t="shared" si="10"/>
        <v>1</v>
      </c>
      <c r="X11" s="7">
        <f t="shared" si="16"/>
        <v>350</v>
      </c>
      <c r="Y11" s="7">
        <f t="shared" si="11"/>
        <v>350</v>
      </c>
      <c r="Z11" s="7">
        <f t="shared" si="12"/>
        <v>350</v>
      </c>
      <c r="AA11" s="7">
        <f t="shared" si="13"/>
        <v>640</v>
      </c>
      <c r="AB11" s="7">
        <f t="shared" si="14"/>
        <v>320</v>
      </c>
      <c r="AC11" s="7">
        <f t="shared" si="15"/>
        <v>30</v>
      </c>
      <c r="AD11" s="7">
        <f t="shared" si="0"/>
        <v>175</v>
      </c>
    </row>
    <row r="12" spans="1:30" x14ac:dyDescent="0.25">
      <c r="A12" s="3">
        <f>Input!A14</f>
        <v>0</v>
      </c>
      <c r="B12" s="7">
        <f>Input!B14</f>
        <v>0</v>
      </c>
      <c r="C12" s="7">
        <f t="shared" si="1"/>
        <v>0</v>
      </c>
      <c r="D12" s="7">
        <f t="shared" si="2"/>
        <v>0</v>
      </c>
      <c r="E12" s="2"/>
      <c r="F12" s="3" t="str">
        <f>Input!D14</f>
        <v>HKG-AB2</v>
      </c>
      <c r="G12" s="3" t="str">
        <f>Input!E14</f>
        <v>HKG-XX5</v>
      </c>
      <c r="H12" s="3" t="str">
        <f t="shared" si="3"/>
        <v>HKG-AB2HKG-XX5</v>
      </c>
      <c r="I12" s="7">
        <f>Input!G14</f>
        <v>20</v>
      </c>
      <c r="J12" s="7">
        <f t="shared" si="4"/>
        <v>75</v>
      </c>
      <c r="K12" s="7">
        <f t="shared" si="5"/>
        <v>425</v>
      </c>
      <c r="L12" s="7">
        <f t="shared" si="6"/>
        <v>3.5294117647058822</v>
      </c>
      <c r="M12" s="2"/>
      <c r="N12" s="3" t="str">
        <f>Input!I14</f>
        <v>HKG-GH3</v>
      </c>
      <c r="O12" s="7">
        <f>Input!J14</f>
        <v>0</v>
      </c>
      <c r="P12" s="6">
        <f>Input!K14</f>
        <v>0.8</v>
      </c>
      <c r="Q12" s="2"/>
      <c r="R12" s="3" t="str">
        <f>Input!M14</f>
        <v>HKG-GH3</v>
      </c>
      <c r="S12" s="3" t="str">
        <f>Input!N14</f>
        <v>HKG-XX4</v>
      </c>
      <c r="T12" s="3">
        <f t="shared" si="7"/>
        <v>3</v>
      </c>
      <c r="U12" s="3" t="str">
        <f t="shared" si="8"/>
        <v>HKG-XX4HKG-GH3</v>
      </c>
      <c r="V12" s="7">
        <f t="shared" si="9"/>
        <v>0</v>
      </c>
      <c r="W12" s="6">
        <f t="shared" si="10"/>
        <v>0.8</v>
      </c>
      <c r="X12" s="7">
        <f t="shared" si="16"/>
        <v>350</v>
      </c>
      <c r="Y12" s="7">
        <f t="shared" si="11"/>
        <v>350</v>
      </c>
      <c r="Z12" s="7">
        <f t="shared" si="12"/>
        <v>280</v>
      </c>
      <c r="AA12" s="7">
        <f t="shared" si="13"/>
        <v>640</v>
      </c>
      <c r="AB12" s="7">
        <f t="shared" si="14"/>
        <v>320</v>
      </c>
      <c r="AC12" s="7">
        <f t="shared" si="15"/>
        <v>30</v>
      </c>
      <c r="AD12" s="7">
        <f t="shared" si="0"/>
        <v>140</v>
      </c>
    </row>
    <row r="13" spans="1:30" x14ac:dyDescent="0.25">
      <c r="A13" s="3">
        <f>Input!A15</f>
        <v>0</v>
      </c>
      <c r="B13" s="7">
        <f>Input!B15</f>
        <v>0</v>
      </c>
      <c r="C13" s="7">
        <f t="shared" si="1"/>
        <v>0</v>
      </c>
      <c r="D13" s="7">
        <f t="shared" si="2"/>
        <v>0</v>
      </c>
      <c r="E13" s="2"/>
      <c r="F13" s="3">
        <f>Input!D15</f>
        <v>0</v>
      </c>
      <c r="G13" s="3">
        <f>Input!E15</f>
        <v>0</v>
      </c>
      <c r="H13" s="3" t="str">
        <f t="shared" si="3"/>
        <v>00</v>
      </c>
      <c r="I13" s="7">
        <f>Input!G15</f>
        <v>0</v>
      </c>
      <c r="J13" s="7">
        <f t="shared" si="4"/>
        <v>0</v>
      </c>
      <c r="K13" s="7">
        <f t="shared" si="5"/>
        <v>0</v>
      </c>
      <c r="L13" s="7" t="e">
        <f t="shared" si="6"/>
        <v>#DIV/0!</v>
      </c>
      <c r="M13" s="2"/>
      <c r="N13" s="3" t="str">
        <f>Input!I15</f>
        <v>HKG-GH4</v>
      </c>
      <c r="O13" s="7">
        <f>Input!J15</f>
        <v>5</v>
      </c>
      <c r="P13" s="6">
        <f>Input!K15</f>
        <v>0</v>
      </c>
      <c r="Q13" s="2"/>
      <c r="R13" s="3" t="str">
        <f>Input!M15</f>
        <v>HKG-GH4</v>
      </c>
      <c r="S13" s="3" t="str">
        <f>Input!N15</f>
        <v>HKG-XX5</v>
      </c>
      <c r="T13" s="3">
        <f t="shared" si="7"/>
        <v>2</v>
      </c>
      <c r="U13" s="3" t="str">
        <f t="shared" si="8"/>
        <v>HKG-XX5HKG-GH4</v>
      </c>
      <c r="V13" s="7">
        <f t="shared" si="9"/>
        <v>5</v>
      </c>
      <c r="W13" s="6">
        <f t="shared" si="10"/>
        <v>0</v>
      </c>
      <c r="X13" s="7">
        <f t="shared" si="16"/>
        <v>75</v>
      </c>
      <c r="Y13" s="7">
        <f t="shared" si="11"/>
        <v>75</v>
      </c>
      <c r="Z13" s="7">
        <f t="shared" si="12"/>
        <v>5</v>
      </c>
      <c r="AA13" s="7">
        <f t="shared" si="13"/>
        <v>80</v>
      </c>
      <c r="AB13" s="7">
        <f t="shared" si="14"/>
        <v>45</v>
      </c>
      <c r="AC13" s="7">
        <f t="shared" si="15"/>
        <v>30</v>
      </c>
      <c r="AD13" s="7">
        <f t="shared" si="0"/>
        <v>2.8125</v>
      </c>
    </row>
    <row r="14" spans="1:30" x14ac:dyDescent="0.25">
      <c r="A14" s="3">
        <f>Input!A16</f>
        <v>0</v>
      </c>
      <c r="B14" s="7">
        <f>Input!B16</f>
        <v>0</v>
      </c>
      <c r="C14" s="7">
        <f t="shared" si="1"/>
        <v>0</v>
      </c>
      <c r="D14" s="7">
        <f t="shared" si="2"/>
        <v>0</v>
      </c>
      <c r="E14" s="2"/>
      <c r="F14" s="3">
        <f>Input!D16</f>
        <v>0</v>
      </c>
      <c r="G14" s="3">
        <f>Input!E16</f>
        <v>0</v>
      </c>
      <c r="H14" s="3" t="str">
        <f t="shared" si="3"/>
        <v>00</v>
      </c>
      <c r="I14" s="7">
        <f>Input!G16</f>
        <v>0</v>
      </c>
      <c r="J14" s="7">
        <f t="shared" si="4"/>
        <v>0</v>
      </c>
      <c r="K14" s="7">
        <f t="shared" si="5"/>
        <v>0</v>
      </c>
      <c r="L14" s="7" t="e">
        <f t="shared" si="6"/>
        <v>#DIV/0!</v>
      </c>
      <c r="M14" s="2"/>
      <c r="N14" s="3" t="str">
        <f>Input!I16</f>
        <v>HKG-GH5</v>
      </c>
      <c r="O14" s="7">
        <f>Input!J16</f>
        <v>0</v>
      </c>
      <c r="P14" s="6">
        <f>Input!K16</f>
        <v>1</v>
      </c>
      <c r="Q14" s="2"/>
      <c r="R14" s="3" t="str">
        <f>Input!M16</f>
        <v>HKG-GH5</v>
      </c>
      <c r="S14" s="3" t="str">
        <f>Input!N16</f>
        <v>HKG-XX5</v>
      </c>
      <c r="T14" s="3">
        <f t="shared" si="7"/>
        <v>2</v>
      </c>
      <c r="U14" s="3" t="str">
        <f t="shared" si="8"/>
        <v>HKG-XX5HKG-GH5</v>
      </c>
      <c r="V14" s="7">
        <f t="shared" si="9"/>
        <v>0</v>
      </c>
      <c r="W14" s="6">
        <f t="shared" si="10"/>
        <v>1</v>
      </c>
      <c r="X14" s="7">
        <f t="shared" si="16"/>
        <v>75</v>
      </c>
      <c r="Y14" s="7">
        <f t="shared" si="11"/>
        <v>75</v>
      </c>
      <c r="Z14" s="7">
        <f t="shared" si="12"/>
        <v>75</v>
      </c>
      <c r="AA14" s="7">
        <f t="shared" si="13"/>
        <v>80</v>
      </c>
      <c r="AB14" s="7">
        <f t="shared" si="14"/>
        <v>45</v>
      </c>
      <c r="AC14" s="7">
        <f t="shared" si="15"/>
        <v>30</v>
      </c>
      <c r="AD14" s="7">
        <f t="shared" si="0"/>
        <v>42.1875</v>
      </c>
    </row>
    <row r="15" spans="1:30" x14ac:dyDescent="0.25">
      <c r="A15" s="3">
        <f>Input!A17</f>
        <v>0</v>
      </c>
      <c r="B15" s="7">
        <f>Input!B17</f>
        <v>0</v>
      </c>
      <c r="C15" s="7">
        <f t="shared" si="1"/>
        <v>0</v>
      </c>
      <c r="D15" s="7">
        <f t="shared" si="2"/>
        <v>0</v>
      </c>
      <c r="E15" s="2"/>
      <c r="F15" s="3">
        <f>Input!D17</f>
        <v>0</v>
      </c>
      <c r="G15" s="3">
        <f>Input!E17</f>
        <v>0</v>
      </c>
      <c r="H15" s="3" t="str">
        <f t="shared" si="3"/>
        <v>00</v>
      </c>
      <c r="I15" s="7">
        <f>Input!G17</f>
        <v>0</v>
      </c>
      <c r="J15" s="7">
        <f t="shared" si="4"/>
        <v>0</v>
      </c>
      <c r="K15" s="7">
        <f t="shared" si="5"/>
        <v>0</v>
      </c>
      <c r="L15" s="7" t="e">
        <f t="shared" si="6"/>
        <v>#DIV/0!</v>
      </c>
      <c r="M15" s="2"/>
      <c r="N15" s="3">
        <f>Input!I17</f>
        <v>0</v>
      </c>
      <c r="O15" s="7">
        <f>Input!J17</f>
        <v>0</v>
      </c>
      <c r="P15" s="6">
        <f>Input!K17</f>
        <v>0</v>
      </c>
      <c r="Q15" s="2"/>
      <c r="R15" s="3">
        <f>Input!M17</f>
        <v>0</v>
      </c>
      <c r="S15" s="3">
        <f>Input!N17</f>
        <v>0</v>
      </c>
      <c r="T15" s="3">
        <f t="shared" si="7"/>
        <v>187</v>
      </c>
      <c r="U15" s="3" t="str">
        <f t="shared" si="8"/>
        <v>00</v>
      </c>
      <c r="V15" s="7">
        <f t="shared" si="9"/>
        <v>0</v>
      </c>
      <c r="W15" s="6">
        <f t="shared" si="10"/>
        <v>0</v>
      </c>
      <c r="X15" s="7">
        <f t="shared" si="16"/>
        <v>0</v>
      </c>
      <c r="Y15" s="7">
        <f t="shared" si="11"/>
        <v>0</v>
      </c>
      <c r="Z15" s="7">
        <f t="shared" si="12"/>
        <v>0</v>
      </c>
      <c r="AA15" s="7">
        <f t="shared" si="13"/>
        <v>0</v>
      </c>
      <c r="AB15" s="7">
        <f t="shared" si="14"/>
        <v>0</v>
      </c>
      <c r="AC15" s="7">
        <f t="shared" si="15"/>
        <v>0</v>
      </c>
      <c r="AD15" s="7" t="e">
        <f t="shared" si="0"/>
        <v>#DIV/0!</v>
      </c>
    </row>
    <row r="16" spans="1:30" x14ac:dyDescent="0.25">
      <c r="A16" s="3">
        <f>Input!A18</f>
        <v>0</v>
      </c>
      <c r="B16" s="7">
        <f>Input!B18</f>
        <v>0</v>
      </c>
      <c r="C16" s="7">
        <f t="shared" si="1"/>
        <v>0</v>
      </c>
      <c r="D16" s="7">
        <f t="shared" si="2"/>
        <v>0</v>
      </c>
      <c r="E16" s="2"/>
      <c r="F16" s="3">
        <f>Input!D18</f>
        <v>0</v>
      </c>
      <c r="G16" s="3">
        <f>Input!E18</f>
        <v>0</v>
      </c>
      <c r="H16" s="3" t="str">
        <f t="shared" si="3"/>
        <v>00</v>
      </c>
      <c r="I16" s="7">
        <f>Input!G18</f>
        <v>0</v>
      </c>
      <c r="J16" s="7">
        <f t="shared" si="4"/>
        <v>0</v>
      </c>
      <c r="K16" s="7">
        <f t="shared" si="5"/>
        <v>0</v>
      </c>
      <c r="L16" s="7" t="e">
        <f t="shared" si="6"/>
        <v>#DIV/0!</v>
      </c>
      <c r="M16" s="2"/>
      <c r="N16" s="3">
        <f>Input!I18</f>
        <v>0</v>
      </c>
      <c r="O16" s="7">
        <f>Input!J18</f>
        <v>0</v>
      </c>
      <c r="P16" s="6">
        <f>Input!K18</f>
        <v>0</v>
      </c>
      <c r="Q16" s="2"/>
      <c r="R16" s="3">
        <f>Input!M18</f>
        <v>0</v>
      </c>
      <c r="S16" s="3">
        <f>Input!N18</f>
        <v>0</v>
      </c>
      <c r="T16" s="3">
        <f t="shared" si="7"/>
        <v>187</v>
      </c>
      <c r="U16" s="3" t="str">
        <f t="shared" si="8"/>
        <v>00</v>
      </c>
      <c r="V16" s="7">
        <f t="shared" si="9"/>
        <v>0</v>
      </c>
      <c r="W16" s="6">
        <f t="shared" si="10"/>
        <v>0</v>
      </c>
      <c r="X16" s="7">
        <f t="shared" si="16"/>
        <v>0</v>
      </c>
      <c r="Y16" s="7">
        <f t="shared" si="11"/>
        <v>0</v>
      </c>
      <c r="Z16" s="7">
        <f t="shared" si="12"/>
        <v>0</v>
      </c>
      <c r="AA16" s="7">
        <f t="shared" si="13"/>
        <v>0</v>
      </c>
      <c r="AB16" s="7">
        <f t="shared" si="14"/>
        <v>0</v>
      </c>
      <c r="AC16" s="7">
        <f t="shared" si="15"/>
        <v>0</v>
      </c>
      <c r="AD16" s="7" t="e">
        <f t="shared" si="0"/>
        <v>#DIV/0!</v>
      </c>
    </row>
    <row r="17" spans="1:30" x14ac:dyDescent="0.25">
      <c r="A17" s="3">
        <f>Input!A19</f>
        <v>0</v>
      </c>
      <c r="B17" s="7">
        <f>Input!B19</f>
        <v>0</v>
      </c>
      <c r="C17" s="7">
        <f t="shared" si="1"/>
        <v>0</v>
      </c>
      <c r="D17" s="7">
        <f t="shared" si="2"/>
        <v>0</v>
      </c>
      <c r="E17" s="2"/>
      <c r="F17" s="3">
        <f>Input!D19</f>
        <v>0</v>
      </c>
      <c r="G17" s="3">
        <f>Input!E19</f>
        <v>0</v>
      </c>
      <c r="H17" s="3" t="str">
        <f t="shared" si="3"/>
        <v>00</v>
      </c>
      <c r="I17" s="7">
        <f>Input!G19</f>
        <v>0</v>
      </c>
      <c r="J17" s="7">
        <f t="shared" si="4"/>
        <v>0</v>
      </c>
      <c r="K17" s="7">
        <f t="shared" si="5"/>
        <v>0</v>
      </c>
      <c r="L17" s="7" t="e">
        <f t="shared" si="6"/>
        <v>#DIV/0!</v>
      </c>
      <c r="M17" s="2"/>
      <c r="N17" s="3">
        <f>Input!I19</f>
        <v>0</v>
      </c>
      <c r="O17" s="7">
        <f>Input!J19</f>
        <v>0</v>
      </c>
      <c r="P17" s="6">
        <f>Input!K19</f>
        <v>0</v>
      </c>
      <c r="Q17" s="2"/>
      <c r="R17" s="3">
        <f>Input!M19</f>
        <v>0</v>
      </c>
      <c r="S17" s="3">
        <f>Input!N19</f>
        <v>0</v>
      </c>
      <c r="T17" s="3">
        <f t="shared" si="7"/>
        <v>187</v>
      </c>
      <c r="U17" s="3" t="str">
        <f t="shared" si="8"/>
        <v>00</v>
      </c>
      <c r="V17" s="7">
        <f t="shared" si="9"/>
        <v>0</v>
      </c>
      <c r="W17" s="6">
        <f t="shared" si="10"/>
        <v>0</v>
      </c>
      <c r="X17" s="7">
        <f t="shared" si="16"/>
        <v>0</v>
      </c>
      <c r="Y17" s="7">
        <f t="shared" si="11"/>
        <v>0</v>
      </c>
      <c r="Z17" s="7">
        <f t="shared" si="12"/>
        <v>0</v>
      </c>
      <c r="AA17" s="7">
        <f t="shared" si="13"/>
        <v>0</v>
      </c>
      <c r="AB17" s="7">
        <f t="shared" si="14"/>
        <v>0</v>
      </c>
      <c r="AC17" s="7">
        <f t="shared" si="15"/>
        <v>0</v>
      </c>
      <c r="AD17" s="7" t="e">
        <f t="shared" si="0"/>
        <v>#DIV/0!</v>
      </c>
    </row>
    <row r="18" spans="1:30" x14ac:dyDescent="0.25">
      <c r="A18" s="3">
        <f>Input!A20</f>
        <v>0</v>
      </c>
      <c r="B18" s="7">
        <f>Input!B20</f>
        <v>0</v>
      </c>
      <c r="C18" s="7">
        <f t="shared" si="1"/>
        <v>0</v>
      </c>
      <c r="D18" s="7">
        <f t="shared" si="2"/>
        <v>0</v>
      </c>
      <c r="E18" s="2"/>
      <c r="F18" s="3">
        <f>Input!D20</f>
        <v>0</v>
      </c>
      <c r="G18" s="3">
        <f>Input!E20</f>
        <v>0</v>
      </c>
      <c r="H18" s="3" t="str">
        <f t="shared" si="3"/>
        <v>00</v>
      </c>
      <c r="I18" s="7">
        <f>Input!G20</f>
        <v>0</v>
      </c>
      <c r="J18" s="7">
        <f t="shared" si="4"/>
        <v>0</v>
      </c>
      <c r="K18" s="7">
        <f t="shared" si="5"/>
        <v>0</v>
      </c>
      <c r="L18" s="7" t="e">
        <f t="shared" si="6"/>
        <v>#DIV/0!</v>
      </c>
      <c r="M18" s="2"/>
      <c r="N18" s="3">
        <f>Input!I20</f>
        <v>0</v>
      </c>
      <c r="O18" s="7">
        <f>Input!J20</f>
        <v>0</v>
      </c>
      <c r="P18" s="6">
        <f>Input!K20</f>
        <v>0</v>
      </c>
      <c r="Q18" s="2"/>
      <c r="R18" s="3">
        <f>Input!M20</f>
        <v>0</v>
      </c>
      <c r="S18" s="3">
        <f>Input!N20</f>
        <v>0</v>
      </c>
      <c r="T18" s="3">
        <f t="shared" si="7"/>
        <v>187</v>
      </c>
      <c r="U18" s="3" t="str">
        <f t="shared" si="8"/>
        <v>00</v>
      </c>
      <c r="V18" s="7">
        <f t="shared" si="9"/>
        <v>0</v>
      </c>
      <c r="W18" s="6">
        <f t="shared" si="10"/>
        <v>0</v>
      </c>
      <c r="X18" s="7">
        <f t="shared" si="16"/>
        <v>0</v>
      </c>
      <c r="Y18" s="7">
        <f t="shared" si="11"/>
        <v>0</v>
      </c>
      <c r="Z18" s="7">
        <f t="shared" si="12"/>
        <v>0</v>
      </c>
      <c r="AA18" s="7">
        <f t="shared" si="13"/>
        <v>0</v>
      </c>
      <c r="AB18" s="7">
        <f t="shared" si="14"/>
        <v>0</v>
      </c>
      <c r="AC18" s="7">
        <f t="shared" si="15"/>
        <v>0</v>
      </c>
      <c r="AD18" s="7" t="e">
        <f t="shared" si="0"/>
        <v>#DIV/0!</v>
      </c>
    </row>
    <row r="19" spans="1:30" x14ac:dyDescent="0.25">
      <c r="A19" s="3">
        <f>Input!A21</f>
        <v>0</v>
      </c>
      <c r="B19" s="7">
        <f>Input!B21</f>
        <v>0</v>
      </c>
      <c r="C19" s="7">
        <f t="shared" si="1"/>
        <v>0</v>
      </c>
      <c r="D19" s="7">
        <f t="shared" si="2"/>
        <v>0</v>
      </c>
      <c r="E19" s="2"/>
      <c r="F19" s="3">
        <f>Input!D21</f>
        <v>0</v>
      </c>
      <c r="G19" s="3">
        <f>Input!E21</f>
        <v>0</v>
      </c>
      <c r="H19" s="3" t="str">
        <f t="shared" si="3"/>
        <v>00</v>
      </c>
      <c r="I19" s="7">
        <f>Input!G21</f>
        <v>0</v>
      </c>
      <c r="J19" s="7">
        <f t="shared" si="4"/>
        <v>0</v>
      </c>
      <c r="K19" s="7">
        <f t="shared" si="5"/>
        <v>0</v>
      </c>
      <c r="L19" s="7" t="e">
        <f t="shared" si="6"/>
        <v>#DIV/0!</v>
      </c>
      <c r="M19" s="2"/>
      <c r="N19" s="3">
        <f>Input!I21</f>
        <v>0</v>
      </c>
      <c r="O19" s="7">
        <f>Input!J21</f>
        <v>0</v>
      </c>
      <c r="P19" s="6">
        <f>Input!K21</f>
        <v>0</v>
      </c>
      <c r="Q19" s="2"/>
      <c r="R19" s="3">
        <f>Input!M21</f>
        <v>0</v>
      </c>
      <c r="S19" s="3">
        <f>Input!N21</f>
        <v>0</v>
      </c>
      <c r="T19" s="3">
        <f t="shared" si="7"/>
        <v>187</v>
      </c>
      <c r="U19" s="3" t="str">
        <f t="shared" si="8"/>
        <v>00</v>
      </c>
      <c r="V19" s="7">
        <f t="shared" si="9"/>
        <v>0</v>
      </c>
      <c r="W19" s="6">
        <f t="shared" si="10"/>
        <v>0</v>
      </c>
      <c r="X19" s="7">
        <f t="shared" si="16"/>
        <v>0</v>
      </c>
      <c r="Y19" s="7">
        <f t="shared" si="11"/>
        <v>0</v>
      </c>
      <c r="Z19" s="7">
        <f t="shared" si="12"/>
        <v>0</v>
      </c>
      <c r="AA19" s="7">
        <f t="shared" si="13"/>
        <v>0</v>
      </c>
      <c r="AB19" s="7">
        <f t="shared" si="14"/>
        <v>0</v>
      </c>
      <c r="AC19" s="7">
        <f t="shared" si="15"/>
        <v>0</v>
      </c>
      <c r="AD19" s="7" t="e">
        <f t="shared" si="0"/>
        <v>#DIV/0!</v>
      </c>
    </row>
    <row r="20" spans="1:30" x14ac:dyDescent="0.25">
      <c r="A20" s="3">
        <f>Input!A22</f>
        <v>0</v>
      </c>
      <c r="B20" s="7">
        <f>Input!B22</f>
        <v>0</v>
      </c>
      <c r="C20" s="7">
        <f t="shared" si="1"/>
        <v>0</v>
      </c>
      <c r="D20" s="7">
        <f t="shared" si="2"/>
        <v>0</v>
      </c>
      <c r="E20" s="2"/>
      <c r="F20" s="3">
        <f>Input!D22</f>
        <v>0</v>
      </c>
      <c r="G20" s="3">
        <f>Input!E22</f>
        <v>0</v>
      </c>
      <c r="H20" s="3" t="str">
        <f t="shared" si="3"/>
        <v>00</v>
      </c>
      <c r="I20" s="7">
        <f>Input!G22</f>
        <v>0</v>
      </c>
      <c r="J20" s="7">
        <f t="shared" si="4"/>
        <v>0</v>
      </c>
      <c r="K20" s="7">
        <f t="shared" si="5"/>
        <v>0</v>
      </c>
      <c r="L20" s="7" t="e">
        <f t="shared" si="6"/>
        <v>#DIV/0!</v>
      </c>
      <c r="M20" s="2"/>
      <c r="N20" s="3">
        <f>Input!I22</f>
        <v>0</v>
      </c>
      <c r="O20" s="7">
        <f>Input!J22</f>
        <v>0</v>
      </c>
      <c r="P20" s="6">
        <f>Input!K22</f>
        <v>0</v>
      </c>
      <c r="Q20" s="2"/>
      <c r="R20" s="3">
        <f>Input!M22</f>
        <v>0</v>
      </c>
      <c r="S20" s="3">
        <f>Input!N22</f>
        <v>0</v>
      </c>
      <c r="T20" s="3">
        <f t="shared" si="7"/>
        <v>187</v>
      </c>
      <c r="U20" s="3" t="str">
        <f t="shared" si="8"/>
        <v>00</v>
      </c>
      <c r="V20" s="7">
        <f t="shared" si="9"/>
        <v>0</v>
      </c>
      <c r="W20" s="6">
        <f t="shared" si="10"/>
        <v>0</v>
      </c>
      <c r="X20" s="7">
        <f t="shared" si="16"/>
        <v>0</v>
      </c>
      <c r="Y20" s="7">
        <f t="shared" si="11"/>
        <v>0</v>
      </c>
      <c r="Z20" s="7">
        <f t="shared" si="12"/>
        <v>0</v>
      </c>
      <c r="AA20" s="7">
        <f t="shared" si="13"/>
        <v>0</v>
      </c>
      <c r="AB20" s="7">
        <f t="shared" si="14"/>
        <v>0</v>
      </c>
      <c r="AC20" s="7">
        <f t="shared" si="15"/>
        <v>0</v>
      </c>
      <c r="AD20" s="7" t="e">
        <f t="shared" si="0"/>
        <v>#DIV/0!</v>
      </c>
    </row>
    <row r="21" spans="1:30" x14ac:dyDescent="0.25">
      <c r="A21" s="3">
        <f>Input!A23</f>
        <v>0</v>
      </c>
      <c r="B21" s="7">
        <f>Input!B23</f>
        <v>0</v>
      </c>
      <c r="C21" s="7">
        <f t="shared" si="1"/>
        <v>0</v>
      </c>
      <c r="D21" s="7">
        <f t="shared" si="2"/>
        <v>0</v>
      </c>
      <c r="E21" s="2"/>
      <c r="F21" s="3">
        <f>Input!D23</f>
        <v>0</v>
      </c>
      <c r="G21" s="3">
        <f>Input!E23</f>
        <v>0</v>
      </c>
      <c r="H21" s="3" t="str">
        <f t="shared" si="3"/>
        <v>00</v>
      </c>
      <c r="I21" s="7">
        <f>Input!G23</f>
        <v>0</v>
      </c>
      <c r="J21" s="7">
        <f t="shared" si="4"/>
        <v>0</v>
      </c>
      <c r="K21" s="7">
        <f t="shared" si="5"/>
        <v>0</v>
      </c>
      <c r="L21" s="7" t="e">
        <f t="shared" si="6"/>
        <v>#DIV/0!</v>
      </c>
      <c r="M21" s="2"/>
      <c r="N21" s="3">
        <f>Input!I23</f>
        <v>0</v>
      </c>
      <c r="O21" s="7">
        <f>Input!J23</f>
        <v>0</v>
      </c>
      <c r="P21" s="6">
        <f>Input!K23</f>
        <v>0</v>
      </c>
      <c r="Q21" s="2"/>
      <c r="R21" s="3">
        <f>Input!M23</f>
        <v>0</v>
      </c>
      <c r="S21" s="3">
        <f>Input!N23</f>
        <v>0</v>
      </c>
      <c r="T21" s="3">
        <f t="shared" si="7"/>
        <v>187</v>
      </c>
      <c r="U21" s="3" t="str">
        <f t="shared" si="8"/>
        <v>00</v>
      </c>
      <c r="V21" s="7">
        <f t="shared" si="9"/>
        <v>0</v>
      </c>
      <c r="W21" s="6">
        <f t="shared" si="10"/>
        <v>0</v>
      </c>
      <c r="X21" s="7">
        <f t="shared" si="16"/>
        <v>0</v>
      </c>
      <c r="Y21" s="7">
        <f t="shared" si="11"/>
        <v>0</v>
      </c>
      <c r="Z21" s="7">
        <f t="shared" si="12"/>
        <v>0</v>
      </c>
      <c r="AA21" s="7">
        <f t="shared" si="13"/>
        <v>0</v>
      </c>
      <c r="AB21" s="7">
        <f t="shared" si="14"/>
        <v>0</v>
      </c>
      <c r="AC21" s="7">
        <f t="shared" si="15"/>
        <v>0</v>
      </c>
      <c r="AD21" s="7" t="e">
        <f t="shared" si="0"/>
        <v>#DIV/0!</v>
      </c>
    </row>
    <row r="22" spans="1:30" x14ac:dyDescent="0.25">
      <c r="A22" s="3">
        <f>Input!A24</f>
        <v>0</v>
      </c>
      <c r="B22" s="7">
        <f>Input!B24</f>
        <v>0</v>
      </c>
      <c r="C22" s="7">
        <f t="shared" si="1"/>
        <v>0</v>
      </c>
      <c r="D22" s="7">
        <f t="shared" si="2"/>
        <v>0</v>
      </c>
      <c r="E22" s="2"/>
      <c r="F22" s="3">
        <f>Input!D24</f>
        <v>0</v>
      </c>
      <c r="G22" s="3">
        <f>Input!E24</f>
        <v>0</v>
      </c>
      <c r="H22" s="3" t="str">
        <f t="shared" si="3"/>
        <v>00</v>
      </c>
      <c r="I22" s="7">
        <f>Input!G24</f>
        <v>0</v>
      </c>
      <c r="J22" s="7">
        <f t="shared" si="4"/>
        <v>0</v>
      </c>
      <c r="K22" s="7">
        <f t="shared" si="5"/>
        <v>0</v>
      </c>
      <c r="L22" s="7" t="e">
        <f t="shared" si="6"/>
        <v>#DIV/0!</v>
      </c>
      <c r="M22" s="2"/>
      <c r="N22" s="3">
        <f>Input!I24</f>
        <v>0</v>
      </c>
      <c r="O22" s="7">
        <f>Input!J24</f>
        <v>0</v>
      </c>
      <c r="P22" s="6">
        <f>Input!K24</f>
        <v>0</v>
      </c>
      <c r="Q22" s="2"/>
      <c r="R22" s="3">
        <f>Input!M24</f>
        <v>0</v>
      </c>
      <c r="S22" s="3">
        <f>Input!N24</f>
        <v>0</v>
      </c>
      <c r="T22" s="3">
        <f t="shared" si="7"/>
        <v>187</v>
      </c>
      <c r="U22" s="3" t="str">
        <f t="shared" si="8"/>
        <v>00</v>
      </c>
      <c r="V22" s="7">
        <f t="shared" si="9"/>
        <v>0</v>
      </c>
      <c r="W22" s="6">
        <f t="shared" si="10"/>
        <v>0</v>
      </c>
      <c r="X22" s="7">
        <f t="shared" si="16"/>
        <v>0</v>
      </c>
      <c r="Y22" s="7">
        <f t="shared" si="11"/>
        <v>0</v>
      </c>
      <c r="Z22" s="7">
        <f t="shared" si="12"/>
        <v>0</v>
      </c>
      <c r="AA22" s="7">
        <f t="shared" si="13"/>
        <v>0</v>
      </c>
      <c r="AB22" s="7">
        <f t="shared" si="14"/>
        <v>0</v>
      </c>
      <c r="AC22" s="7">
        <f t="shared" si="15"/>
        <v>0</v>
      </c>
      <c r="AD22" s="7" t="e">
        <f t="shared" si="0"/>
        <v>#DIV/0!</v>
      </c>
    </row>
    <row r="23" spans="1:30" x14ac:dyDescent="0.25">
      <c r="A23" s="3">
        <f>Input!A25</f>
        <v>0</v>
      </c>
      <c r="B23" s="7">
        <f>Input!B25</f>
        <v>0</v>
      </c>
      <c r="C23" s="7">
        <f t="shared" si="1"/>
        <v>0</v>
      </c>
      <c r="D23" s="7">
        <f t="shared" si="2"/>
        <v>0</v>
      </c>
      <c r="E23" s="2"/>
      <c r="F23" s="3">
        <f>Input!D25</f>
        <v>0</v>
      </c>
      <c r="G23" s="3">
        <f>Input!E25</f>
        <v>0</v>
      </c>
      <c r="H23" s="3" t="str">
        <f t="shared" si="3"/>
        <v>00</v>
      </c>
      <c r="I23" s="7">
        <f>Input!G25</f>
        <v>0</v>
      </c>
      <c r="J23" s="7">
        <f t="shared" si="4"/>
        <v>0</v>
      </c>
      <c r="K23" s="7">
        <f t="shared" si="5"/>
        <v>0</v>
      </c>
      <c r="L23" s="7" t="e">
        <f t="shared" si="6"/>
        <v>#DIV/0!</v>
      </c>
      <c r="M23" s="2"/>
      <c r="N23" s="3">
        <f>Input!I25</f>
        <v>0</v>
      </c>
      <c r="O23" s="7">
        <f>Input!J25</f>
        <v>0</v>
      </c>
      <c r="P23" s="6">
        <f>Input!K25</f>
        <v>0</v>
      </c>
      <c r="Q23" s="2"/>
      <c r="R23" s="3">
        <f>Input!M25</f>
        <v>0</v>
      </c>
      <c r="S23" s="3">
        <f>Input!N25</f>
        <v>0</v>
      </c>
      <c r="T23" s="3">
        <f t="shared" si="7"/>
        <v>187</v>
      </c>
      <c r="U23" s="3" t="str">
        <f t="shared" si="8"/>
        <v>00</v>
      </c>
      <c r="V23" s="7">
        <f t="shared" si="9"/>
        <v>0</v>
      </c>
      <c r="W23" s="6">
        <f t="shared" si="10"/>
        <v>0</v>
      </c>
      <c r="X23" s="7">
        <f t="shared" si="16"/>
        <v>0</v>
      </c>
      <c r="Y23" s="7">
        <f t="shared" si="11"/>
        <v>0</v>
      </c>
      <c r="Z23" s="7">
        <f t="shared" si="12"/>
        <v>0</v>
      </c>
      <c r="AA23" s="7">
        <f t="shared" si="13"/>
        <v>0</v>
      </c>
      <c r="AB23" s="7">
        <f t="shared" si="14"/>
        <v>0</v>
      </c>
      <c r="AC23" s="7">
        <f t="shared" si="15"/>
        <v>0</v>
      </c>
      <c r="AD23" s="7" t="e">
        <f t="shared" si="0"/>
        <v>#DIV/0!</v>
      </c>
    </row>
    <row r="24" spans="1:30" x14ac:dyDescent="0.25">
      <c r="A24" s="3">
        <f>Input!A26</f>
        <v>0</v>
      </c>
      <c r="B24" s="7">
        <f>Input!B26</f>
        <v>0</v>
      </c>
      <c r="C24" s="7">
        <f t="shared" si="1"/>
        <v>0</v>
      </c>
      <c r="D24" s="7">
        <f t="shared" si="2"/>
        <v>0</v>
      </c>
      <c r="E24" s="2"/>
      <c r="F24" s="3">
        <f>Input!D26</f>
        <v>0</v>
      </c>
      <c r="G24" s="3">
        <f>Input!E26</f>
        <v>0</v>
      </c>
      <c r="H24" s="3" t="str">
        <f t="shared" si="3"/>
        <v>00</v>
      </c>
      <c r="I24" s="7">
        <f>Input!G26</f>
        <v>0</v>
      </c>
      <c r="J24" s="7">
        <f t="shared" si="4"/>
        <v>0</v>
      </c>
      <c r="K24" s="7">
        <f t="shared" si="5"/>
        <v>0</v>
      </c>
      <c r="L24" s="7" t="e">
        <f t="shared" si="6"/>
        <v>#DIV/0!</v>
      </c>
      <c r="M24" s="2"/>
      <c r="N24" s="3">
        <f>Input!I26</f>
        <v>0</v>
      </c>
      <c r="O24" s="7">
        <f>Input!J26</f>
        <v>0</v>
      </c>
      <c r="P24" s="6">
        <f>Input!K26</f>
        <v>0</v>
      </c>
      <c r="Q24" s="2"/>
      <c r="R24" s="3">
        <f>Input!M26</f>
        <v>0</v>
      </c>
      <c r="S24" s="3">
        <f>Input!N26</f>
        <v>0</v>
      </c>
      <c r="T24" s="3">
        <f t="shared" si="7"/>
        <v>187</v>
      </c>
      <c r="U24" s="3" t="str">
        <f t="shared" si="8"/>
        <v>00</v>
      </c>
      <c r="V24" s="7">
        <f t="shared" si="9"/>
        <v>0</v>
      </c>
      <c r="W24" s="6">
        <f t="shared" si="10"/>
        <v>0</v>
      </c>
      <c r="X24" s="7">
        <f t="shared" si="16"/>
        <v>0</v>
      </c>
      <c r="Y24" s="7">
        <f t="shared" si="11"/>
        <v>0</v>
      </c>
      <c r="Z24" s="7">
        <f t="shared" si="12"/>
        <v>0</v>
      </c>
      <c r="AA24" s="7">
        <f t="shared" si="13"/>
        <v>0</v>
      </c>
      <c r="AB24" s="7">
        <f t="shared" si="14"/>
        <v>0</v>
      </c>
      <c r="AC24" s="7">
        <f t="shared" si="15"/>
        <v>0</v>
      </c>
      <c r="AD24" s="7" t="e">
        <f t="shared" si="0"/>
        <v>#DIV/0!</v>
      </c>
    </row>
    <row r="25" spans="1:30" x14ac:dyDescent="0.25">
      <c r="A25" s="3">
        <f>Input!A27</f>
        <v>0</v>
      </c>
      <c r="B25" s="7">
        <f>Input!B27</f>
        <v>0</v>
      </c>
      <c r="C25" s="7">
        <f t="shared" si="1"/>
        <v>0</v>
      </c>
      <c r="D25" s="7">
        <f t="shared" si="2"/>
        <v>0</v>
      </c>
      <c r="E25" s="2"/>
      <c r="F25" s="3">
        <f>Input!D27</f>
        <v>0</v>
      </c>
      <c r="G25" s="3">
        <f>Input!E27</f>
        <v>0</v>
      </c>
      <c r="H25" s="3" t="str">
        <f t="shared" si="3"/>
        <v>00</v>
      </c>
      <c r="I25" s="7">
        <f>Input!G27</f>
        <v>0</v>
      </c>
      <c r="J25" s="7">
        <f t="shared" si="4"/>
        <v>0</v>
      </c>
      <c r="K25" s="7">
        <f t="shared" si="5"/>
        <v>0</v>
      </c>
      <c r="L25" s="7" t="e">
        <f t="shared" si="6"/>
        <v>#DIV/0!</v>
      </c>
      <c r="M25" s="2"/>
      <c r="N25" s="3">
        <f>Input!I27</f>
        <v>0</v>
      </c>
      <c r="O25" s="7">
        <f>Input!J27</f>
        <v>0</v>
      </c>
      <c r="P25" s="6">
        <f>Input!K27</f>
        <v>0</v>
      </c>
      <c r="Q25" s="2"/>
      <c r="R25" s="3">
        <f>Input!M27</f>
        <v>0</v>
      </c>
      <c r="S25" s="3">
        <f>Input!N27</f>
        <v>0</v>
      </c>
      <c r="T25" s="3">
        <f t="shared" si="7"/>
        <v>187</v>
      </c>
      <c r="U25" s="3" t="str">
        <f t="shared" si="8"/>
        <v>00</v>
      </c>
      <c r="V25" s="7">
        <f t="shared" si="9"/>
        <v>0</v>
      </c>
      <c r="W25" s="6">
        <f t="shared" si="10"/>
        <v>0</v>
      </c>
      <c r="X25" s="7">
        <f t="shared" si="16"/>
        <v>0</v>
      </c>
      <c r="Y25" s="7">
        <f t="shared" si="11"/>
        <v>0</v>
      </c>
      <c r="Z25" s="7">
        <f t="shared" si="12"/>
        <v>0</v>
      </c>
      <c r="AA25" s="7">
        <f t="shared" si="13"/>
        <v>0</v>
      </c>
      <c r="AB25" s="7">
        <f t="shared" si="14"/>
        <v>0</v>
      </c>
      <c r="AC25" s="7">
        <f t="shared" si="15"/>
        <v>0</v>
      </c>
      <c r="AD25" s="7" t="e">
        <f t="shared" si="0"/>
        <v>#DIV/0!</v>
      </c>
    </row>
    <row r="26" spans="1:30" x14ac:dyDescent="0.25">
      <c r="A26" s="3">
        <f>Input!A28</f>
        <v>0</v>
      </c>
      <c r="B26" s="7">
        <f>Input!B28</f>
        <v>0</v>
      </c>
      <c r="C26" s="7">
        <f t="shared" si="1"/>
        <v>0</v>
      </c>
      <c r="D26" s="7">
        <f t="shared" si="2"/>
        <v>0</v>
      </c>
      <c r="E26" s="2"/>
      <c r="F26" s="3">
        <f>Input!D28</f>
        <v>0</v>
      </c>
      <c r="G26" s="3">
        <f>Input!E28</f>
        <v>0</v>
      </c>
      <c r="H26" s="3" t="str">
        <f t="shared" si="3"/>
        <v>00</v>
      </c>
      <c r="I26" s="7">
        <f>Input!G28</f>
        <v>0</v>
      </c>
      <c r="J26" s="7">
        <f t="shared" si="4"/>
        <v>0</v>
      </c>
      <c r="K26" s="7">
        <f t="shared" si="5"/>
        <v>0</v>
      </c>
      <c r="L26" s="7" t="e">
        <f t="shared" si="6"/>
        <v>#DIV/0!</v>
      </c>
      <c r="M26" s="2"/>
      <c r="N26" s="3">
        <f>Input!I28</f>
        <v>0</v>
      </c>
      <c r="O26" s="7">
        <f>Input!J28</f>
        <v>0</v>
      </c>
      <c r="P26" s="6">
        <f>Input!K28</f>
        <v>0</v>
      </c>
      <c r="Q26" s="2"/>
      <c r="R26" s="3">
        <f>Input!M28</f>
        <v>0</v>
      </c>
      <c r="S26" s="3">
        <f>Input!N28</f>
        <v>0</v>
      </c>
      <c r="T26" s="3">
        <f t="shared" si="7"/>
        <v>187</v>
      </c>
      <c r="U26" s="3" t="str">
        <f t="shared" si="8"/>
        <v>00</v>
      </c>
      <c r="V26" s="7">
        <f t="shared" si="9"/>
        <v>0</v>
      </c>
      <c r="W26" s="6">
        <f t="shared" si="10"/>
        <v>0</v>
      </c>
      <c r="X26" s="7">
        <f t="shared" si="16"/>
        <v>0</v>
      </c>
      <c r="Y26" s="7">
        <f t="shared" si="11"/>
        <v>0</v>
      </c>
      <c r="Z26" s="7">
        <f t="shared" si="12"/>
        <v>0</v>
      </c>
      <c r="AA26" s="7">
        <f t="shared" si="13"/>
        <v>0</v>
      </c>
      <c r="AB26" s="7">
        <f t="shared" si="14"/>
        <v>0</v>
      </c>
      <c r="AC26" s="7">
        <f t="shared" si="15"/>
        <v>0</v>
      </c>
      <c r="AD26" s="7" t="e">
        <f t="shared" si="0"/>
        <v>#DIV/0!</v>
      </c>
    </row>
    <row r="27" spans="1:30" x14ac:dyDescent="0.25">
      <c r="A27" s="3">
        <f>Input!A29</f>
        <v>0</v>
      </c>
      <c r="B27" s="7">
        <f>Input!B29</f>
        <v>0</v>
      </c>
      <c r="C27" s="7">
        <f t="shared" si="1"/>
        <v>0</v>
      </c>
      <c r="D27" s="7">
        <f t="shared" si="2"/>
        <v>0</v>
      </c>
      <c r="E27" s="2"/>
      <c r="F27" s="3">
        <f>Input!D29</f>
        <v>0</v>
      </c>
      <c r="G27" s="3">
        <f>Input!E29</f>
        <v>0</v>
      </c>
      <c r="H27" s="3" t="str">
        <f t="shared" si="3"/>
        <v>00</v>
      </c>
      <c r="I27" s="7">
        <f>Input!G29</f>
        <v>0</v>
      </c>
      <c r="J27" s="7">
        <f t="shared" si="4"/>
        <v>0</v>
      </c>
      <c r="K27" s="7">
        <f t="shared" si="5"/>
        <v>0</v>
      </c>
      <c r="L27" s="7" t="e">
        <f t="shared" si="6"/>
        <v>#DIV/0!</v>
      </c>
      <c r="M27" s="2"/>
      <c r="N27" s="3">
        <f>Input!I29</f>
        <v>0</v>
      </c>
      <c r="O27" s="7">
        <f>Input!J29</f>
        <v>0</v>
      </c>
      <c r="P27" s="6">
        <f>Input!K29</f>
        <v>0</v>
      </c>
      <c r="Q27" s="2"/>
      <c r="R27" s="3">
        <f>Input!M29</f>
        <v>0</v>
      </c>
      <c r="S27" s="3">
        <f>Input!N29</f>
        <v>0</v>
      </c>
      <c r="T27" s="3">
        <f t="shared" si="7"/>
        <v>187</v>
      </c>
      <c r="U27" s="3" t="str">
        <f t="shared" si="8"/>
        <v>00</v>
      </c>
      <c r="V27" s="7">
        <f t="shared" si="9"/>
        <v>0</v>
      </c>
      <c r="W27" s="6">
        <f t="shared" si="10"/>
        <v>0</v>
      </c>
      <c r="X27" s="7">
        <f t="shared" si="16"/>
        <v>0</v>
      </c>
      <c r="Y27" s="7">
        <f t="shared" si="11"/>
        <v>0</v>
      </c>
      <c r="Z27" s="7">
        <f t="shared" si="12"/>
        <v>0</v>
      </c>
      <c r="AA27" s="7">
        <f t="shared" si="13"/>
        <v>0</v>
      </c>
      <c r="AB27" s="7">
        <f t="shared" si="14"/>
        <v>0</v>
      </c>
      <c r="AC27" s="7">
        <f t="shared" si="15"/>
        <v>0</v>
      </c>
      <c r="AD27" s="7" t="e">
        <f t="shared" si="0"/>
        <v>#DIV/0!</v>
      </c>
    </row>
    <row r="28" spans="1:30" x14ac:dyDescent="0.25">
      <c r="A28" s="3">
        <f>Input!A30</f>
        <v>0</v>
      </c>
      <c r="B28" s="7">
        <f>Input!B30</f>
        <v>0</v>
      </c>
      <c r="C28" s="7">
        <f t="shared" si="1"/>
        <v>0</v>
      </c>
      <c r="D28" s="7">
        <f t="shared" si="2"/>
        <v>0</v>
      </c>
      <c r="E28" s="2"/>
      <c r="F28" s="3">
        <f>Input!D30</f>
        <v>0</v>
      </c>
      <c r="G28" s="3">
        <f>Input!E30</f>
        <v>0</v>
      </c>
      <c r="H28" s="3" t="str">
        <f t="shared" si="3"/>
        <v>00</v>
      </c>
      <c r="I28" s="7">
        <f>Input!G30</f>
        <v>0</v>
      </c>
      <c r="J28" s="7">
        <f t="shared" si="4"/>
        <v>0</v>
      </c>
      <c r="K28" s="7">
        <f t="shared" si="5"/>
        <v>0</v>
      </c>
      <c r="L28" s="7" t="e">
        <f t="shared" si="6"/>
        <v>#DIV/0!</v>
      </c>
      <c r="M28" s="2"/>
      <c r="N28" s="3">
        <f>Input!I30</f>
        <v>0</v>
      </c>
      <c r="O28" s="7">
        <f>Input!J30</f>
        <v>0</v>
      </c>
      <c r="P28" s="6">
        <f>Input!K30</f>
        <v>0</v>
      </c>
      <c r="Q28" s="2"/>
      <c r="R28" s="3">
        <f>Input!M30</f>
        <v>0</v>
      </c>
      <c r="S28" s="3">
        <f>Input!N30</f>
        <v>0</v>
      </c>
      <c r="T28" s="3">
        <f t="shared" si="7"/>
        <v>187</v>
      </c>
      <c r="U28" s="3" t="str">
        <f t="shared" si="8"/>
        <v>00</v>
      </c>
      <c r="V28" s="7">
        <f t="shared" si="9"/>
        <v>0</v>
      </c>
      <c r="W28" s="6">
        <f t="shared" si="10"/>
        <v>0</v>
      </c>
      <c r="X28" s="7">
        <f t="shared" si="16"/>
        <v>0</v>
      </c>
      <c r="Y28" s="7">
        <f t="shared" si="11"/>
        <v>0</v>
      </c>
      <c r="Z28" s="7">
        <f t="shared" si="12"/>
        <v>0</v>
      </c>
      <c r="AA28" s="7">
        <f t="shared" si="13"/>
        <v>0</v>
      </c>
      <c r="AB28" s="7">
        <f t="shared" si="14"/>
        <v>0</v>
      </c>
      <c r="AC28" s="7">
        <f t="shared" si="15"/>
        <v>0</v>
      </c>
      <c r="AD28" s="7" t="e">
        <f t="shared" si="0"/>
        <v>#DIV/0!</v>
      </c>
    </row>
    <row r="29" spans="1:30" x14ac:dyDescent="0.25">
      <c r="A29" s="3">
        <f>Input!A31</f>
        <v>0</v>
      </c>
      <c r="B29" s="7">
        <f>Input!B31</f>
        <v>0</v>
      </c>
      <c r="C29" s="7">
        <f t="shared" si="1"/>
        <v>0</v>
      </c>
      <c r="D29" s="7">
        <f t="shared" si="2"/>
        <v>0</v>
      </c>
      <c r="E29" s="2"/>
      <c r="F29" s="3">
        <f>Input!D31</f>
        <v>0</v>
      </c>
      <c r="G29" s="3">
        <f>Input!E31</f>
        <v>0</v>
      </c>
      <c r="H29" s="3" t="str">
        <f t="shared" si="3"/>
        <v>00</v>
      </c>
      <c r="I29" s="7">
        <f>Input!G31</f>
        <v>0</v>
      </c>
      <c r="J29" s="7">
        <f t="shared" si="4"/>
        <v>0</v>
      </c>
      <c r="K29" s="7">
        <f t="shared" si="5"/>
        <v>0</v>
      </c>
      <c r="L29" s="7" t="e">
        <f t="shared" si="6"/>
        <v>#DIV/0!</v>
      </c>
      <c r="M29" s="2"/>
      <c r="N29" s="3">
        <f>Input!I31</f>
        <v>0</v>
      </c>
      <c r="O29" s="7">
        <f>Input!J31</f>
        <v>0</v>
      </c>
      <c r="P29" s="6">
        <f>Input!K31</f>
        <v>0</v>
      </c>
      <c r="Q29" s="2"/>
      <c r="R29" s="3">
        <f>Input!M31</f>
        <v>0</v>
      </c>
      <c r="S29" s="3">
        <f>Input!N31</f>
        <v>0</v>
      </c>
      <c r="T29" s="3">
        <f t="shared" si="7"/>
        <v>187</v>
      </c>
      <c r="U29" s="3" t="str">
        <f t="shared" si="8"/>
        <v>00</v>
      </c>
      <c r="V29" s="7">
        <f t="shared" si="9"/>
        <v>0</v>
      </c>
      <c r="W29" s="6">
        <f t="shared" si="10"/>
        <v>0</v>
      </c>
      <c r="X29" s="7">
        <f t="shared" si="16"/>
        <v>0</v>
      </c>
      <c r="Y29" s="7">
        <f t="shared" si="11"/>
        <v>0</v>
      </c>
      <c r="Z29" s="7">
        <f t="shared" si="12"/>
        <v>0</v>
      </c>
      <c r="AA29" s="7">
        <f t="shared" si="13"/>
        <v>0</v>
      </c>
      <c r="AB29" s="7">
        <f t="shared" si="14"/>
        <v>0</v>
      </c>
      <c r="AC29" s="7">
        <f t="shared" si="15"/>
        <v>0</v>
      </c>
      <c r="AD29" s="7" t="e">
        <f t="shared" si="0"/>
        <v>#DIV/0!</v>
      </c>
    </row>
    <row r="30" spans="1:30" x14ac:dyDescent="0.25">
      <c r="A30" s="3">
        <f>Input!A32</f>
        <v>0</v>
      </c>
      <c r="B30" s="7">
        <f>Input!B32</f>
        <v>0</v>
      </c>
      <c r="C30" s="7">
        <f t="shared" si="1"/>
        <v>0</v>
      </c>
      <c r="D30" s="7">
        <f t="shared" si="2"/>
        <v>0</v>
      </c>
      <c r="E30" s="2"/>
      <c r="F30" s="3">
        <f>Input!D32</f>
        <v>0</v>
      </c>
      <c r="G30" s="3">
        <f>Input!E32</f>
        <v>0</v>
      </c>
      <c r="H30" s="3" t="str">
        <f t="shared" si="3"/>
        <v>00</v>
      </c>
      <c r="I30" s="7">
        <f>Input!G32</f>
        <v>0</v>
      </c>
      <c r="J30" s="7">
        <f t="shared" si="4"/>
        <v>0</v>
      </c>
      <c r="K30" s="7">
        <f t="shared" si="5"/>
        <v>0</v>
      </c>
      <c r="L30" s="7" t="e">
        <f t="shared" si="6"/>
        <v>#DIV/0!</v>
      </c>
      <c r="M30" s="2"/>
      <c r="N30" s="3">
        <f>Input!I32</f>
        <v>0</v>
      </c>
      <c r="O30" s="7">
        <f>Input!J32</f>
        <v>0</v>
      </c>
      <c r="P30" s="6">
        <f>Input!K32</f>
        <v>0</v>
      </c>
      <c r="Q30" s="2"/>
      <c r="R30" s="3">
        <f>Input!M32</f>
        <v>0</v>
      </c>
      <c r="S30" s="3">
        <f>Input!N32</f>
        <v>0</v>
      </c>
      <c r="T30" s="3">
        <f t="shared" si="7"/>
        <v>187</v>
      </c>
      <c r="U30" s="3" t="str">
        <f t="shared" si="8"/>
        <v>00</v>
      </c>
      <c r="V30" s="7">
        <f t="shared" si="9"/>
        <v>0</v>
      </c>
      <c r="W30" s="6">
        <f t="shared" si="10"/>
        <v>0</v>
      </c>
      <c r="X30" s="7">
        <f t="shared" si="16"/>
        <v>0</v>
      </c>
      <c r="Y30" s="7">
        <f t="shared" si="11"/>
        <v>0</v>
      </c>
      <c r="Z30" s="7">
        <f t="shared" si="12"/>
        <v>0</v>
      </c>
      <c r="AA30" s="7">
        <f t="shared" si="13"/>
        <v>0</v>
      </c>
      <c r="AB30" s="7">
        <f t="shared" si="14"/>
        <v>0</v>
      </c>
      <c r="AC30" s="7">
        <f t="shared" si="15"/>
        <v>0</v>
      </c>
      <c r="AD30" s="7" t="e">
        <f t="shared" si="0"/>
        <v>#DIV/0!</v>
      </c>
    </row>
    <row r="31" spans="1:30" x14ac:dyDescent="0.25">
      <c r="A31" s="3">
        <f>Input!A33</f>
        <v>0</v>
      </c>
      <c r="B31" s="7">
        <f>Input!B33</f>
        <v>0</v>
      </c>
      <c r="C31" s="7">
        <f t="shared" si="1"/>
        <v>0</v>
      </c>
      <c r="D31" s="7">
        <f t="shared" si="2"/>
        <v>0</v>
      </c>
      <c r="E31" s="2"/>
      <c r="F31" s="3">
        <f>Input!D33</f>
        <v>0</v>
      </c>
      <c r="G31" s="3">
        <f>Input!E33</f>
        <v>0</v>
      </c>
      <c r="H31" s="3" t="str">
        <f t="shared" si="3"/>
        <v>00</v>
      </c>
      <c r="I31" s="7">
        <f>Input!G33</f>
        <v>0</v>
      </c>
      <c r="J31" s="7">
        <f t="shared" si="4"/>
        <v>0</v>
      </c>
      <c r="K31" s="7">
        <f t="shared" si="5"/>
        <v>0</v>
      </c>
      <c r="L31" s="7" t="e">
        <f t="shared" si="6"/>
        <v>#DIV/0!</v>
      </c>
      <c r="M31" s="2"/>
      <c r="N31" s="3">
        <f>Input!I33</f>
        <v>0</v>
      </c>
      <c r="O31" s="7">
        <f>Input!J33</f>
        <v>0</v>
      </c>
      <c r="P31" s="6">
        <f>Input!K33</f>
        <v>0</v>
      </c>
      <c r="Q31" s="2"/>
      <c r="R31" s="3">
        <f>Input!M33</f>
        <v>0</v>
      </c>
      <c r="S31" s="3">
        <f>Input!N33</f>
        <v>0</v>
      </c>
      <c r="T31" s="3">
        <f t="shared" si="7"/>
        <v>187</v>
      </c>
      <c r="U31" s="3" t="str">
        <f t="shared" si="8"/>
        <v>00</v>
      </c>
      <c r="V31" s="7">
        <f t="shared" si="9"/>
        <v>0</v>
      </c>
      <c r="W31" s="6">
        <f t="shared" si="10"/>
        <v>0</v>
      </c>
      <c r="X31" s="7">
        <f t="shared" si="16"/>
        <v>0</v>
      </c>
      <c r="Y31" s="7">
        <f t="shared" si="11"/>
        <v>0</v>
      </c>
      <c r="Z31" s="7">
        <f t="shared" si="12"/>
        <v>0</v>
      </c>
      <c r="AA31" s="7">
        <f t="shared" si="13"/>
        <v>0</v>
      </c>
      <c r="AB31" s="7">
        <f t="shared" si="14"/>
        <v>0</v>
      </c>
      <c r="AC31" s="7">
        <f t="shared" si="15"/>
        <v>0</v>
      </c>
      <c r="AD31" s="7" t="e">
        <f t="shared" si="0"/>
        <v>#DIV/0!</v>
      </c>
    </row>
    <row r="32" spans="1:30" x14ac:dyDescent="0.25">
      <c r="A32" s="3">
        <f>Input!A34</f>
        <v>0</v>
      </c>
      <c r="B32" s="7">
        <f>Input!B34</f>
        <v>0</v>
      </c>
      <c r="C32" s="7">
        <f t="shared" si="1"/>
        <v>0</v>
      </c>
      <c r="D32" s="7">
        <f t="shared" si="2"/>
        <v>0</v>
      </c>
      <c r="E32" s="2"/>
      <c r="F32" s="3">
        <f>Input!D34</f>
        <v>0</v>
      </c>
      <c r="G32" s="3">
        <f>Input!E34</f>
        <v>0</v>
      </c>
      <c r="H32" s="3" t="str">
        <f t="shared" si="3"/>
        <v>00</v>
      </c>
      <c r="I32" s="7">
        <f>Input!G34</f>
        <v>0</v>
      </c>
      <c r="J32" s="7">
        <f t="shared" si="4"/>
        <v>0</v>
      </c>
      <c r="K32" s="7">
        <f t="shared" si="5"/>
        <v>0</v>
      </c>
      <c r="L32" s="7" t="e">
        <f t="shared" si="6"/>
        <v>#DIV/0!</v>
      </c>
      <c r="M32" s="2"/>
      <c r="N32" s="3">
        <f>Input!I34</f>
        <v>0</v>
      </c>
      <c r="O32" s="7">
        <f>Input!J34</f>
        <v>0</v>
      </c>
      <c r="P32" s="6">
        <f>Input!K34</f>
        <v>0</v>
      </c>
      <c r="Q32" s="2"/>
      <c r="R32" s="3">
        <f>Input!M34</f>
        <v>0</v>
      </c>
      <c r="S32" s="3">
        <f>Input!N34</f>
        <v>0</v>
      </c>
      <c r="T32" s="3">
        <f t="shared" si="7"/>
        <v>187</v>
      </c>
      <c r="U32" s="3" t="str">
        <f t="shared" si="8"/>
        <v>00</v>
      </c>
      <c r="V32" s="7">
        <f t="shared" si="9"/>
        <v>0</v>
      </c>
      <c r="W32" s="6">
        <f t="shared" si="10"/>
        <v>0</v>
      </c>
      <c r="X32" s="7">
        <f t="shared" si="16"/>
        <v>0</v>
      </c>
      <c r="Y32" s="7">
        <f t="shared" si="11"/>
        <v>0</v>
      </c>
      <c r="Z32" s="7">
        <f t="shared" si="12"/>
        <v>0</v>
      </c>
      <c r="AA32" s="7">
        <f t="shared" si="13"/>
        <v>0</v>
      </c>
      <c r="AB32" s="7">
        <f t="shared" si="14"/>
        <v>0</v>
      </c>
      <c r="AC32" s="7">
        <f t="shared" si="15"/>
        <v>0</v>
      </c>
      <c r="AD32" s="7" t="e">
        <f t="shared" si="0"/>
        <v>#DIV/0!</v>
      </c>
    </row>
    <row r="33" spans="1:30" x14ac:dyDescent="0.25">
      <c r="A33" s="3">
        <f>Input!A35</f>
        <v>0</v>
      </c>
      <c r="B33" s="7">
        <f>Input!B35</f>
        <v>0</v>
      </c>
      <c r="C33" s="7">
        <f t="shared" si="1"/>
        <v>0</v>
      </c>
      <c r="D33" s="7">
        <f t="shared" si="2"/>
        <v>0</v>
      </c>
      <c r="E33" s="2"/>
      <c r="F33" s="3">
        <f>Input!D35</f>
        <v>0</v>
      </c>
      <c r="G33" s="3">
        <f>Input!E35</f>
        <v>0</v>
      </c>
      <c r="H33" s="3" t="str">
        <f t="shared" si="3"/>
        <v>00</v>
      </c>
      <c r="I33" s="7">
        <f>Input!G35</f>
        <v>0</v>
      </c>
      <c r="J33" s="7">
        <f t="shared" si="4"/>
        <v>0</v>
      </c>
      <c r="K33" s="7">
        <f t="shared" si="5"/>
        <v>0</v>
      </c>
      <c r="L33" s="7" t="e">
        <f t="shared" si="6"/>
        <v>#DIV/0!</v>
      </c>
      <c r="M33" s="2"/>
      <c r="N33" s="3">
        <f>Input!I35</f>
        <v>0</v>
      </c>
      <c r="O33" s="7">
        <f>Input!J35</f>
        <v>0</v>
      </c>
      <c r="P33" s="6">
        <f>Input!K35</f>
        <v>0</v>
      </c>
      <c r="Q33" s="2"/>
      <c r="R33" s="3">
        <f>Input!M35</f>
        <v>0</v>
      </c>
      <c r="S33" s="3">
        <f>Input!N35</f>
        <v>0</v>
      </c>
      <c r="T33" s="3">
        <f t="shared" si="7"/>
        <v>187</v>
      </c>
      <c r="U33" s="3" t="str">
        <f t="shared" si="8"/>
        <v>00</v>
      </c>
      <c r="V33" s="7">
        <f t="shared" si="9"/>
        <v>0</v>
      </c>
      <c r="W33" s="6">
        <f t="shared" si="10"/>
        <v>0</v>
      </c>
      <c r="X33" s="7">
        <f t="shared" si="16"/>
        <v>0</v>
      </c>
      <c r="Y33" s="7">
        <f t="shared" si="11"/>
        <v>0</v>
      </c>
      <c r="Z33" s="7">
        <f t="shared" si="12"/>
        <v>0</v>
      </c>
      <c r="AA33" s="7">
        <f t="shared" si="13"/>
        <v>0</v>
      </c>
      <c r="AB33" s="7">
        <f t="shared" si="14"/>
        <v>0</v>
      </c>
      <c r="AC33" s="7">
        <f t="shared" si="15"/>
        <v>0</v>
      </c>
      <c r="AD33" s="7" t="e">
        <f t="shared" si="0"/>
        <v>#DIV/0!</v>
      </c>
    </row>
    <row r="34" spans="1:30" x14ac:dyDescent="0.25">
      <c r="A34" s="3">
        <f>Input!A36</f>
        <v>0</v>
      </c>
      <c r="B34" s="7">
        <f>Input!B36</f>
        <v>0</v>
      </c>
      <c r="C34" s="7">
        <f t="shared" si="1"/>
        <v>0</v>
      </c>
      <c r="D34" s="7">
        <f t="shared" si="2"/>
        <v>0</v>
      </c>
      <c r="E34" s="2"/>
      <c r="F34" s="3">
        <f>Input!D36</f>
        <v>0</v>
      </c>
      <c r="G34" s="3">
        <f>Input!E36</f>
        <v>0</v>
      </c>
      <c r="H34" s="3" t="str">
        <f t="shared" si="3"/>
        <v>00</v>
      </c>
      <c r="I34" s="7">
        <f>Input!G36</f>
        <v>0</v>
      </c>
      <c r="J34" s="7">
        <f t="shared" si="4"/>
        <v>0</v>
      </c>
      <c r="K34" s="7">
        <f t="shared" si="5"/>
        <v>0</v>
      </c>
      <c r="L34" s="7" t="e">
        <f t="shared" si="6"/>
        <v>#DIV/0!</v>
      </c>
      <c r="M34" s="2"/>
      <c r="N34" s="3">
        <f>Input!I36</f>
        <v>0</v>
      </c>
      <c r="O34" s="7">
        <f>Input!J36</f>
        <v>0</v>
      </c>
      <c r="P34" s="6">
        <f>Input!K36</f>
        <v>0</v>
      </c>
      <c r="Q34" s="2"/>
      <c r="R34" s="3">
        <f>Input!M36</f>
        <v>0</v>
      </c>
      <c r="S34" s="3">
        <f>Input!N36</f>
        <v>0</v>
      </c>
      <c r="T34" s="3">
        <f t="shared" si="7"/>
        <v>187</v>
      </c>
      <c r="U34" s="3" t="str">
        <f t="shared" si="8"/>
        <v>00</v>
      </c>
      <c r="V34" s="7">
        <f t="shared" si="9"/>
        <v>0</v>
      </c>
      <c r="W34" s="6">
        <f t="shared" si="10"/>
        <v>0</v>
      </c>
      <c r="X34" s="7">
        <f t="shared" si="16"/>
        <v>0</v>
      </c>
      <c r="Y34" s="7">
        <f t="shared" si="11"/>
        <v>0</v>
      </c>
      <c r="Z34" s="7">
        <f t="shared" si="12"/>
        <v>0</v>
      </c>
      <c r="AA34" s="7">
        <f t="shared" si="13"/>
        <v>0</v>
      </c>
      <c r="AB34" s="7">
        <f t="shared" si="14"/>
        <v>0</v>
      </c>
      <c r="AC34" s="7">
        <f t="shared" si="15"/>
        <v>0</v>
      </c>
      <c r="AD34" s="7" t="e">
        <f t="shared" si="0"/>
        <v>#DIV/0!</v>
      </c>
    </row>
    <row r="35" spans="1:30" x14ac:dyDescent="0.25">
      <c r="A35" s="3">
        <f>Input!A37</f>
        <v>0</v>
      </c>
      <c r="B35" s="7">
        <f>Input!B37</f>
        <v>0</v>
      </c>
      <c r="C35" s="7">
        <f t="shared" si="1"/>
        <v>0</v>
      </c>
      <c r="D35" s="7">
        <f t="shared" si="2"/>
        <v>0</v>
      </c>
      <c r="E35" s="2"/>
      <c r="F35" s="3">
        <f>Input!D37</f>
        <v>0</v>
      </c>
      <c r="G35" s="3">
        <f>Input!E37</f>
        <v>0</v>
      </c>
      <c r="H35" s="3" t="str">
        <f t="shared" si="3"/>
        <v>00</v>
      </c>
      <c r="I35" s="7">
        <f>Input!G37</f>
        <v>0</v>
      </c>
      <c r="J35" s="7">
        <f t="shared" si="4"/>
        <v>0</v>
      </c>
      <c r="K35" s="7">
        <f t="shared" si="5"/>
        <v>0</v>
      </c>
      <c r="L35" s="7" t="e">
        <f t="shared" si="6"/>
        <v>#DIV/0!</v>
      </c>
      <c r="M35" s="2"/>
      <c r="N35" s="3">
        <f>Input!I37</f>
        <v>0</v>
      </c>
      <c r="O35" s="7">
        <f>Input!J37</f>
        <v>0</v>
      </c>
      <c r="P35" s="6">
        <f>Input!K37</f>
        <v>0</v>
      </c>
      <c r="Q35" s="2"/>
      <c r="R35" s="3">
        <f>Input!M37</f>
        <v>0</v>
      </c>
      <c r="S35" s="3">
        <f>Input!N37</f>
        <v>0</v>
      </c>
      <c r="T35" s="3">
        <f t="shared" si="7"/>
        <v>187</v>
      </c>
      <c r="U35" s="3" t="str">
        <f t="shared" si="8"/>
        <v>00</v>
      </c>
      <c r="V35" s="7">
        <f t="shared" si="9"/>
        <v>0</v>
      </c>
      <c r="W35" s="6">
        <f t="shared" si="10"/>
        <v>0</v>
      </c>
      <c r="X35" s="7">
        <f t="shared" si="16"/>
        <v>0</v>
      </c>
      <c r="Y35" s="7">
        <f t="shared" si="11"/>
        <v>0</v>
      </c>
      <c r="Z35" s="7">
        <f t="shared" si="12"/>
        <v>0</v>
      </c>
      <c r="AA35" s="7">
        <f t="shared" si="13"/>
        <v>0</v>
      </c>
      <c r="AB35" s="7">
        <f t="shared" si="14"/>
        <v>0</v>
      </c>
      <c r="AC35" s="7">
        <f t="shared" si="15"/>
        <v>0</v>
      </c>
      <c r="AD35" s="7" t="e">
        <f t="shared" si="0"/>
        <v>#DIV/0!</v>
      </c>
    </row>
    <row r="36" spans="1:30" x14ac:dyDescent="0.25">
      <c r="A36" s="3">
        <f>Input!A38</f>
        <v>0</v>
      </c>
      <c r="B36" s="7">
        <f>Input!B38</f>
        <v>0</v>
      </c>
      <c r="C36" s="7">
        <f t="shared" si="1"/>
        <v>0</v>
      </c>
      <c r="D36" s="7">
        <f t="shared" si="2"/>
        <v>0</v>
      </c>
      <c r="E36" s="2"/>
      <c r="F36" s="3">
        <f>Input!D38</f>
        <v>0</v>
      </c>
      <c r="G36" s="3">
        <f>Input!E38</f>
        <v>0</v>
      </c>
      <c r="H36" s="3" t="str">
        <f t="shared" si="3"/>
        <v>00</v>
      </c>
      <c r="I36" s="7">
        <f>Input!G38</f>
        <v>0</v>
      </c>
      <c r="J36" s="7">
        <f t="shared" si="4"/>
        <v>0</v>
      </c>
      <c r="K36" s="7">
        <f t="shared" si="5"/>
        <v>0</v>
      </c>
      <c r="L36" s="7" t="e">
        <f t="shared" si="6"/>
        <v>#DIV/0!</v>
      </c>
      <c r="M36" s="2"/>
      <c r="N36" s="3">
        <f>Input!I38</f>
        <v>0</v>
      </c>
      <c r="O36" s="7">
        <f>Input!J38</f>
        <v>0</v>
      </c>
      <c r="P36" s="6">
        <f>Input!K38</f>
        <v>0</v>
      </c>
      <c r="Q36" s="2"/>
      <c r="R36" s="3">
        <f>Input!M38</f>
        <v>0</v>
      </c>
      <c r="S36" s="3">
        <f>Input!N38</f>
        <v>0</v>
      </c>
      <c r="T36" s="3">
        <f t="shared" si="7"/>
        <v>187</v>
      </c>
      <c r="U36" s="3" t="str">
        <f t="shared" si="8"/>
        <v>00</v>
      </c>
      <c r="V36" s="7">
        <f t="shared" si="9"/>
        <v>0</v>
      </c>
      <c r="W36" s="6">
        <f t="shared" si="10"/>
        <v>0</v>
      </c>
      <c r="X36" s="7">
        <f t="shared" si="16"/>
        <v>0</v>
      </c>
      <c r="Y36" s="7">
        <f t="shared" si="11"/>
        <v>0</v>
      </c>
      <c r="Z36" s="7">
        <f t="shared" si="12"/>
        <v>0</v>
      </c>
      <c r="AA36" s="7">
        <f t="shared" si="13"/>
        <v>0</v>
      </c>
      <c r="AB36" s="7">
        <f t="shared" si="14"/>
        <v>0</v>
      </c>
      <c r="AC36" s="7">
        <f t="shared" si="15"/>
        <v>0</v>
      </c>
      <c r="AD36" s="7" t="e">
        <f t="shared" si="0"/>
        <v>#DIV/0!</v>
      </c>
    </row>
    <row r="37" spans="1:30" x14ac:dyDescent="0.25">
      <c r="A37" s="3">
        <f>Input!A39</f>
        <v>0</v>
      </c>
      <c r="B37" s="7">
        <f>Input!B39</f>
        <v>0</v>
      </c>
      <c r="C37" s="7">
        <f t="shared" si="1"/>
        <v>0</v>
      </c>
      <c r="D37" s="7">
        <f t="shared" si="2"/>
        <v>0</v>
      </c>
      <c r="E37" s="2"/>
      <c r="F37" s="3">
        <f>Input!D39</f>
        <v>0</v>
      </c>
      <c r="G37" s="3">
        <f>Input!E39</f>
        <v>0</v>
      </c>
      <c r="H37" s="3" t="str">
        <f t="shared" si="3"/>
        <v>00</v>
      </c>
      <c r="I37" s="7">
        <f>Input!G39</f>
        <v>0</v>
      </c>
      <c r="J37" s="7">
        <f t="shared" si="4"/>
        <v>0</v>
      </c>
      <c r="K37" s="7">
        <f t="shared" si="5"/>
        <v>0</v>
      </c>
      <c r="L37" s="7" t="e">
        <f t="shared" si="6"/>
        <v>#DIV/0!</v>
      </c>
      <c r="M37" s="2"/>
      <c r="N37" s="3">
        <f>Input!I39</f>
        <v>0</v>
      </c>
      <c r="O37" s="7">
        <f>Input!J39</f>
        <v>0</v>
      </c>
      <c r="P37" s="6">
        <f>Input!K39</f>
        <v>0</v>
      </c>
      <c r="Q37" s="2"/>
      <c r="R37" s="3">
        <f>Input!M39</f>
        <v>0</v>
      </c>
      <c r="S37" s="3">
        <f>Input!N39</f>
        <v>0</v>
      </c>
      <c r="T37" s="3">
        <f t="shared" si="7"/>
        <v>187</v>
      </c>
      <c r="U37" s="3" t="str">
        <f t="shared" si="8"/>
        <v>00</v>
      </c>
      <c r="V37" s="7">
        <f t="shared" si="9"/>
        <v>0</v>
      </c>
      <c r="W37" s="6">
        <f t="shared" si="10"/>
        <v>0</v>
      </c>
      <c r="X37" s="7">
        <f t="shared" si="16"/>
        <v>0</v>
      </c>
      <c r="Y37" s="7">
        <f t="shared" si="11"/>
        <v>0</v>
      </c>
      <c r="Z37" s="7">
        <f t="shared" si="12"/>
        <v>0</v>
      </c>
      <c r="AA37" s="7">
        <f t="shared" si="13"/>
        <v>0</v>
      </c>
      <c r="AB37" s="7">
        <f t="shared" si="14"/>
        <v>0</v>
      </c>
      <c r="AC37" s="7">
        <f t="shared" si="15"/>
        <v>0</v>
      </c>
      <c r="AD37" s="7" t="e">
        <f t="shared" si="0"/>
        <v>#DIV/0!</v>
      </c>
    </row>
    <row r="38" spans="1:30" x14ac:dyDescent="0.25">
      <c r="A38" s="3">
        <f>Input!A40</f>
        <v>0</v>
      </c>
      <c r="B38" s="7">
        <f>Input!B40</f>
        <v>0</v>
      </c>
      <c r="C38" s="7">
        <f t="shared" si="1"/>
        <v>0</v>
      </c>
      <c r="D38" s="7">
        <f t="shared" si="2"/>
        <v>0</v>
      </c>
      <c r="E38" s="2"/>
      <c r="F38" s="3">
        <f>Input!D40</f>
        <v>0</v>
      </c>
      <c r="G38" s="3">
        <f>Input!E40</f>
        <v>0</v>
      </c>
      <c r="H38" s="3" t="str">
        <f t="shared" si="3"/>
        <v>00</v>
      </c>
      <c r="I38" s="7">
        <f>Input!G40</f>
        <v>0</v>
      </c>
      <c r="J38" s="7">
        <f t="shared" si="4"/>
        <v>0</v>
      </c>
      <c r="K38" s="7">
        <f t="shared" si="5"/>
        <v>0</v>
      </c>
      <c r="L38" s="7" t="e">
        <f t="shared" si="6"/>
        <v>#DIV/0!</v>
      </c>
      <c r="M38" s="2"/>
      <c r="N38" s="3">
        <f>Input!I40</f>
        <v>0</v>
      </c>
      <c r="O38" s="7">
        <f>Input!J40</f>
        <v>0</v>
      </c>
      <c r="P38" s="6">
        <f>Input!K40</f>
        <v>0</v>
      </c>
      <c r="Q38" s="2"/>
      <c r="R38" s="3">
        <f>Input!M40</f>
        <v>0</v>
      </c>
      <c r="S38" s="3">
        <f>Input!N40</f>
        <v>0</v>
      </c>
      <c r="T38" s="3">
        <f t="shared" si="7"/>
        <v>187</v>
      </c>
      <c r="U38" s="3" t="str">
        <f t="shared" si="8"/>
        <v>00</v>
      </c>
      <c r="V38" s="7">
        <f t="shared" si="9"/>
        <v>0</v>
      </c>
      <c r="W38" s="6">
        <f t="shared" si="10"/>
        <v>0</v>
      </c>
      <c r="X38" s="7">
        <f t="shared" si="16"/>
        <v>0</v>
      </c>
      <c r="Y38" s="7">
        <f t="shared" si="11"/>
        <v>0</v>
      </c>
      <c r="Z38" s="7">
        <f t="shared" si="12"/>
        <v>0</v>
      </c>
      <c r="AA38" s="7">
        <f t="shared" si="13"/>
        <v>0</v>
      </c>
      <c r="AB38" s="7">
        <f t="shared" si="14"/>
        <v>0</v>
      </c>
      <c r="AC38" s="7">
        <f t="shared" si="15"/>
        <v>0</v>
      </c>
      <c r="AD38" s="7" t="e">
        <f t="shared" si="0"/>
        <v>#DIV/0!</v>
      </c>
    </row>
    <row r="39" spans="1:30" x14ac:dyDescent="0.25">
      <c r="A39" s="3">
        <f>Input!A41</f>
        <v>0</v>
      </c>
      <c r="B39" s="7">
        <f>Input!B41</f>
        <v>0</v>
      </c>
      <c r="C39" s="7">
        <f t="shared" si="1"/>
        <v>0</v>
      </c>
      <c r="D39" s="7">
        <f t="shared" si="2"/>
        <v>0</v>
      </c>
      <c r="E39" s="2"/>
      <c r="F39" s="3">
        <f>Input!D41</f>
        <v>0</v>
      </c>
      <c r="G39" s="3">
        <f>Input!E41</f>
        <v>0</v>
      </c>
      <c r="H39" s="3" t="str">
        <f t="shared" si="3"/>
        <v>00</v>
      </c>
      <c r="I39" s="7">
        <f>Input!G41</f>
        <v>0</v>
      </c>
      <c r="J39" s="7">
        <f t="shared" si="4"/>
        <v>0</v>
      </c>
      <c r="K39" s="7">
        <f t="shared" si="5"/>
        <v>0</v>
      </c>
      <c r="L39" s="7" t="e">
        <f t="shared" si="6"/>
        <v>#DIV/0!</v>
      </c>
      <c r="M39" s="2"/>
      <c r="N39" s="3">
        <f>Input!I41</f>
        <v>0</v>
      </c>
      <c r="O39" s="7">
        <f>Input!J41</f>
        <v>0</v>
      </c>
      <c r="P39" s="6">
        <f>Input!K41</f>
        <v>0</v>
      </c>
      <c r="Q39" s="2"/>
      <c r="R39" s="3">
        <f>Input!M41</f>
        <v>0</v>
      </c>
      <c r="S39" s="3">
        <f>Input!N41</f>
        <v>0</v>
      </c>
      <c r="T39" s="3">
        <f t="shared" si="7"/>
        <v>187</v>
      </c>
      <c r="U39" s="3" t="str">
        <f t="shared" si="8"/>
        <v>00</v>
      </c>
      <c r="V39" s="7">
        <f t="shared" si="9"/>
        <v>0</v>
      </c>
      <c r="W39" s="6">
        <f t="shared" si="10"/>
        <v>0</v>
      </c>
      <c r="X39" s="7">
        <f t="shared" si="16"/>
        <v>0</v>
      </c>
      <c r="Y39" s="7">
        <f t="shared" si="11"/>
        <v>0</v>
      </c>
      <c r="Z39" s="7">
        <f t="shared" si="12"/>
        <v>0</v>
      </c>
      <c r="AA39" s="7">
        <f t="shared" si="13"/>
        <v>0</v>
      </c>
      <c r="AB39" s="7">
        <f t="shared" si="14"/>
        <v>0</v>
      </c>
      <c r="AC39" s="7">
        <f t="shared" si="15"/>
        <v>0</v>
      </c>
      <c r="AD39" s="7" t="e">
        <f t="shared" si="0"/>
        <v>#DIV/0!</v>
      </c>
    </row>
    <row r="40" spans="1:30" x14ac:dyDescent="0.25">
      <c r="A40" s="3">
        <f>Input!A42</f>
        <v>0</v>
      </c>
      <c r="B40" s="7">
        <f>Input!B42</f>
        <v>0</v>
      </c>
      <c r="C40" s="7">
        <f t="shared" si="1"/>
        <v>0</v>
      </c>
      <c r="D40" s="7">
        <f t="shared" si="2"/>
        <v>0</v>
      </c>
      <c r="E40" s="2"/>
      <c r="F40" s="3">
        <f>Input!D42</f>
        <v>0</v>
      </c>
      <c r="G40" s="3">
        <f>Input!E42</f>
        <v>0</v>
      </c>
      <c r="H40" s="3" t="str">
        <f t="shared" si="3"/>
        <v>00</v>
      </c>
      <c r="I40" s="7">
        <f>Input!G42</f>
        <v>0</v>
      </c>
      <c r="J40" s="7">
        <f t="shared" si="4"/>
        <v>0</v>
      </c>
      <c r="K40" s="7">
        <f t="shared" si="5"/>
        <v>0</v>
      </c>
      <c r="L40" s="7" t="e">
        <f t="shared" si="6"/>
        <v>#DIV/0!</v>
      </c>
      <c r="M40" s="2"/>
      <c r="N40" s="3">
        <f>Input!I42</f>
        <v>0</v>
      </c>
      <c r="O40" s="7">
        <f>Input!J42</f>
        <v>0</v>
      </c>
      <c r="P40" s="6">
        <f>Input!K42</f>
        <v>0</v>
      </c>
      <c r="Q40" s="2"/>
      <c r="R40" s="3">
        <f>Input!M42</f>
        <v>0</v>
      </c>
      <c r="S40" s="3">
        <f>Input!N42</f>
        <v>0</v>
      </c>
      <c r="T40" s="3">
        <f t="shared" si="7"/>
        <v>187</v>
      </c>
      <c r="U40" s="3" t="str">
        <f t="shared" si="8"/>
        <v>00</v>
      </c>
      <c r="V40" s="7">
        <f t="shared" si="9"/>
        <v>0</v>
      </c>
      <c r="W40" s="6">
        <f t="shared" si="10"/>
        <v>0</v>
      </c>
      <c r="X40" s="7">
        <f t="shared" si="16"/>
        <v>0</v>
      </c>
      <c r="Y40" s="7">
        <f t="shared" si="11"/>
        <v>0</v>
      </c>
      <c r="Z40" s="7">
        <f t="shared" si="12"/>
        <v>0</v>
      </c>
      <c r="AA40" s="7">
        <f t="shared" si="13"/>
        <v>0</v>
      </c>
      <c r="AB40" s="7">
        <f t="shared" si="14"/>
        <v>0</v>
      </c>
      <c r="AC40" s="7">
        <f t="shared" si="15"/>
        <v>0</v>
      </c>
      <c r="AD40" s="7" t="e">
        <f t="shared" si="0"/>
        <v>#DIV/0!</v>
      </c>
    </row>
    <row r="41" spans="1:30" x14ac:dyDescent="0.25">
      <c r="A41" s="3">
        <f>Input!A43</f>
        <v>0</v>
      </c>
      <c r="B41" s="7">
        <f>Input!B43</f>
        <v>0</v>
      </c>
      <c r="C41" s="7">
        <f t="shared" si="1"/>
        <v>0</v>
      </c>
      <c r="D41" s="7">
        <f t="shared" si="2"/>
        <v>0</v>
      </c>
      <c r="E41" s="2"/>
      <c r="F41" s="3">
        <f>Input!D43</f>
        <v>0</v>
      </c>
      <c r="G41" s="3">
        <f>Input!E43</f>
        <v>0</v>
      </c>
      <c r="H41" s="3" t="str">
        <f t="shared" si="3"/>
        <v>00</v>
      </c>
      <c r="I41" s="7">
        <f>Input!G43</f>
        <v>0</v>
      </c>
      <c r="J41" s="7">
        <f t="shared" si="4"/>
        <v>0</v>
      </c>
      <c r="K41" s="7">
        <f t="shared" si="5"/>
        <v>0</v>
      </c>
      <c r="L41" s="7" t="e">
        <f t="shared" si="6"/>
        <v>#DIV/0!</v>
      </c>
      <c r="M41" s="2"/>
      <c r="N41" s="3">
        <f>Input!I43</f>
        <v>0</v>
      </c>
      <c r="O41" s="7">
        <f>Input!J43</f>
        <v>0</v>
      </c>
      <c r="P41" s="6">
        <f>Input!K43</f>
        <v>0</v>
      </c>
      <c r="Q41" s="2"/>
      <c r="R41" s="3">
        <f>Input!M43</f>
        <v>0</v>
      </c>
      <c r="S41" s="3">
        <f>Input!N43</f>
        <v>0</v>
      </c>
      <c r="T41" s="3">
        <f t="shared" si="7"/>
        <v>187</v>
      </c>
      <c r="U41" s="3" t="str">
        <f t="shared" si="8"/>
        <v>00</v>
      </c>
      <c r="V41" s="7">
        <f t="shared" si="9"/>
        <v>0</v>
      </c>
      <c r="W41" s="6">
        <f t="shared" si="10"/>
        <v>0</v>
      </c>
      <c r="X41" s="7">
        <f t="shared" si="16"/>
        <v>0</v>
      </c>
      <c r="Y41" s="7">
        <f t="shared" si="11"/>
        <v>0</v>
      </c>
      <c r="Z41" s="7">
        <f t="shared" si="12"/>
        <v>0</v>
      </c>
      <c r="AA41" s="7">
        <f t="shared" si="13"/>
        <v>0</v>
      </c>
      <c r="AB41" s="7">
        <f t="shared" si="14"/>
        <v>0</v>
      </c>
      <c r="AC41" s="7">
        <f t="shared" si="15"/>
        <v>0</v>
      </c>
      <c r="AD41" s="7" t="e">
        <f t="shared" si="0"/>
        <v>#DIV/0!</v>
      </c>
    </row>
    <row r="42" spans="1:30" x14ac:dyDescent="0.25">
      <c r="A42" s="3">
        <f>Input!A44</f>
        <v>0</v>
      </c>
      <c r="B42" s="7">
        <f>Input!B44</f>
        <v>0</v>
      </c>
      <c r="C42" s="7">
        <f t="shared" si="1"/>
        <v>0</v>
      </c>
      <c r="D42" s="7">
        <f t="shared" si="2"/>
        <v>0</v>
      </c>
      <c r="E42" s="2"/>
      <c r="F42" s="3">
        <f>Input!D44</f>
        <v>0</v>
      </c>
      <c r="G42" s="3">
        <f>Input!E44</f>
        <v>0</v>
      </c>
      <c r="H42" s="3" t="str">
        <f t="shared" si="3"/>
        <v>00</v>
      </c>
      <c r="I42" s="7">
        <f>Input!G44</f>
        <v>0</v>
      </c>
      <c r="J42" s="7">
        <f t="shared" si="4"/>
        <v>0</v>
      </c>
      <c r="K42" s="7">
        <f t="shared" si="5"/>
        <v>0</v>
      </c>
      <c r="L42" s="7" t="e">
        <f t="shared" si="6"/>
        <v>#DIV/0!</v>
      </c>
      <c r="M42" s="2"/>
      <c r="N42" s="3">
        <f>Input!I44</f>
        <v>0</v>
      </c>
      <c r="O42" s="7">
        <f>Input!J44</f>
        <v>0</v>
      </c>
      <c r="P42" s="6">
        <f>Input!K44</f>
        <v>0</v>
      </c>
      <c r="Q42" s="2"/>
      <c r="R42" s="3">
        <f>Input!M44</f>
        <v>0</v>
      </c>
      <c r="S42" s="3">
        <f>Input!N44</f>
        <v>0</v>
      </c>
      <c r="T42" s="3">
        <f t="shared" si="7"/>
        <v>187</v>
      </c>
      <c r="U42" s="3" t="str">
        <f t="shared" si="8"/>
        <v>00</v>
      </c>
      <c r="V42" s="7">
        <f t="shared" si="9"/>
        <v>0</v>
      </c>
      <c r="W42" s="6">
        <f t="shared" si="10"/>
        <v>0</v>
      </c>
      <c r="X42" s="7">
        <f t="shared" si="16"/>
        <v>0</v>
      </c>
      <c r="Y42" s="7">
        <f t="shared" si="11"/>
        <v>0</v>
      </c>
      <c r="Z42" s="7">
        <f t="shared" si="12"/>
        <v>0</v>
      </c>
      <c r="AA42" s="7">
        <f t="shared" si="13"/>
        <v>0</v>
      </c>
      <c r="AB42" s="7">
        <f t="shared" si="14"/>
        <v>0</v>
      </c>
      <c r="AC42" s="7">
        <f t="shared" si="15"/>
        <v>0</v>
      </c>
      <c r="AD42" s="7" t="e">
        <f t="shared" si="0"/>
        <v>#DIV/0!</v>
      </c>
    </row>
    <row r="43" spans="1:30" x14ac:dyDescent="0.25">
      <c r="A43" s="3">
        <f>Input!A45</f>
        <v>0</v>
      </c>
      <c r="B43" s="7">
        <f>Input!B45</f>
        <v>0</v>
      </c>
      <c r="C43" s="7">
        <f t="shared" si="1"/>
        <v>0</v>
      </c>
      <c r="D43" s="7">
        <f t="shared" si="2"/>
        <v>0</v>
      </c>
      <c r="E43" s="2"/>
      <c r="F43" s="3">
        <f>Input!D45</f>
        <v>0</v>
      </c>
      <c r="G43" s="3">
        <f>Input!E45</f>
        <v>0</v>
      </c>
      <c r="H43" s="3" t="str">
        <f t="shared" si="3"/>
        <v>00</v>
      </c>
      <c r="I43" s="7">
        <f>Input!G45</f>
        <v>0</v>
      </c>
      <c r="J43" s="7">
        <f t="shared" si="4"/>
        <v>0</v>
      </c>
      <c r="K43" s="7">
        <f t="shared" si="5"/>
        <v>0</v>
      </c>
      <c r="L43" s="7" t="e">
        <f t="shared" si="6"/>
        <v>#DIV/0!</v>
      </c>
      <c r="M43" s="2"/>
      <c r="N43" s="3">
        <f>Input!I45</f>
        <v>0</v>
      </c>
      <c r="O43" s="7">
        <f>Input!J45</f>
        <v>0</v>
      </c>
      <c r="P43" s="6">
        <f>Input!K45</f>
        <v>0</v>
      </c>
      <c r="Q43" s="2"/>
      <c r="R43" s="3">
        <f>Input!M45</f>
        <v>0</v>
      </c>
      <c r="S43" s="3">
        <f>Input!N45</f>
        <v>0</v>
      </c>
      <c r="T43" s="3">
        <f t="shared" si="7"/>
        <v>187</v>
      </c>
      <c r="U43" s="3" t="str">
        <f t="shared" si="8"/>
        <v>00</v>
      </c>
      <c r="V43" s="7">
        <f t="shared" si="9"/>
        <v>0</v>
      </c>
      <c r="W43" s="6">
        <f t="shared" si="10"/>
        <v>0</v>
      </c>
      <c r="X43" s="7">
        <f t="shared" si="16"/>
        <v>0</v>
      </c>
      <c r="Y43" s="7">
        <f t="shared" si="11"/>
        <v>0</v>
      </c>
      <c r="Z43" s="7">
        <f t="shared" si="12"/>
        <v>0</v>
      </c>
      <c r="AA43" s="7">
        <f t="shared" si="13"/>
        <v>0</v>
      </c>
      <c r="AB43" s="7">
        <f t="shared" si="14"/>
        <v>0</v>
      </c>
      <c r="AC43" s="7">
        <f t="shared" si="15"/>
        <v>0</v>
      </c>
      <c r="AD43" s="7" t="e">
        <f t="shared" si="0"/>
        <v>#DIV/0!</v>
      </c>
    </row>
    <row r="44" spans="1:30" x14ac:dyDescent="0.25">
      <c r="A44" s="3">
        <f>Input!A46</f>
        <v>0</v>
      </c>
      <c r="B44" s="7">
        <f>Input!B46</f>
        <v>0</v>
      </c>
      <c r="C44" s="7">
        <f t="shared" si="1"/>
        <v>0</v>
      </c>
      <c r="D44" s="7">
        <f t="shared" si="2"/>
        <v>0</v>
      </c>
      <c r="E44" s="2"/>
      <c r="F44" s="3">
        <f>Input!D46</f>
        <v>0</v>
      </c>
      <c r="G44" s="3">
        <f>Input!E46</f>
        <v>0</v>
      </c>
      <c r="H44" s="3" t="str">
        <f t="shared" si="3"/>
        <v>00</v>
      </c>
      <c r="I44" s="7">
        <f>Input!G46</f>
        <v>0</v>
      </c>
      <c r="J44" s="7">
        <f t="shared" si="4"/>
        <v>0</v>
      </c>
      <c r="K44" s="7">
        <f t="shared" si="5"/>
        <v>0</v>
      </c>
      <c r="L44" s="7" t="e">
        <f t="shared" si="6"/>
        <v>#DIV/0!</v>
      </c>
      <c r="M44" s="2"/>
      <c r="N44" s="3">
        <f>Input!I46</f>
        <v>0</v>
      </c>
      <c r="O44" s="7">
        <f>Input!J46</f>
        <v>0</v>
      </c>
      <c r="P44" s="6">
        <f>Input!K46</f>
        <v>0</v>
      </c>
      <c r="Q44" s="2"/>
      <c r="R44" s="3">
        <f>Input!M46</f>
        <v>0</v>
      </c>
      <c r="S44" s="3">
        <f>Input!N46</f>
        <v>0</v>
      </c>
      <c r="T44" s="3">
        <f t="shared" si="7"/>
        <v>187</v>
      </c>
      <c r="U44" s="3" t="str">
        <f t="shared" si="8"/>
        <v>00</v>
      </c>
      <c r="V44" s="7">
        <f t="shared" si="9"/>
        <v>0</v>
      </c>
      <c r="W44" s="6">
        <f t="shared" si="10"/>
        <v>0</v>
      </c>
      <c r="X44" s="7">
        <f t="shared" si="16"/>
        <v>0</v>
      </c>
      <c r="Y44" s="7">
        <f t="shared" si="11"/>
        <v>0</v>
      </c>
      <c r="Z44" s="7">
        <f t="shared" si="12"/>
        <v>0</v>
      </c>
      <c r="AA44" s="7">
        <f t="shared" si="13"/>
        <v>0</v>
      </c>
      <c r="AB44" s="7">
        <f t="shared" si="14"/>
        <v>0</v>
      </c>
      <c r="AC44" s="7">
        <f t="shared" si="15"/>
        <v>0</v>
      </c>
      <c r="AD44" s="7" t="e">
        <f t="shared" si="0"/>
        <v>#DIV/0!</v>
      </c>
    </row>
    <row r="45" spans="1:30" x14ac:dyDescent="0.25">
      <c r="A45" s="3">
        <f>Input!A47</f>
        <v>0</v>
      </c>
      <c r="B45" s="7">
        <f>Input!B47</f>
        <v>0</v>
      </c>
      <c r="C45" s="7">
        <f t="shared" si="1"/>
        <v>0</v>
      </c>
      <c r="D45" s="7">
        <f t="shared" si="2"/>
        <v>0</v>
      </c>
      <c r="E45" s="2"/>
      <c r="F45" s="3">
        <f>Input!D47</f>
        <v>0</v>
      </c>
      <c r="G45" s="3">
        <f>Input!E47</f>
        <v>0</v>
      </c>
      <c r="H45" s="3" t="str">
        <f t="shared" si="3"/>
        <v>00</v>
      </c>
      <c r="I45" s="7">
        <f>Input!G47</f>
        <v>0</v>
      </c>
      <c r="J45" s="7">
        <f t="shared" si="4"/>
        <v>0</v>
      </c>
      <c r="K45" s="7">
        <f t="shared" si="5"/>
        <v>0</v>
      </c>
      <c r="L45" s="7" t="e">
        <f t="shared" si="6"/>
        <v>#DIV/0!</v>
      </c>
      <c r="M45" s="2"/>
      <c r="N45" s="3">
        <f>Input!I47</f>
        <v>0</v>
      </c>
      <c r="O45" s="7">
        <f>Input!J47</f>
        <v>0</v>
      </c>
      <c r="P45" s="6">
        <f>Input!K47</f>
        <v>0</v>
      </c>
      <c r="Q45" s="2"/>
      <c r="R45" s="3">
        <f>Input!M47</f>
        <v>0</v>
      </c>
      <c r="S45" s="3">
        <f>Input!N47</f>
        <v>0</v>
      </c>
      <c r="T45" s="3">
        <f t="shared" si="7"/>
        <v>187</v>
      </c>
      <c r="U45" s="3" t="str">
        <f t="shared" si="8"/>
        <v>00</v>
      </c>
      <c r="V45" s="7">
        <f t="shared" si="9"/>
        <v>0</v>
      </c>
      <c r="W45" s="6">
        <f t="shared" si="10"/>
        <v>0</v>
      </c>
      <c r="X45" s="7">
        <f t="shared" si="16"/>
        <v>0</v>
      </c>
      <c r="Y45" s="7">
        <f t="shared" si="11"/>
        <v>0</v>
      </c>
      <c r="Z45" s="7">
        <f t="shared" si="12"/>
        <v>0</v>
      </c>
      <c r="AA45" s="7">
        <f t="shared" si="13"/>
        <v>0</v>
      </c>
      <c r="AB45" s="7">
        <f t="shared" si="14"/>
        <v>0</v>
      </c>
      <c r="AC45" s="7">
        <f t="shared" si="15"/>
        <v>0</v>
      </c>
      <c r="AD45" s="7" t="e">
        <f t="shared" si="0"/>
        <v>#DIV/0!</v>
      </c>
    </row>
    <row r="46" spans="1:30" x14ac:dyDescent="0.25">
      <c r="A46" s="3">
        <f>Input!A48</f>
        <v>0</v>
      </c>
      <c r="B46" s="7">
        <f>Input!B48</f>
        <v>0</v>
      </c>
      <c r="C46" s="7">
        <f t="shared" si="1"/>
        <v>0</v>
      </c>
      <c r="D46" s="7">
        <f t="shared" si="2"/>
        <v>0</v>
      </c>
      <c r="E46" s="2"/>
      <c r="F46" s="3">
        <f>Input!D48</f>
        <v>0</v>
      </c>
      <c r="G46" s="3">
        <f>Input!E48</f>
        <v>0</v>
      </c>
      <c r="H46" s="3" t="str">
        <f t="shared" si="3"/>
        <v>00</v>
      </c>
      <c r="I46" s="7">
        <f>Input!G48</f>
        <v>0</v>
      </c>
      <c r="J46" s="7">
        <f t="shared" si="4"/>
        <v>0</v>
      </c>
      <c r="K46" s="7">
        <f t="shared" si="5"/>
        <v>0</v>
      </c>
      <c r="L46" s="7" t="e">
        <f t="shared" si="6"/>
        <v>#DIV/0!</v>
      </c>
      <c r="M46" s="2"/>
      <c r="N46" s="3">
        <f>Input!I48</f>
        <v>0</v>
      </c>
      <c r="O46" s="7">
        <f>Input!J48</f>
        <v>0</v>
      </c>
      <c r="P46" s="6">
        <f>Input!K48</f>
        <v>0</v>
      </c>
      <c r="Q46" s="2"/>
      <c r="R46" s="3">
        <f>Input!M48</f>
        <v>0</v>
      </c>
      <c r="S46" s="3">
        <f>Input!N48</f>
        <v>0</v>
      </c>
      <c r="T46" s="3">
        <f t="shared" si="7"/>
        <v>187</v>
      </c>
      <c r="U46" s="3" t="str">
        <f t="shared" si="8"/>
        <v>00</v>
      </c>
      <c r="V46" s="7">
        <f t="shared" si="9"/>
        <v>0</v>
      </c>
      <c r="W46" s="6">
        <f t="shared" si="10"/>
        <v>0</v>
      </c>
      <c r="X46" s="7">
        <f t="shared" si="16"/>
        <v>0</v>
      </c>
      <c r="Y46" s="7">
        <f t="shared" si="11"/>
        <v>0</v>
      </c>
      <c r="Z46" s="7">
        <f t="shared" si="12"/>
        <v>0</v>
      </c>
      <c r="AA46" s="7">
        <f t="shared" si="13"/>
        <v>0</v>
      </c>
      <c r="AB46" s="7">
        <f t="shared" si="14"/>
        <v>0</v>
      </c>
      <c r="AC46" s="7">
        <f t="shared" si="15"/>
        <v>0</v>
      </c>
      <c r="AD46" s="7" t="e">
        <f t="shared" si="0"/>
        <v>#DIV/0!</v>
      </c>
    </row>
    <row r="47" spans="1:30" x14ac:dyDescent="0.25">
      <c r="A47" s="3">
        <f>Input!A49</f>
        <v>0</v>
      </c>
      <c r="B47" s="7">
        <f>Input!B49</f>
        <v>0</v>
      </c>
      <c r="C47" s="7">
        <f t="shared" si="1"/>
        <v>0</v>
      </c>
      <c r="D47" s="7">
        <f t="shared" si="2"/>
        <v>0</v>
      </c>
      <c r="E47" s="2"/>
      <c r="F47" s="3">
        <f>Input!D49</f>
        <v>0</v>
      </c>
      <c r="G47" s="3">
        <f>Input!E49</f>
        <v>0</v>
      </c>
      <c r="H47" s="3" t="str">
        <f t="shared" si="3"/>
        <v>00</v>
      </c>
      <c r="I47" s="7">
        <f>Input!G49</f>
        <v>0</v>
      </c>
      <c r="J47" s="7">
        <f t="shared" si="4"/>
        <v>0</v>
      </c>
      <c r="K47" s="7">
        <f t="shared" si="5"/>
        <v>0</v>
      </c>
      <c r="L47" s="7" t="e">
        <f t="shared" si="6"/>
        <v>#DIV/0!</v>
      </c>
      <c r="M47" s="2"/>
      <c r="N47" s="3">
        <f>Input!I49</f>
        <v>0</v>
      </c>
      <c r="O47" s="7">
        <f>Input!J49</f>
        <v>0</v>
      </c>
      <c r="P47" s="6">
        <f>Input!K49</f>
        <v>0</v>
      </c>
      <c r="Q47" s="2"/>
      <c r="R47" s="3">
        <f>Input!M49</f>
        <v>0</v>
      </c>
      <c r="S47" s="3">
        <f>Input!N49</f>
        <v>0</v>
      </c>
      <c r="T47" s="3">
        <f t="shared" si="7"/>
        <v>187</v>
      </c>
      <c r="U47" s="3" t="str">
        <f t="shared" si="8"/>
        <v>00</v>
      </c>
      <c r="V47" s="7">
        <f t="shared" si="9"/>
        <v>0</v>
      </c>
      <c r="W47" s="6">
        <f t="shared" si="10"/>
        <v>0</v>
      </c>
      <c r="X47" s="7">
        <f t="shared" si="16"/>
        <v>0</v>
      </c>
      <c r="Y47" s="7">
        <f t="shared" si="11"/>
        <v>0</v>
      </c>
      <c r="Z47" s="7">
        <f t="shared" si="12"/>
        <v>0</v>
      </c>
      <c r="AA47" s="7">
        <f t="shared" si="13"/>
        <v>0</v>
      </c>
      <c r="AB47" s="7">
        <f t="shared" si="14"/>
        <v>0</v>
      </c>
      <c r="AC47" s="7">
        <f t="shared" si="15"/>
        <v>0</v>
      </c>
      <c r="AD47" s="7" t="e">
        <f t="shared" si="0"/>
        <v>#DIV/0!</v>
      </c>
    </row>
    <row r="48" spans="1:30" x14ac:dyDescent="0.25">
      <c r="A48" s="3">
        <f>Input!A50</f>
        <v>0</v>
      </c>
      <c r="B48" s="7">
        <f>Input!B50</f>
        <v>0</v>
      </c>
      <c r="C48" s="7">
        <f t="shared" si="1"/>
        <v>0</v>
      </c>
      <c r="D48" s="7">
        <f t="shared" si="2"/>
        <v>0</v>
      </c>
      <c r="E48" s="2"/>
      <c r="F48" s="3">
        <f>Input!D50</f>
        <v>0</v>
      </c>
      <c r="G48" s="3">
        <f>Input!E50</f>
        <v>0</v>
      </c>
      <c r="H48" s="3" t="str">
        <f t="shared" si="3"/>
        <v>00</v>
      </c>
      <c r="I48" s="7">
        <f>Input!G50</f>
        <v>0</v>
      </c>
      <c r="J48" s="7">
        <f t="shared" si="4"/>
        <v>0</v>
      </c>
      <c r="K48" s="7">
        <f t="shared" si="5"/>
        <v>0</v>
      </c>
      <c r="L48" s="7" t="e">
        <f t="shared" si="6"/>
        <v>#DIV/0!</v>
      </c>
      <c r="M48" s="2"/>
      <c r="N48" s="3">
        <f>Input!I50</f>
        <v>0</v>
      </c>
      <c r="O48" s="7">
        <f>Input!J50</f>
        <v>0</v>
      </c>
      <c r="P48" s="6">
        <f>Input!K50</f>
        <v>0</v>
      </c>
      <c r="Q48" s="2"/>
      <c r="R48" s="3">
        <f>Input!M50</f>
        <v>0</v>
      </c>
      <c r="S48" s="3">
        <f>Input!N50</f>
        <v>0</v>
      </c>
      <c r="T48" s="3">
        <f t="shared" si="7"/>
        <v>187</v>
      </c>
      <c r="U48" s="3" t="str">
        <f t="shared" si="8"/>
        <v>00</v>
      </c>
      <c r="V48" s="7">
        <f t="shared" si="9"/>
        <v>0</v>
      </c>
      <c r="W48" s="6">
        <f t="shared" si="10"/>
        <v>0</v>
      </c>
      <c r="X48" s="7">
        <f t="shared" si="16"/>
        <v>0</v>
      </c>
      <c r="Y48" s="7">
        <f t="shared" si="11"/>
        <v>0</v>
      </c>
      <c r="Z48" s="7">
        <f t="shared" si="12"/>
        <v>0</v>
      </c>
      <c r="AA48" s="7">
        <f t="shared" si="13"/>
        <v>0</v>
      </c>
      <c r="AB48" s="7">
        <f t="shared" si="14"/>
        <v>0</v>
      </c>
      <c r="AC48" s="7">
        <f t="shared" si="15"/>
        <v>0</v>
      </c>
      <c r="AD48" s="7" t="e">
        <f t="shared" si="0"/>
        <v>#DIV/0!</v>
      </c>
    </row>
    <row r="49" spans="1:30" x14ac:dyDescent="0.25">
      <c r="A49" s="3">
        <f>Input!A51</f>
        <v>0</v>
      </c>
      <c r="B49" s="7">
        <f>Input!B51</f>
        <v>0</v>
      </c>
      <c r="C49" s="7">
        <f t="shared" si="1"/>
        <v>0</v>
      </c>
      <c r="D49" s="7">
        <f t="shared" si="2"/>
        <v>0</v>
      </c>
      <c r="E49" s="2"/>
      <c r="F49" s="3">
        <f>Input!D51</f>
        <v>0</v>
      </c>
      <c r="G49" s="3">
        <f>Input!E51</f>
        <v>0</v>
      </c>
      <c r="H49" s="3" t="str">
        <f t="shared" si="3"/>
        <v>00</v>
      </c>
      <c r="I49" s="7">
        <f>Input!G51</f>
        <v>0</v>
      </c>
      <c r="J49" s="7">
        <f t="shared" si="4"/>
        <v>0</v>
      </c>
      <c r="K49" s="7">
        <f t="shared" si="5"/>
        <v>0</v>
      </c>
      <c r="L49" s="7" t="e">
        <f t="shared" si="6"/>
        <v>#DIV/0!</v>
      </c>
      <c r="M49" s="2"/>
      <c r="N49" s="3">
        <f>Input!I51</f>
        <v>0</v>
      </c>
      <c r="O49" s="7">
        <f>Input!J51</f>
        <v>0</v>
      </c>
      <c r="P49" s="6">
        <f>Input!K51</f>
        <v>0</v>
      </c>
      <c r="Q49" s="2"/>
      <c r="R49" s="3">
        <f>Input!M51</f>
        <v>0</v>
      </c>
      <c r="S49" s="3">
        <f>Input!N51</f>
        <v>0</v>
      </c>
      <c r="T49" s="3">
        <f t="shared" si="7"/>
        <v>187</v>
      </c>
      <c r="U49" s="3" t="str">
        <f t="shared" si="8"/>
        <v>00</v>
      </c>
      <c r="V49" s="7">
        <f t="shared" si="9"/>
        <v>0</v>
      </c>
      <c r="W49" s="6">
        <f t="shared" si="10"/>
        <v>0</v>
      </c>
      <c r="X49" s="7">
        <f t="shared" si="16"/>
        <v>0</v>
      </c>
      <c r="Y49" s="7">
        <f t="shared" si="11"/>
        <v>0</v>
      </c>
      <c r="Z49" s="7">
        <f t="shared" si="12"/>
        <v>0</v>
      </c>
      <c r="AA49" s="7">
        <f t="shared" si="13"/>
        <v>0</v>
      </c>
      <c r="AB49" s="7">
        <f t="shared" si="14"/>
        <v>0</v>
      </c>
      <c r="AC49" s="7">
        <f t="shared" si="15"/>
        <v>0</v>
      </c>
      <c r="AD49" s="7" t="e">
        <f t="shared" si="0"/>
        <v>#DIV/0!</v>
      </c>
    </row>
    <row r="50" spans="1:30" x14ac:dyDescent="0.25">
      <c r="A50" s="3">
        <f>Input!A52</f>
        <v>0</v>
      </c>
      <c r="B50" s="7">
        <f>Input!B52</f>
        <v>0</v>
      </c>
      <c r="C50" s="7">
        <f t="shared" si="1"/>
        <v>0</v>
      </c>
      <c r="D50" s="7">
        <f t="shared" si="2"/>
        <v>0</v>
      </c>
      <c r="E50" s="2"/>
      <c r="F50" s="3">
        <f>Input!D52</f>
        <v>0</v>
      </c>
      <c r="G50" s="3">
        <f>Input!E52</f>
        <v>0</v>
      </c>
      <c r="H50" s="3" t="str">
        <f t="shared" si="3"/>
        <v>00</v>
      </c>
      <c r="I50" s="7">
        <f>Input!G52</f>
        <v>0</v>
      </c>
      <c r="J50" s="7">
        <f t="shared" si="4"/>
        <v>0</v>
      </c>
      <c r="K50" s="7">
        <f t="shared" si="5"/>
        <v>0</v>
      </c>
      <c r="L50" s="7" t="e">
        <f t="shared" si="6"/>
        <v>#DIV/0!</v>
      </c>
      <c r="M50" s="2"/>
      <c r="N50" s="3">
        <f>Input!I52</f>
        <v>0</v>
      </c>
      <c r="O50" s="7">
        <f>Input!J52</f>
        <v>0</v>
      </c>
      <c r="P50" s="6">
        <f>Input!K52</f>
        <v>0</v>
      </c>
      <c r="Q50" s="2"/>
      <c r="R50" s="3">
        <f>Input!M52</f>
        <v>0</v>
      </c>
      <c r="S50" s="3">
        <f>Input!N52</f>
        <v>0</v>
      </c>
      <c r="T50" s="3">
        <f t="shared" si="7"/>
        <v>187</v>
      </c>
      <c r="U50" s="3" t="str">
        <f t="shared" si="8"/>
        <v>00</v>
      </c>
      <c r="V50" s="7">
        <f t="shared" si="9"/>
        <v>0</v>
      </c>
      <c r="W50" s="6">
        <f t="shared" si="10"/>
        <v>0</v>
      </c>
      <c r="X50" s="7">
        <f t="shared" si="16"/>
        <v>0</v>
      </c>
      <c r="Y50" s="7">
        <f t="shared" si="11"/>
        <v>0</v>
      </c>
      <c r="Z50" s="7">
        <f t="shared" si="12"/>
        <v>0</v>
      </c>
      <c r="AA50" s="7">
        <f t="shared" si="13"/>
        <v>0</v>
      </c>
      <c r="AB50" s="7">
        <f t="shared" si="14"/>
        <v>0</v>
      </c>
      <c r="AC50" s="7">
        <f t="shared" si="15"/>
        <v>0</v>
      </c>
      <c r="AD50" s="7" t="e">
        <f t="shared" si="0"/>
        <v>#DIV/0!</v>
      </c>
    </row>
    <row r="51" spans="1:30" x14ac:dyDescent="0.25">
      <c r="A51" s="3">
        <f>Input!A53</f>
        <v>0</v>
      </c>
      <c r="B51" s="7">
        <f>Input!B53</f>
        <v>0</v>
      </c>
      <c r="C51" s="7">
        <f t="shared" si="1"/>
        <v>0</v>
      </c>
      <c r="D51" s="7">
        <f t="shared" si="2"/>
        <v>0</v>
      </c>
      <c r="E51" s="2"/>
      <c r="F51" s="3">
        <f>Input!D53</f>
        <v>0</v>
      </c>
      <c r="G51" s="3">
        <f>Input!E53</f>
        <v>0</v>
      </c>
      <c r="H51" s="3" t="str">
        <f t="shared" si="3"/>
        <v>00</v>
      </c>
      <c r="I51" s="7">
        <f>Input!G53</f>
        <v>0</v>
      </c>
      <c r="J51" s="7">
        <f t="shared" si="4"/>
        <v>0</v>
      </c>
      <c r="K51" s="7">
        <f t="shared" si="5"/>
        <v>0</v>
      </c>
      <c r="L51" s="7" t="e">
        <f t="shared" si="6"/>
        <v>#DIV/0!</v>
      </c>
      <c r="M51" s="2"/>
      <c r="N51" s="3">
        <f>Input!I53</f>
        <v>0</v>
      </c>
      <c r="O51" s="7">
        <f>Input!J53</f>
        <v>0</v>
      </c>
      <c r="P51" s="6">
        <f>Input!K53</f>
        <v>0</v>
      </c>
      <c r="Q51" s="2"/>
      <c r="R51" s="3">
        <f>Input!M53</f>
        <v>0</v>
      </c>
      <c r="S51" s="3">
        <f>Input!N53</f>
        <v>0</v>
      </c>
      <c r="T51" s="3">
        <f t="shared" si="7"/>
        <v>187</v>
      </c>
      <c r="U51" s="3" t="str">
        <f t="shared" si="8"/>
        <v>00</v>
      </c>
      <c r="V51" s="7">
        <f t="shared" si="9"/>
        <v>0</v>
      </c>
      <c r="W51" s="6">
        <f t="shared" si="10"/>
        <v>0</v>
      </c>
      <c r="X51" s="7">
        <f t="shared" si="16"/>
        <v>0</v>
      </c>
      <c r="Y51" s="7">
        <f t="shared" si="11"/>
        <v>0</v>
      </c>
      <c r="Z51" s="7">
        <f t="shared" si="12"/>
        <v>0</v>
      </c>
      <c r="AA51" s="7">
        <f t="shared" si="13"/>
        <v>0</v>
      </c>
      <c r="AB51" s="7">
        <f t="shared" si="14"/>
        <v>0</v>
      </c>
      <c r="AC51" s="7">
        <f t="shared" si="15"/>
        <v>0</v>
      </c>
      <c r="AD51" s="7" t="e">
        <f t="shared" si="0"/>
        <v>#DIV/0!</v>
      </c>
    </row>
    <row r="52" spans="1:30" x14ac:dyDescent="0.25">
      <c r="A52" s="3">
        <f>Input!A54</f>
        <v>0</v>
      </c>
      <c r="B52" s="7">
        <f>Input!B54</f>
        <v>0</v>
      </c>
      <c r="C52" s="7">
        <f t="shared" si="1"/>
        <v>0</v>
      </c>
      <c r="D52" s="7">
        <f t="shared" si="2"/>
        <v>0</v>
      </c>
      <c r="E52" s="2"/>
      <c r="F52" s="3">
        <f>Input!D54</f>
        <v>0</v>
      </c>
      <c r="G52" s="3">
        <f>Input!E54</f>
        <v>0</v>
      </c>
      <c r="H52" s="3" t="str">
        <f t="shared" si="3"/>
        <v>00</v>
      </c>
      <c r="I52" s="7">
        <f>Input!G54</f>
        <v>0</v>
      </c>
      <c r="J52" s="7">
        <f t="shared" si="4"/>
        <v>0</v>
      </c>
      <c r="K52" s="7">
        <f t="shared" si="5"/>
        <v>0</v>
      </c>
      <c r="L52" s="7" t="e">
        <f t="shared" si="6"/>
        <v>#DIV/0!</v>
      </c>
      <c r="M52" s="2"/>
      <c r="N52" s="3">
        <f>Input!I54</f>
        <v>0</v>
      </c>
      <c r="O52" s="7">
        <f>Input!J54</f>
        <v>0</v>
      </c>
      <c r="P52" s="6">
        <f>Input!K54</f>
        <v>0</v>
      </c>
      <c r="Q52" s="2"/>
      <c r="R52" s="3">
        <f>Input!M54</f>
        <v>0</v>
      </c>
      <c r="S52" s="3">
        <f>Input!N54</f>
        <v>0</v>
      </c>
      <c r="T52" s="3">
        <f t="shared" si="7"/>
        <v>187</v>
      </c>
      <c r="U52" s="3" t="str">
        <f t="shared" si="8"/>
        <v>00</v>
      </c>
      <c r="V52" s="7">
        <f t="shared" si="9"/>
        <v>0</v>
      </c>
      <c r="W52" s="6">
        <f t="shared" si="10"/>
        <v>0</v>
      </c>
      <c r="X52" s="7">
        <f t="shared" si="16"/>
        <v>0</v>
      </c>
      <c r="Y52" s="7">
        <f t="shared" si="11"/>
        <v>0</v>
      </c>
      <c r="Z52" s="7">
        <f t="shared" si="12"/>
        <v>0</v>
      </c>
      <c r="AA52" s="7">
        <f t="shared" si="13"/>
        <v>0</v>
      </c>
      <c r="AB52" s="7">
        <f t="shared" si="14"/>
        <v>0</v>
      </c>
      <c r="AC52" s="7">
        <f t="shared" si="15"/>
        <v>0</v>
      </c>
      <c r="AD52" s="7" t="e">
        <f t="shared" si="0"/>
        <v>#DIV/0!</v>
      </c>
    </row>
    <row r="53" spans="1:30" x14ac:dyDescent="0.25">
      <c r="A53" s="3">
        <f>Input!A55</f>
        <v>0</v>
      </c>
      <c r="B53" s="7">
        <f>Input!B55</f>
        <v>0</v>
      </c>
      <c r="C53" s="7">
        <f t="shared" si="1"/>
        <v>0</v>
      </c>
      <c r="D53" s="7">
        <f t="shared" si="2"/>
        <v>0</v>
      </c>
      <c r="E53" s="2"/>
      <c r="F53" s="3">
        <f>Input!D55</f>
        <v>0</v>
      </c>
      <c r="G53" s="3">
        <f>Input!E55</f>
        <v>0</v>
      </c>
      <c r="H53" s="3" t="str">
        <f t="shared" si="3"/>
        <v>00</v>
      </c>
      <c r="I53" s="7">
        <f>Input!G55</f>
        <v>0</v>
      </c>
      <c r="J53" s="7">
        <f t="shared" si="4"/>
        <v>0</v>
      </c>
      <c r="K53" s="7">
        <f t="shared" si="5"/>
        <v>0</v>
      </c>
      <c r="L53" s="7" t="e">
        <f t="shared" si="6"/>
        <v>#DIV/0!</v>
      </c>
      <c r="M53" s="2"/>
      <c r="N53" s="3">
        <f>Input!I55</f>
        <v>0</v>
      </c>
      <c r="O53" s="7">
        <f>Input!J55</f>
        <v>0</v>
      </c>
      <c r="P53" s="6">
        <f>Input!K55</f>
        <v>0</v>
      </c>
      <c r="Q53" s="2"/>
      <c r="R53" s="3">
        <f>Input!M55</f>
        <v>0</v>
      </c>
      <c r="S53" s="3">
        <f>Input!N55</f>
        <v>0</v>
      </c>
      <c r="T53" s="3">
        <f t="shared" si="7"/>
        <v>187</v>
      </c>
      <c r="U53" s="3" t="str">
        <f t="shared" si="8"/>
        <v>00</v>
      </c>
      <c r="V53" s="7">
        <f t="shared" si="9"/>
        <v>0</v>
      </c>
      <c r="W53" s="6">
        <f t="shared" si="10"/>
        <v>0</v>
      </c>
      <c r="X53" s="7">
        <f t="shared" si="16"/>
        <v>0</v>
      </c>
      <c r="Y53" s="7">
        <f t="shared" si="11"/>
        <v>0</v>
      </c>
      <c r="Z53" s="7">
        <f t="shared" si="12"/>
        <v>0</v>
      </c>
      <c r="AA53" s="7">
        <f t="shared" si="13"/>
        <v>0</v>
      </c>
      <c r="AB53" s="7">
        <f t="shared" si="14"/>
        <v>0</v>
      </c>
      <c r="AC53" s="7">
        <f t="shared" si="15"/>
        <v>0</v>
      </c>
      <c r="AD53" s="7" t="e">
        <f t="shared" si="0"/>
        <v>#DIV/0!</v>
      </c>
    </row>
    <row r="54" spans="1:30" x14ac:dyDescent="0.25">
      <c r="A54" s="3">
        <f>Input!A56</f>
        <v>0</v>
      </c>
      <c r="B54" s="7">
        <f>Input!B56</f>
        <v>0</v>
      </c>
      <c r="C54" s="7">
        <f t="shared" si="1"/>
        <v>0</v>
      </c>
      <c r="D54" s="7">
        <f t="shared" si="2"/>
        <v>0</v>
      </c>
      <c r="E54" s="2"/>
      <c r="F54" s="3">
        <f>Input!D56</f>
        <v>0</v>
      </c>
      <c r="G54" s="3">
        <f>Input!E56</f>
        <v>0</v>
      </c>
      <c r="H54" s="3" t="str">
        <f t="shared" si="3"/>
        <v>00</v>
      </c>
      <c r="I54" s="7">
        <f>Input!G56</f>
        <v>0</v>
      </c>
      <c r="J54" s="7">
        <f t="shared" si="4"/>
        <v>0</v>
      </c>
      <c r="K54" s="7">
        <f t="shared" si="5"/>
        <v>0</v>
      </c>
      <c r="L54" s="7" t="e">
        <f t="shared" si="6"/>
        <v>#DIV/0!</v>
      </c>
      <c r="M54" s="2"/>
      <c r="N54" s="3">
        <f>Input!I56</f>
        <v>0</v>
      </c>
      <c r="O54" s="7">
        <f>Input!J56</f>
        <v>0</v>
      </c>
      <c r="P54" s="6">
        <f>Input!K56</f>
        <v>0</v>
      </c>
      <c r="Q54" s="2"/>
      <c r="R54" s="3">
        <f>Input!M56</f>
        <v>0</v>
      </c>
      <c r="S54" s="3">
        <f>Input!N56</f>
        <v>0</v>
      </c>
      <c r="T54" s="3">
        <f t="shared" si="7"/>
        <v>187</v>
      </c>
      <c r="U54" s="3" t="str">
        <f t="shared" si="8"/>
        <v>00</v>
      </c>
      <c r="V54" s="7">
        <f t="shared" si="9"/>
        <v>0</v>
      </c>
      <c r="W54" s="6">
        <f t="shared" si="10"/>
        <v>0</v>
      </c>
      <c r="X54" s="7">
        <f t="shared" si="16"/>
        <v>0</v>
      </c>
      <c r="Y54" s="7">
        <f t="shared" si="11"/>
        <v>0</v>
      </c>
      <c r="Z54" s="7">
        <f t="shared" si="12"/>
        <v>0</v>
      </c>
      <c r="AA54" s="7">
        <f t="shared" si="13"/>
        <v>0</v>
      </c>
      <c r="AB54" s="7">
        <f t="shared" si="14"/>
        <v>0</v>
      </c>
      <c r="AC54" s="7">
        <f t="shared" si="15"/>
        <v>0</v>
      </c>
      <c r="AD54" s="7" t="e">
        <f t="shared" si="0"/>
        <v>#DIV/0!</v>
      </c>
    </row>
    <row r="55" spans="1:30" x14ac:dyDescent="0.25">
      <c r="A55" s="3">
        <f>Input!A57</f>
        <v>0</v>
      </c>
      <c r="B55" s="7">
        <f>Input!B57</f>
        <v>0</v>
      </c>
      <c r="C55" s="7">
        <f t="shared" si="1"/>
        <v>0</v>
      </c>
      <c r="D55" s="7">
        <f t="shared" si="2"/>
        <v>0</v>
      </c>
      <c r="E55" s="2"/>
      <c r="F55" s="3">
        <f>Input!D57</f>
        <v>0</v>
      </c>
      <c r="G55" s="3">
        <f>Input!E57</f>
        <v>0</v>
      </c>
      <c r="H55" s="3" t="str">
        <f t="shared" si="3"/>
        <v>00</v>
      </c>
      <c r="I55" s="7">
        <f>Input!G57</f>
        <v>0</v>
      </c>
      <c r="J55" s="7">
        <f t="shared" si="4"/>
        <v>0</v>
      </c>
      <c r="K55" s="7">
        <f t="shared" si="5"/>
        <v>0</v>
      </c>
      <c r="L55" s="7" t="e">
        <f t="shared" si="6"/>
        <v>#DIV/0!</v>
      </c>
      <c r="M55" s="2"/>
      <c r="N55" s="3">
        <f>Input!I57</f>
        <v>0</v>
      </c>
      <c r="O55" s="7">
        <f>Input!J57</f>
        <v>0</v>
      </c>
      <c r="P55" s="6">
        <f>Input!K57</f>
        <v>0</v>
      </c>
      <c r="Q55" s="2"/>
      <c r="R55" s="3">
        <f>Input!M57</f>
        <v>0</v>
      </c>
      <c r="S55" s="3">
        <f>Input!N57</f>
        <v>0</v>
      </c>
      <c r="T55" s="3">
        <f t="shared" si="7"/>
        <v>187</v>
      </c>
      <c r="U55" s="3" t="str">
        <f t="shared" si="8"/>
        <v>00</v>
      </c>
      <c r="V55" s="7">
        <f t="shared" si="9"/>
        <v>0</v>
      </c>
      <c r="W55" s="6">
        <f t="shared" si="10"/>
        <v>0</v>
      </c>
      <c r="X55" s="7">
        <f t="shared" si="16"/>
        <v>0</v>
      </c>
      <c r="Y55" s="7">
        <f t="shared" si="11"/>
        <v>0</v>
      </c>
      <c r="Z55" s="7">
        <f t="shared" si="12"/>
        <v>0</v>
      </c>
      <c r="AA55" s="7">
        <f t="shared" si="13"/>
        <v>0</v>
      </c>
      <c r="AB55" s="7">
        <f t="shared" si="14"/>
        <v>0</v>
      </c>
      <c r="AC55" s="7">
        <f t="shared" si="15"/>
        <v>0</v>
      </c>
      <c r="AD55" s="7" t="e">
        <f t="shared" si="0"/>
        <v>#DIV/0!</v>
      </c>
    </row>
    <row r="56" spans="1:30" x14ac:dyDescent="0.25">
      <c r="A56" s="3">
        <f>Input!A58</f>
        <v>0</v>
      </c>
      <c r="B56" s="7">
        <f>Input!B58</f>
        <v>0</v>
      </c>
      <c r="C56" s="7">
        <f t="shared" si="1"/>
        <v>0</v>
      </c>
      <c r="D56" s="7">
        <f t="shared" si="2"/>
        <v>0</v>
      </c>
      <c r="E56" s="2"/>
      <c r="F56" s="3">
        <f>Input!D58</f>
        <v>0</v>
      </c>
      <c r="G56" s="3">
        <f>Input!E58</f>
        <v>0</v>
      </c>
      <c r="H56" s="3" t="str">
        <f t="shared" si="3"/>
        <v>00</v>
      </c>
      <c r="I56" s="7">
        <f>Input!G58</f>
        <v>0</v>
      </c>
      <c r="J56" s="7">
        <f t="shared" si="4"/>
        <v>0</v>
      </c>
      <c r="K56" s="7">
        <f t="shared" si="5"/>
        <v>0</v>
      </c>
      <c r="L56" s="7" t="e">
        <f t="shared" si="6"/>
        <v>#DIV/0!</v>
      </c>
      <c r="M56" s="2"/>
      <c r="N56" s="3">
        <f>Input!I58</f>
        <v>0</v>
      </c>
      <c r="O56" s="7">
        <f>Input!J58</f>
        <v>0</v>
      </c>
      <c r="P56" s="6">
        <f>Input!K58</f>
        <v>0</v>
      </c>
      <c r="Q56" s="2"/>
      <c r="R56" s="3">
        <f>Input!M58</f>
        <v>0</v>
      </c>
      <c r="S56" s="3">
        <f>Input!N58</f>
        <v>0</v>
      </c>
      <c r="T56" s="3">
        <f t="shared" si="7"/>
        <v>187</v>
      </c>
      <c r="U56" s="3" t="str">
        <f t="shared" si="8"/>
        <v>00</v>
      </c>
      <c r="V56" s="7">
        <f t="shared" si="9"/>
        <v>0</v>
      </c>
      <c r="W56" s="6">
        <f t="shared" si="10"/>
        <v>0</v>
      </c>
      <c r="X56" s="7">
        <f t="shared" si="16"/>
        <v>0</v>
      </c>
      <c r="Y56" s="7">
        <f t="shared" si="11"/>
        <v>0</v>
      </c>
      <c r="Z56" s="7">
        <f t="shared" si="12"/>
        <v>0</v>
      </c>
      <c r="AA56" s="7">
        <f t="shared" si="13"/>
        <v>0</v>
      </c>
      <c r="AB56" s="7">
        <f t="shared" si="14"/>
        <v>0</v>
      </c>
      <c r="AC56" s="7">
        <f t="shared" si="15"/>
        <v>0</v>
      </c>
      <c r="AD56" s="7" t="e">
        <f t="shared" si="0"/>
        <v>#DIV/0!</v>
      </c>
    </row>
    <row r="57" spans="1:30" x14ac:dyDescent="0.25">
      <c r="A57" s="3">
        <f>Input!A59</f>
        <v>0</v>
      </c>
      <c r="B57" s="7">
        <f>Input!B59</f>
        <v>0</v>
      </c>
      <c r="C57" s="7">
        <f t="shared" si="1"/>
        <v>0</v>
      </c>
      <c r="D57" s="7">
        <f t="shared" si="2"/>
        <v>0</v>
      </c>
      <c r="E57" s="2"/>
      <c r="F57" s="3">
        <f>Input!D59</f>
        <v>0</v>
      </c>
      <c r="G57" s="3">
        <f>Input!E59</f>
        <v>0</v>
      </c>
      <c r="H57" s="3" t="str">
        <f t="shared" si="3"/>
        <v>00</v>
      </c>
      <c r="I57" s="7">
        <f>Input!G59</f>
        <v>0</v>
      </c>
      <c r="J57" s="7">
        <f t="shared" si="4"/>
        <v>0</v>
      </c>
      <c r="K57" s="7">
        <f t="shared" si="5"/>
        <v>0</v>
      </c>
      <c r="L57" s="7" t="e">
        <f t="shared" si="6"/>
        <v>#DIV/0!</v>
      </c>
      <c r="M57" s="2"/>
      <c r="N57" s="3">
        <f>Input!I59</f>
        <v>0</v>
      </c>
      <c r="O57" s="7">
        <f>Input!J59</f>
        <v>0</v>
      </c>
      <c r="P57" s="6">
        <f>Input!K59</f>
        <v>0</v>
      </c>
      <c r="Q57" s="2"/>
      <c r="R57" s="3">
        <f>Input!M59</f>
        <v>0</v>
      </c>
      <c r="S57" s="3">
        <f>Input!N59</f>
        <v>0</v>
      </c>
      <c r="T57" s="3">
        <f t="shared" si="7"/>
        <v>187</v>
      </c>
      <c r="U57" s="3" t="str">
        <f t="shared" si="8"/>
        <v>00</v>
      </c>
      <c r="V57" s="7">
        <f t="shared" si="9"/>
        <v>0</v>
      </c>
      <c r="W57" s="6">
        <f t="shared" si="10"/>
        <v>0</v>
      </c>
      <c r="X57" s="7">
        <f t="shared" si="16"/>
        <v>0</v>
      </c>
      <c r="Y57" s="7">
        <f t="shared" si="11"/>
        <v>0</v>
      </c>
      <c r="Z57" s="7">
        <f t="shared" si="12"/>
        <v>0</v>
      </c>
      <c r="AA57" s="7">
        <f t="shared" si="13"/>
        <v>0</v>
      </c>
      <c r="AB57" s="7">
        <f t="shared" si="14"/>
        <v>0</v>
      </c>
      <c r="AC57" s="7">
        <f t="shared" si="15"/>
        <v>0</v>
      </c>
      <c r="AD57" s="7" t="e">
        <f t="shared" si="0"/>
        <v>#DIV/0!</v>
      </c>
    </row>
    <row r="58" spans="1:30" x14ac:dyDescent="0.25">
      <c r="A58" s="3">
        <f>Input!A60</f>
        <v>0</v>
      </c>
      <c r="B58" s="7">
        <f>Input!B60</f>
        <v>0</v>
      </c>
      <c r="C58" s="7">
        <f t="shared" si="1"/>
        <v>0</v>
      </c>
      <c r="D58" s="7">
        <f t="shared" si="2"/>
        <v>0</v>
      </c>
      <c r="E58" s="2"/>
      <c r="F58" s="3">
        <f>Input!D60</f>
        <v>0</v>
      </c>
      <c r="G58" s="3">
        <f>Input!E60</f>
        <v>0</v>
      </c>
      <c r="H58" s="3" t="str">
        <f t="shared" si="3"/>
        <v>00</v>
      </c>
      <c r="I58" s="7">
        <f>Input!G60</f>
        <v>0</v>
      </c>
      <c r="J58" s="7">
        <f t="shared" si="4"/>
        <v>0</v>
      </c>
      <c r="K58" s="7">
        <f t="shared" si="5"/>
        <v>0</v>
      </c>
      <c r="L58" s="7" t="e">
        <f t="shared" si="6"/>
        <v>#DIV/0!</v>
      </c>
      <c r="M58" s="2"/>
      <c r="N58" s="3">
        <f>Input!I60</f>
        <v>0</v>
      </c>
      <c r="O58" s="7">
        <f>Input!J60</f>
        <v>0</v>
      </c>
      <c r="P58" s="6">
        <f>Input!K60</f>
        <v>0</v>
      </c>
      <c r="Q58" s="2"/>
      <c r="R58" s="3">
        <f>Input!M60</f>
        <v>0</v>
      </c>
      <c r="S58" s="3">
        <f>Input!N60</f>
        <v>0</v>
      </c>
      <c r="T58" s="3">
        <f t="shared" si="7"/>
        <v>187</v>
      </c>
      <c r="U58" s="3" t="str">
        <f t="shared" si="8"/>
        <v>00</v>
      </c>
      <c r="V58" s="7">
        <f t="shared" si="9"/>
        <v>0</v>
      </c>
      <c r="W58" s="6">
        <f t="shared" si="10"/>
        <v>0</v>
      </c>
      <c r="X58" s="7">
        <f t="shared" si="16"/>
        <v>0</v>
      </c>
      <c r="Y58" s="7">
        <f t="shared" si="11"/>
        <v>0</v>
      </c>
      <c r="Z58" s="7">
        <f t="shared" si="12"/>
        <v>0</v>
      </c>
      <c r="AA58" s="7">
        <f t="shared" si="13"/>
        <v>0</v>
      </c>
      <c r="AB58" s="7">
        <f t="shared" si="14"/>
        <v>0</v>
      </c>
      <c r="AC58" s="7">
        <f t="shared" si="15"/>
        <v>0</v>
      </c>
      <c r="AD58" s="7" t="e">
        <f t="shared" si="0"/>
        <v>#DIV/0!</v>
      </c>
    </row>
    <row r="59" spans="1:30" x14ac:dyDescent="0.25">
      <c r="A59" s="3">
        <f>Input!A61</f>
        <v>0</v>
      </c>
      <c r="B59" s="7">
        <f>Input!B61</f>
        <v>0</v>
      </c>
      <c r="C59" s="7">
        <f t="shared" si="1"/>
        <v>0</v>
      </c>
      <c r="D59" s="7">
        <f t="shared" si="2"/>
        <v>0</v>
      </c>
      <c r="E59" s="2"/>
      <c r="F59" s="3">
        <f>Input!D61</f>
        <v>0</v>
      </c>
      <c r="G59" s="3">
        <f>Input!E61</f>
        <v>0</v>
      </c>
      <c r="H59" s="3" t="str">
        <f t="shared" si="3"/>
        <v>00</v>
      </c>
      <c r="I59" s="7">
        <f>Input!G61</f>
        <v>0</v>
      </c>
      <c r="J59" s="7">
        <f t="shared" si="4"/>
        <v>0</v>
      </c>
      <c r="K59" s="7">
        <f t="shared" si="5"/>
        <v>0</v>
      </c>
      <c r="L59" s="7" t="e">
        <f t="shared" si="6"/>
        <v>#DIV/0!</v>
      </c>
      <c r="M59" s="2"/>
      <c r="N59" s="3">
        <f>Input!I61</f>
        <v>0</v>
      </c>
      <c r="O59" s="7">
        <f>Input!J61</f>
        <v>0</v>
      </c>
      <c r="P59" s="6">
        <f>Input!K61</f>
        <v>0</v>
      </c>
      <c r="Q59" s="2"/>
      <c r="R59" s="3">
        <f>Input!M61</f>
        <v>0</v>
      </c>
      <c r="S59" s="3">
        <f>Input!N61</f>
        <v>0</v>
      </c>
      <c r="T59" s="3">
        <f t="shared" si="7"/>
        <v>187</v>
      </c>
      <c r="U59" s="3" t="str">
        <f t="shared" si="8"/>
        <v>00</v>
      </c>
      <c r="V59" s="7">
        <f t="shared" si="9"/>
        <v>0</v>
      </c>
      <c r="W59" s="6">
        <f t="shared" si="10"/>
        <v>0</v>
      </c>
      <c r="X59" s="7">
        <f t="shared" si="16"/>
        <v>0</v>
      </c>
      <c r="Y59" s="7">
        <f t="shared" si="11"/>
        <v>0</v>
      </c>
      <c r="Z59" s="7">
        <f t="shared" si="12"/>
        <v>0</v>
      </c>
      <c r="AA59" s="7">
        <f t="shared" si="13"/>
        <v>0</v>
      </c>
      <c r="AB59" s="7">
        <f t="shared" si="14"/>
        <v>0</v>
      </c>
      <c r="AC59" s="7">
        <f t="shared" si="15"/>
        <v>0</v>
      </c>
      <c r="AD59" s="7" t="e">
        <f t="shared" si="0"/>
        <v>#DIV/0!</v>
      </c>
    </row>
    <row r="60" spans="1:30" x14ac:dyDescent="0.25">
      <c r="A60" s="3">
        <f>Input!A62</f>
        <v>0</v>
      </c>
      <c r="B60" s="7">
        <f>Input!B62</f>
        <v>0</v>
      </c>
      <c r="C60" s="7">
        <f t="shared" si="1"/>
        <v>0</v>
      </c>
      <c r="D60" s="7">
        <f t="shared" si="2"/>
        <v>0</v>
      </c>
      <c r="E60" s="2"/>
      <c r="F60" s="3">
        <f>Input!D62</f>
        <v>0</v>
      </c>
      <c r="G60" s="3">
        <f>Input!E62</f>
        <v>0</v>
      </c>
      <c r="H60" s="3" t="str">
        <f t="shared" si="3"/>
        <v>00</v>
      </c>
      <c r="I60" s="7">
        <f>Input!G62</f>
        <v>0</v>
      </c>
      <c r="J60" s="7">
        <f t="shared" si="4"/>
        <v>0</v>
      </c>
      <c r="K60" s="7">
        <f t="shared" si="5"/>
        <v>0</v>
      </c>
      <c r="L60" s="7" t="e">
        <f t="shared" si="6"/>
        <v>#DIV/0!</v>
      </c>
      <c r="M60" s="2"/>
      <c r="N60" s="3">
        <f>Input!I62</f>
        <v>0</v>
      </c>
      <c r="O60" s="7">
        <f>Input!J62</f>
        <v>0</v>
      </c>
      <c r="P60" s="6">
        <f>Input!K62</f>
        <v>0</v>
      </c>
      <c r="Q60" s="2"/>
      <c r="R60" s="3">
        <f>Input!M62</f>
        <v>0</v>
      </c>
      <c r="S60" s="3">
        <f>Input!N62</f>
        <v>0</v>
      </c>
      <c r="T60" s="3">
        <f t="shared" si="7"/>
        <v>187</v>
      </c>
      <c r="U60" s="3" t="str">
        <f t="shared" si="8"/>
        <v>00</v>
      </c>
      <c r="V60" s="7">
        <f t="shared" si="9"/>
        <v>0</v>
      </c>
      <c r="W60" s="6">
        <f t="shared" si="10"/>
        <v>0</v>
      </c>
      <c r="X60" s="7">
        <f t="shared" si="16"/>
        <v>0</v>
      </c>
      <c r="Y60" s="7">
        <f t="shared" si="11"/>
        <v>0</v>
      </c>
      <c r="Z60" s="7">
        <f t="shared" si="12"/>
        <v>0</v>
      </c>
      <c r="AA60" s="7">
        <f t="shared" si="13"/>
        <v>0</v>
      </c>
      <c r="AB60" s="7">
        <f t="shared" si="14"/>
        <v>0</v>
      </c>
      <c r="AC60" s="7">
        <f t="shared" si="15"/>
        <v>0</v>
      </c>
      <c r="AD60" s="7" t="e">
        <f t="shared" si="0"/>
        <v>#DIV/0!</v>
      </c>
    </row>
    <row r="61" spans="1:30" x14ac:dyDescent="0.25">
      <c r="A61" s="3">
        <f>Input!A63</f>
        <v>0</v>
      </c>
      <c r="B61" s="7">
        <f>Input!B63</f>
        <v>0</v>
      </c>
      <c r="C61" s="7">
        <f t="shared" si="1"/>
        <v>0</v>
      </c>
      <c r="D61" s="7">
        <f t="shared" si="2"/>
        <v>0</v>
      </c>
      <c r="E61" s="2"/>
      <c r="F61" s="3">
        <f>Input!D63</f>
        <v>0</v>
      </c>
      <c r="G61" s="3">
        <f>Input!E63</f>
        <v>0</v>
      </c>
      <c r="H61" s="3" t="str">
        <f t="shared" si="3"/>
        <v>00</v>
      </c>
      <c r="I61" s="7">
        <f>Input!G63</f>
        <v>0</v>
      </c>
      <c r="J61" s="7">
        <f t="shared" si="4"/>
        <v>0</v>
      </c>
      <c r="K61" s="7">
        <f t="shared" si="5"/>
        <v>0</v>
      </c>
      <c r="L61" s="7" t="e">
        <f t="shared" si="6"/>
        <v>#DIV/0!</v>
      </c>
      <c r="M61" s="2"/>
      <c r="N61" s="3">
        <f>Input!I63</f>
        <v>0</v>
      </c>
      <c r="O61" s="7">
        <f>Input!J63</f>
        <v>0</v>
      </c>
      <c r="P61" s="6">
        <f>Input!K63</f>
        <v>0</v>
      </c>
      <c r="Q61" s="2"/>
      <c r="R61" s="3">
        <f>Input!M63</f>
        <v>0</v>
      </c>
      <c r="S61" s="3">
        <f>Input!N63</f>
        <v>0</v>
      </c>
      <c r="T61" s="3">
        <f t="shared" si="7"/>
        <v>187</v>
      </c>
      <c r="U61" s="3" t="str">
        <f t="shared" si="8"/>
        <v>00</v>
      </c>
      <c r="V61" s="7">
        <f t="shared" si="9"/>
        <v>0</v>
      </c>
      <c r="W61" s="6">
        <f t="shared" si="10"/>
        <v>0</v>
      </c>
      <c r="X61" s="7">
        <f t="shared" si="16"/>
        <v>0</v>
      </c>
      <c r="Y61" s="7">
        <f t="shared" si="11"/>
        <v>0</v>
      </c>
      <c r="Z61" s="7">
        <f t="shared" si="12"/>
        <v>0</v>
      </c>
      <c r="AA61" s="7">
        <f t="shared" si="13"/>
        <v>0</v>
      </c>
      <c r="AB61" s="7">
        <f t="shared" si="14"/>
        <v>0</v>
      </c>
      <c r="AC61" s="7">
        <f t="shared" si="15"/>
        <v>0</v>
      </c>
      <c r="AD61" s="7" t="e">
        <f t="shared" si="0"/>
        <v>#DIV/0!</v>
      </c>
    </row>
    <row r="62" spans="1:30" x14ac:dyDescent="0.25">
      <c r="A62" s="3">
        <f>Input!A64</f>
        <v>0</v>
      </c>
      <c r="B62" s="7">
        <f>Input!B64</f>
        <v>0</v>
      </c>
      <c r="C62" s="7">
        <f t="shared" si="1"/>
        <v>0</v>
      </c>
      <c r="D62" s="7">
        <f t="shared" si="2"/>
        <v>0</v>
      </c>
      <c r="E62" s="2"/>
      <c r="F62" s="3">
        <f>Input!D64</f>
        <v>0</v>
      </c>
      <c r="G62" s="3">
        <f>Input!E64</f>
        <v>0</v>
      </c>
      <c r="H62" s="3" t="str">
        <f t="shared" si="3"/>
        <v>00</v>
      </c>
      <c r="I62" s="7">
        <f>Input!G64</f>
        <v>0</v>
      </c>
      <c r="J62" s="7">
        <f t="shared" si="4"/>
        <v>0</v>
      </c>
      <c r="K62" s="7">
        <f t="shared" si="5"/>
        <v>0</v>
      </c>
      <c r="L62" s="7" t="e">
        <f t="shared" si="6"/>
        <v>#DIV/0!</v>
      </c>
      <c r="M62" s="2"/>
      <c r="N62" s="3">
        <f>Input!I64</f>
        <v>0</v>
      </c>
      <c r="O62" s="7">
        <f>Input!J64</f>
        <v>0</v>
      </c>
      <c r="P62" s="6">
        <f>Input!K64</f>
        <v>0</v>
      </c>
      <c r="Q62" s="2"/>
      <c r="R62" s="3">
        <f>Input!M64</f>
        <v>0</v>
      </c>
      <c r="S62" s="3">
        <f>Input!N64</f>
        <v>0</v>
      </c>
      <c r="T62" s="3">
        <f t="shared" si="7"/>
        <v>187</v>
      </c>
      <c r="U62" s="3" t="str">
        <f t="shared" si="8"/>
        <v>00</v>
      </c>
      <c r="V62" s="7">
        <f t="shared" si="9"/>
        <v>0</v>
      </c>
      <c r="W62" s="6">
        <f t="shared" si="10"/>
        <v>0</v>
      </c>
      <c r="X62" s="7">
        <f t="shared" si="16"/>
        <v>0</v>
      </c>
      <c r="Y62" s="7">
        <f t="shared" si="11"/>
        <v>0</v>
      </c>
      <c r="Z62" s="7">
        <f t="shared" si="12"/>
        <v>0</v>
      </c>
      <c r="AA62" s="7">
        <f t="shared" si="13"/>
        <v>0</v>
      </c>
      <c r="AB62" s="7">
        <f t="shared" si="14"/>
        <v>0</v>
      </c>
      <c r="AC62" s="7">
        <f t="shared" si="15"/>
        <v>0</v>
      </c>
      <c r="AD62" s="7" t="e">
        <f t="shared" si="0"/>
        <v>#DIV/0!</v>
      </c>
    </row>
    <row r="63" spans="1:30" x14ac:dyDescent="0.25">
      <c r="A63" s="3">
        <f>Input!A65</f>
        <v>0</v>
      </c>
      <c r="B63" s="7">
        <f>Input!B65</f>
        <v>0</v>
      </c>
      <c r="C63" s="7">
        <f t="shared" si="1"/>
        <v>0</v>
      </c>
      <c r="D63" s="7">
        <f t="shared" si="2"/>
        <v>0</v>
      </c>
      <c r="E63" s="2"/>
      <c r="F63" s="3">
        <f>Input!D65</f>
        <v>0</v>
      </c>
      <c r="G63" s="3">
        <f>Input!E65</f>
        <v>0</v>
      </c>
      <c r="H63" s="3" t="str">
        <f t="shared" si="3"/>
        <v>00</v>
      </c>
      <c r="I63" s="7">
        <f>Input!G65</f>
        <v>0</v>
      </c>
      <c r="J63" s="7">
        <f t="shared" si="4"/>
        <v>0</v>
      </c>
      <c r="K63" s="7">
        <f t="shared" si="5"/>
        <v>0</v>
      </c>
      <c r="L63" s="7" t="e">
        <f t="shared" si="6"/>
        <v>#DIV/0!</v>
      </c>
      <c r="M63" s="2"/>
      <c r="N63" s="3">
        <f>Input!I65</f>
        <v>0</v>
      </c>
      <c r="O63" s="7">
        <f>Input!J65</f>
        <v>0</v>
      </c>
      <c r="P63" s="6">
        <f>Input!K65</f>
        <v>0</v>
      </c>
      <c r="Q63" s="2"/>
      <c r="R63" s="3">
        <f>Input!M65</f>
        <v>0</v>
      </c>
      <c r="S63" s="3">
        <f>Input!N65</f>
        <v>0</v>
      </c>
      <c r="T63" s="3">
        <f t="shared" si="7"/>
        <v>187</v>
      </c>
      <c r="U63" s="3" t="str">
        <f t="shared" si="8"/>
        <v>00</v>
      </c>
      <c r="V63" s="7">
        <f t="shared" si="9"/>
        <v>0</v>
      </c>
      <c r="W63" s="6">
        <f t="shared" si="10"/>
        <v>0</v>
      </c>
      <c r="X63" s="7">
        <f t="shared" si="16"/>
        <v>0</v>
      </c>
      <c r="Y63" s="7">
        <f t="shared" si="11"/>
        <v>0</v>
      </c>
      <c r="Z63" s="7">
        <f t="shared" si="12"/>
        <v>0</v>
      </c>
      <c r="AA63" s="7">
        <f t="shared" si="13"/>
        <v>0</v>
      </c>
      <c r="AB63" s="7">
        <f t="shared" si="14"/>
        <v>0</v>
      </c>
      <c r="AC63" s="7">
        <f t="shared" si="15"/>
        <v>0</v>
      </c>
      <c r="AD63" s="7" t="e">
        <f t="shared" si="0"/>
        <v>#DIV/0!</v>
      </c>
    </row>
    <row r="64" spans="1:30" x14ac:dyDescent="0.25">
      <c r="A64" s="3">
        <f>Input!A66</f>
        <v>0</v>
      </c>
      <c r="B64" s="7">
        <f>Input!B66</f>
        <v>0</v>
      </c>
      <c r="C64" s="7">
        <f t="shared" si="1"/>
        <v>0</v>
      </c>
      <c r="D64" s="7">
        <f t="shared" si="2"/>
        <v>0</v>
      </c>
      <c r="E64" s="2"/>
      <c r="F64" s="3">
        <f>Input!D66</f>
        <v>0</v>
      </c>
      <c r="G64" s="3">
        <f>Input!E66</f>
        <v>0</v>
      </c>
      <c r="H64" s="3" t="str">
        <f t="shared" si="3"/>
        <v>00</v>
      </c>
      <c r="I64" s="7">
        <f>Input!G66</f>
        <v>0</v>
      </c>
      <c r="J64" s="7">
        <f t="shared" si="4"/>
        <v>0</v>
      </c>
      <c r="K64" s="7">
        <f t="shared" si="5"/>
        <v>0</v>
      </c>
      <c r="L64" s="7" t="e">
        <f t="shared" si="6"/>
        <v>#DIV/0!</v>
      </c>
      <c r="M64" s="2"/>
      <c r="N64" s="3">
        <f>Input!I66</f>
        <v>0</v>
      </c>
      <c r="O64" s="7">
        <f>Input!J66</f>
        <v>0</v>
      </c>
      <c r="P64" s="6">
        <f>Input!K66</f>
        <v>0</v>
      </c>
      <c r="Q64" s="2"/>
      <c r="R64" s="3">
        <f>Input!M66</f>
        <v>0</v>
      </c>
      <c r="S64" s="3">
        <f>Input!N66</f>
        <v>0</v>
      </c>
      <c r="T64" s="3">
        <f t="shared" si="7"/>
        <v>187</v>
      </c>
      <c r="U64" s="3" t="str">
        <f t="shared" si="8"/>
        <v>00</v>
      </c>
      <c r="V64" s="7">
        <f t="shared" si="9"/>
        <v>0</v>
      </c>
      <c r="W64" s="6">
        <f t="shared" si="10"/>
        <v>0</v>
      </c>
      <c r="X64" s="7">
        <f t="shared" si="16"/>
        <v>0</v>
      </c>
      <c r="Y64" s="7">
        <f t="shared" si="11"/>
        <v>0</v>
      </c>
      <c r="Z64" s="7">
        <f t="shared" si="12"/>
        <v>0</v>
      </c>
      <c r="AA64" s="7">
        <f t="shared" si="13"/>
        <v>0</v>
      </c>
      <c r="AB64" s="7">
        <f t="shared" si="14"/>
        <v>0</v>
      </c>
      <c r="AC64" s="7">
        <f t="shared" si="15"/>
        <v>0</v>
      </c>
      <c r="AD64" s="7" t="e">
        <f t="shared" si="0"/>
        <v>#DIV/0!</v>
      </c>
    </row>
    <row r="65" spans="1:30" x14ac:dyDescent="0.25">
      <c r="A65" s="3">
        <f>Input!A67</f>
        <v>0</v>
      </c>
      <c r="B65" s="7">
        <f>Input!B67</f>
        <v>0</v>
      </c>
      <c r="C65" s="7">
        <f t="shared" si="1"/>
        <v>0</v>
      </c>
      <c r="D65" s="7">
        <f t="shared" si="2"/>
        <v>0</v>
      </c>
      <c r="E65" s="2"/>
      <c r="F65" s="3">
        <f>Input!D67</f>
        <v>0</v>
      </c>
      <c r="G65" s="3">
        <f>Input!E67</f>
        <v>0</v>
      </c>
      <c r="H65" s="3" t="str">
        <f t="shared" si="3"/>
        <v>00</v>
      </c>
      <c r="I65" s="7">
        <f>Input!G67</f>
        <v>0</v>
      </c>
      <c r="J65" s="7">
        <f t="shared" si="4"/>
        <v>0</v>
      </c>
      <c r="K65" s="7">
        <f t="shared" si="5"/>
        <v>0</v>
      </c>
      <c r="L65" s="7" t="e">
        <f t="shared" si="6"/>
        <v>#DIV/0!</v>
      </c>
      <c r="M65" s="2"/>
      <c r="N65" s="3">
        <f>Input!I67</f>
        <v>0</v>
      </c>
      <c r="O65" s="7">
        <f>Input!J67</f>
        <v>0</v>
      </c>
      <c r="P65" s="6">
        <f>Input!K67</f>
        <v>0</v>
      </c>
      <c r="Q65" s="2"/>
      <c r="R65" s="3">
        <f>Input!M67</f>
        <v>0</v>
      </c>
      <c r="S65" s="3">
        <f>Input!N67</f>
        <v>0</v>
      </c>
      <c r="T65" s="3">
        <f t="shared" si="7"/>
        <v>187</v>
      </c>
      <c r="U65" s="3" t="str">
        <f t="shared" si="8"/>
        <v>00</v>
      </c>
      <c r="V65" s="7">
        <f t="shared" si="9"/>
        <v>0</v>
      </c>
      <c r="W65" s="6">
        <f t="shared" si="10"/>
        <v>0</v>
      </c>
      <c r="X65" s="7">
        <f t="shared" si="16"/>
        <v>0</v>
      </c>
      <c r="Y65" s="7">
        <f t="shared" si="11"/>
        <v>0</v>
      </c>
      <c r="Z65" s="7">
        <f t="shared" si="12"/>
        <v>0</v>
      </c>
      <c r="AA65" s="7">
        <f t="shared" si="13"/>
        <v>0</v>
      </c>
      <c r="AB65" s="7">
        <f t="shared" si="14"/>
        <v>0</v>
      </c>
      <c r="AC65" s="7">
        <f t="shared" si="15"/>
        <v>0</v>
      </c>
      <c r="AD65" s="7" t="e">
        <f t="shared" si="0"/>
        <v>#DIV/0!</v>
      </c>
    </row>
    <row r="66" spans="1:30" x14ac:dyDescent="0.25">
      <c r="A66" s="3">
        <f>Input!A68</f>
        <v>0</v>
      </c>
      <c r="B66" s="7">
        <f>Input!B68</f>
        <v>0</v>
      </c>
      <c r="C66" s="7">
        <f t="shared" si="1"/>
        <v>0</v>
      </c>
      <c r="D66" s="7">
        <f t="shared" si="2"/>
        <v>0</v>
      </c>
      <c r="E66" s="2"/>
      <c r="F66" s="3">
        <f>Input!D68</f>
        <v>0</v>
      </c>
      <c r="G66" s="3">
        <f>Input!E68</f>
        <v>0</v>
      </c>
      <c r="H66" s="3" t="str">
        <f t="shared" si="3"/>
        <v>00</v>
      </c>
      <c r="I66" s="7">
        <f>Input!G68</f>
        <v>0</v>
      </c>
      <c r="J66" s="7">
        <f t="shared" si="4"/>
        <v>0</v>
      </c>
      <c r="K66" s="7">
        <f t="shared" si="5"/>
        <v>0</v>
      </c>
      <c r="L66" s="7" t="e">
        <f t="shared" si="6"/>
        <v>#DIV/0!</v>
      </c>
      <c r="M66" s="2"/>
      <c r="N66" s="3">
        <f>Input!I68</f>
        <v>0</v>
      </c>
      <c r="O66" s="7">
        <f>Input!J68</f>
        <v>0</v>
      </c>
      <c r="P66" s="6">
        <f>Input!K68</f>
        <v>0</v>
      </c>
      <c r="Q66" s="2"/>
      <c r="R66" s="3">
        <f>Input!M68</f>
        <v>0</v>
      </c>
      <c r="S66" s="3">
        <f>Input!N68</f>
        <v>0</v>
      </c>
      <c r="T66" s="3">
        <f t="shared" si="7"/>
        <v>187</v>
      </c>
      <c r="U66" s="3" t="str">
        <f t="shared" si="8"/>
        <v>00</v>
      </c>
      <c r="V66" s="7">
        <f t="shared" si="9"/>
        <v>0</v>
      </c>
      <c r="W66" s="6">
        <f t="shared" si="10"/>
        <v>0</v>
      </c>
      <c r="X66" s="7">
        <f t="shared" si="16"/>
        <v>0</v>
      </c>
      <c r="Y66" s="7">
        <f t="shared" si="11"/>
        <v>0</v>
      </c>
      <c r="Z66" s="7">
        <f t="shared" si="12"/>
        <v>0</v>
      </c>
      <c r="AA66" s="7">
        <f t="shared" si="13"/>
        <v>0</v>
      </c>
      <c r="AB66" s="7">
        <f t="shared" si="14"/>
        <v>0</v>
      </c>
      <c r="AC66" s="7">
        <f t="shared" si="15"/>
        <v>0</v>
      </c>
      <c r="AD66" s="7" t="e">
        <f t="shared" si="0"/>
        <v>#DIV/0!</v>
      </c>
    </row>
    <row r="67" spans="1:30" x14ac:dyDescent="0.25">
      <c r="A67" s="3">
        <f>Input!A69</f>
        <v>0</v>
      </c>
      <c r="B67" s="7">
        <f>Input!B69</f>
        <v>0</v>
      </c>
      <c r="C67" s="7">
        <f t="shared" si="1"/>
        <v>0</v>
      </c>
      <c r="D67" s="7">
        <f t="shared" si="2"/>
        <v>0</v>
      </c>
      <c r="E67" s="2"/>
      <c r="F67" s="3">
        <f>Input!D69</f>
        <v>0</v>
      </c>
      <c r="G67" s="3">
        <f>Input!E69</f>
        <v>0</v>
      </c>
      <c r="H67" s="3" t="str">
        <f t="shared" si="3"/>
        <v>00</v>
      </c>
      <c r="I67" s="7">
        <f>Input!G69</f>
        <v>0</v>
      </c>
      <c r="J67" s="7">
        <f t="shared" si="4"/>
        <v>0</v>
      </c>
      <c r="K67" s="7">
        <f t="shared" si="5"/>
        <v>0</v>
      </c>
      <c r="L67" s="7" t="e">
        <f t="shared" si="6"/>
        <v>#DIV/0!</v>
      </c>
      <c r="M67" s="2"/>
      <c r="N67" s="3">
        <f>Input!I69</f>
        <v>0</v>
      </c>
      <c r="O67" s="7">
        <f>Input!J69</f>
        <v>0</v>
      </c>
      <c r="P67" s="6">
        <f>Input!K69</f>
        <v>0</v>
      </c>
      <c r="Q67" s="2"/>
      <c r="R67" s="3">
        <f>Input!M69</f>
        <v>0</v>
      </c>
      <c r="S67" s="3">
        <f>Input!N69</f>
        <v>0</v>
      </c>
      <c r="T67" s="3">
        <f t="shared" si="7"/>
        <v>187</v>
      </c>
      <c r="U67" s="3" t="str">
        <f t="shared" si="8"/>
        <v>00</v>
      </c>
      <c r="V67" s="7">
        <f t="shared" si="9"/>
        <v>0</v>
      </c>
      <c r="W67" s="6">
        <f t="shared" si="10"/>
        <v>0</v>
      </c>
      <c r="X67" s="7">
        <f t="shared" si="16"/>
        <v>0</v>
      </c>
      <c r="Y67" s="7">
        <f t="shared" si="11"/>
        <v>0</v>
      </c>
      <c r="Z67" s="7">
        <f t="shared" si="12"/>
        <v>0</v>
      </c>
      <c r="AA67" s="7">
        <f t="shared" si="13"/>
        <v>0</v>
      </c>
      <c r="AB67" s="7">
        <f t="shared" si="14"/>
        <v>0</v>
      </c>
      <c r="AC67" s="7">
        <f t="shared" si="15"/>
        <v>0</v>
      </c>
      <c r="AD67" s="7" t="e">
        <f t="shared" si="0"/>
        <v>#DIV/0!</v>
      </c>
    </row>
    <row r="68" spans="1:30" x14ac:dyDescent="0.25">
      <c r="A68" s="3">
        <f>Input!A70</f>
        <v>0</v>
      </c>
      <c r="B68" s="7">
        <f>Input!B70</f>
        <v>0</v>
      </c>
      <c r="C68" s="7">
        <f t="shared" si="1"/>
        <v>0</v>
      </c>
      <c r="D68" s="7">
        <f t="shared" si="2"/>
        <v>0</v>
      </c>
      <c r="E68" s="2"/>
      <c r="F68" s="3">
        <f>Input!D70</f>
        <v>0</v>
      </c>
      <c r="G68" s="3">
        <f>Input!E70</f>
        <v>0</v>
      </c>
      <c r="H68" s="3" t="str">
        <f t="shared" si="3"/>
        <v>00</v>
      </c>
      <c r="I68" s="7">
        <f>Input!G70</f>
        <v>0</v>
      </c>
      <c r="J68" s="7">
        <f t="shared" si="4"/>
        <v>0</v>
      </c>
      <c r="K68" s="7">
        <f t="shared" si="5"/>
        <v>0</v>
      </c>
      <c r="L68" s="7" t="e">
        <f t="shared" si="6"/>
        <v>#DIV/0!</v>
      </c>
      <c r="M68" s="2"/>
      <c r="N68" s="3">
        <f>Input!I70</f>
        <v>0</v>
      </c>
      <c r="O68" s="7">
        <f>Input!J70</f>
        <v>0</v>
      </c>
      <c r="P68" s="6">
        <f>Input!K70</f>
        <v>0</v>
      </c>
      <c r="Q68" s="2"/>
      <c r="R68" s="3">
        <f>Input!M70</f>
        <v>0</v>
      </c>
      <c r="S68" s="3">
        <f>Input!N70</f>
        <v>0</v>
      </c>
      <c r="T68" s="3">
        <f t="shared" si="7"/>
        <v>187</v>
      </c>
      <c r="U68" s="3" t="str">
        <f t="shared" si="8"/>
        <v>00</v>
      </c>
      <c r="V68" s="7">
        <f t="shared" si="9"/>
        <v>0</v>
      </c>
      <c r="W68" s="6">
        <f t="shared" si="10"/>
        <v>0</v>
      </c>
      <c r="X68" s="7">
        <f t="shared" si="16"/>
        <v>0</v>
      </c>
      <c r="Y68" s="7">
        <f t="shared" si="11"/>
        <v>0</v>
      </c>
      <c r="Z68" s="7">
        <f t="shared" si="12"/>
        <v>0</v>
      </c>
      <c r="AA68" s="7">
        <f t="shared" si="13"/>
        <v>0</v>
      </c>
      <c r="AB68" s="7">
        <f t="shared" si="14"/>
        <v>0</v>
      </c>
      <c r="AC68" s="7">
        <f t="shared" si="15"/>
        <v>0</v>
      </c>
      <c r="AD68" s="7" t="e">
        <f t="shared" ref="AD68:AD131" si="17">IF(AA68&gt;=AB68,AB68*X68/Y68*Z68/AA68,Z68*AB68/X68)</f>
        <v>#DIV/0!</v>
      </c>
    </row>
    <row r="69" spans="1:30" x14ac:dyDescent="0.25">
      <c r="A69" s="3">
        <f>Input!A71</f>
        <v>0</v>
      </c>
      <c r="B69" s="7">
        <f>Input!B71</f>
        <v>0</v>
      </c>
      <c r="C69" s="7">
        <f t="shared" ref="C69:C132" si="18">SUMIF($G$4:$G$201,$A69,$I$4:$I$201)</f>
        <v>0</v>
      </c>
      <c r="D69" s="7">
        <f t="shared" ref="D69:D132" si="19">+C69+B69</f>
        <v>0</v>
      </c>
      <c r="E69" s="2"/>
      <c r="F69" s="3">
        <f>Input!D71</f>
        <v>0</v>
      </c>
      <c r="G69" s="3">
        <f>Input!E71</f>
        <v>0</v>
      </c>
      <c r="H69" s="3" t="str">
        <f t="shared" ref="H69:H132" si="20">+F69&amp;G69</f>
        <v>00</v>
      </c>
      <c r="I69" s="7">
        <f>Input!G71</f>
        <v>0</v>
      </c>
      <c r="J69" s="7">
        <f t="shared" ref="J69:J132" si="21">VLOOKUP(G69,$A:$D,4,0)</f>
        <v>0</v>
      </c>
      <c r="K69" s="7">
        <f t="shared" ref="K69:K132" si="22">SUMIF($F$4:$F$201,F69,$J$4:$J$201)</f>
        <v>0</v>
      </c>
      <c r="L69" s="7" t="e">
        <f t="shared" ref="L69:L132" si="23">+I69*J69/K69</f>
        <v>#DIV/0!</v>
      </c>
      <c r="M69" s="2"/>
      <c r="N69" s="3">
        <f>Input!I71</f>
        <v>0</v>
      </c>
      <c r="O69" s="7">
        <f>Input!J71</f>
        <v>0</v>
      </c>
      <c r="P69" s="6">
        <f>Input!K71</f>
        <v>0</v>
      </c>
      <c r="Q69" s="2"/>
      <c r="R69" s="3">
        <f>Input!M71</f>
        <v>0</v>
      </c>
      <c r="S69" s="3">
        <f>Input!N71</f>
        <v>0</v>
      </c>
      <c r="T69" s="3">
        <f t="shared" ref="T69:T132" si="24">COUNTIF($S$4:$S$201,S69)</f>
        <v>187</v>
      </c>
      <c r="U69" s="3" t="str">
        <f t="shared" ref="U69:U132" si="25">+S69&amp;R69</f>
        <v>00</v>
      </c>
      <c r="V69" s="7">
        <f t="shared" ref="V69:V132" si="26">VLOOKUP(R69,N:P,2,0)</f>
        <v>0</v>
      </c>
      <c r="W69" s="6">
        <f t="shared" ref="W69:W132" si="27">VLOOKUP(R69,N:P,3,0)</f>
        <v>0</v>
      </c>
      <c r="X69" s="7">
        <f t="shared" si="16"/>
        <v>0</v>
      </c>
      <c r="Y69" s="7">
        <f t="shared" ref="Y69:Y132" si="28">SUMIF($R$4:$R$201,R69,$X$4:$X$201)</f>
        <v>0</v>
      </c>
      <c r="Z69" s="7">
        <f t="shared" ref="Z69:Z132" si="29">IF(V69&gt;0,V69*X69/MAX(V69,Y69),W69*X69)</f>
        <v>0</v>
      </c>
      <c r="AA69" s="7">
        <f t="shared" ref="AA69:AA132" si="30">SUMIF($S$4:$S$201,S69,$Z$4:$Z$201)</f>
        <v>0</v>
      </c>
      <c r="AB69" s="7">
        <f t="shared" ref="AB69:AB132" si="31">VLOOKUP(S69,A:B,2,0)</f>
        <v>0</v>
      </c>
      <c r="AC69" s="7">
        <f t="shared" ref="AC69:AC132" si="32">VLOOKUP(S69,A:C,3,0)</f>
        <v>0</v>
      </c>
      <c r="AD69" s="7" t="e">
        <f t="shared" si="17"/>
        <v>#DIV/0!</v>
      </c>
    </row>
    <row r="70" spans="1:30" x14ac:dyDescent="0.25">
      <c r="A70" s="3">
        <f>Input!A72</f>
        <v>0</v>
      </c>
      <c r="B70" s="7">
        <f>Input!B72</f>
        <v>0</v>
      </c>
      <c r="C70" s="7">
        <f t="shared" si="18"/>
        <v>0</v>
      </c>
      <c r="D70" s="7">
        <f t="shared" si="19"/>
        <v>0</v>
      </c>
      <c r="E70" s="2"/>
      <c r="F70" s="3">
        <f>Input!D72</f>
        <v>0</v>
      </c>
      <c r="G70" s="3">
        <f>Input!E72</f>
        <v>0</v>
      </c>
      <c r="H70" s="3" t="str">
        <f t="shared" si="20"/>
        <v>00</v>
      </c>
      <c r="I70" s="7">
        <f>Input!G72</f>
        <v>0</v>
      </c>
      <c r="J70" s="7">
        <f t="shared" si="21"/>
        <v>0</v>
      </c>
      <c r="K70" s="7">
        <f t="shared" si="22"/>
        <v>0</v>
      </c>
      <c r="L70" s="7" t="e">
        <f t="shared" si="23"/>
        <v>#DIV/0!</v>
      </c>
      <c r="M70" s="2"/>
      <c r="N70" s="3">
        <f>Input!I72</f>
        <v>0</v>
      </c>
      <c r="O70" s="7">
        <f>Input!J72</f>
        <v>0</v>
      </c>
      <c r="P70" s="6">
        <f>Input!K72</f>
        <v>0</v>
      </c>
      <c r="Q70" s="2"/>
      <c r="R70" s="3">
        <f>Input!M72</f>
        <v>0</v>
      </c>
      <c r="S70" s="3">
        <f>Input!N72</f>
        <v>0</v>
      </c>
      <c r="T70" s="3">
        <f t="shared" si="24"/>
        <v>187</v>
      </c>
      <c r="U70" s="3" t="str">
        <f t="shared" si="25"/>
        <v>00</v>
      </c>
      <c r="V70" s="7">
        <f t="shared" si="26"/>
        <v>0</v>
      </c>
      <c r="W70" s="6">
        <f t="shared" si="27"/>
        <v>0</v>
      </c>
      <c r="X70" s="7">
        <f t="shared" si="16"/>
        <v>0</v>
      </c>
      <c r="Y70" s="7">
        <f t="shared" si="28"/>
        <v>0</v>
      </c>
      <c r="Z70" s="7">
        <f t="shared" si="29"/>
        <v>0</v>
      </c>
      <c r="AA70" s="7">
        <f t="shared" si="30"/>
        <v>0</v>
      </c>
      <c r="AB70" s="7">
        <f t="shared" si="31"/>
        <v>0</v>
      </c>
      <c r="AC70" s="7">
        <f t="shared" si="32"/>
        <v>0</v>
      </c>
      <c r="AD70" s="7" t="e">
        <f t="shared" si="17"/>
        <v>#DIV/0!</v>
      </c>
    </row>
    <row r="71" spans="1:30" x14ac:dyDescent="0.25">
      <c r="A71" s="3">
        <f>Input!A73</f>
        <v>0</v>
      </c>
      <c r="B71" s="7">
        <f>Input!B73</f>
        <v>0</v>
      </c>
      <c r="C71" s="7">
        <f t="shared" si="18"/>
        <v>0</v>
      </c>
      <c r="D71" s="7">
        <f t="shared" si="19"/>
        <v>0</v>
      </c>
      <c r="E71" s="2"/>
      <c r="F71" s="3">
        <f>Input!D73</f>
        <v>0</v>
      </c>
      <c r="G71" s="3">
        <f>Input!E73</f>
        <v>0</v>
      </c>
      <c r="H71" s="3" t="str">
        <f t="shared" si="20"/>
        <v>00</v>
      </c>
      <c r="I71" s="7">
        <f>Input!G73</f>
        <v>0</v>
      </c>
      <c r="J71" s="7">
        <f t="shared" si="21"/>
        <v>0</v>
      </c>
      <c r="K71" s="7">
        <f t="shared" si="22"/>
        <v>0</v>
      </c>
      <c r="L71" s="7" t="e">
        <f t="shared" si="23"/>
        <v>#DIV/0!</v>
      </c>
      <c r="M71" s="2"/>
      <c r="N71" s="3">
        <f>Input!I73</f>
        <v>0</v>
      </c>
      <c r="O71" s="7">
        <f>Input!J73</f>
        <v>0</v>
      </c>
      <c r="P71" s="6">
        <f>Input!K73</f>
        <v>0</v>
      </c>
      <c r="Q71" s="2"/>
      <c r="R71" s="3">
        <f>Input!M73</f>
        <v>0</v>
      </c>
      <c r="S71" s="3">
        <f>Input!N73</f>
        <v>0</v>
      </c>
      <c r="T71" s="3">
        <f t="shared" si="24"/>
        <v>187</v>
      </c>
      <c r="U71" s="3" t="str">
        <f t="shared" si="25"/>
        <v>00</v>
      </c>
      <c r="V71" s="7">
        <f t="shared" si="26"/>
        <v>0</v>
      </c>
      <c r="W71" s="6">
        <f t="shared" si="27"/>
        <v>0</v>
      </c>
      <c r="X71" s="7">
        <f t="shared" ref="X71:X134" si="33">(VLOOKUP(S71,A:C,2,0)+VLOOKUP(S71,A:C,3,0))</f>
        <v>0</v>
      </c>
      <c r="Y71" s="7">
        <f t="shared" si="28"/>
        <v>0</v>
      </c>
      <c r="Z71" s="7">
        <f t="shared" si="29"/>
        <v>0</v>
      </c>
      <c r="AA71" s="7">
        <f t="shared" si="30"/>
        <v>0</v>
      </c>
      <c r="AB71" s="7">
        <f t="shared" si="31"/>
        <v>0</v>
      </c>
      <c r="AC71" s="7">
        <f t="shared" si="32"/>
        <v>0</v>
      </c>
      <c r="AD71" s="7" t="e">
        <f t="shared" si="17"/>
        <v>#DIV/0!</v>
      </c>
    </row>
    <row r="72" spans="1:30" x14ac:dyDescent="0.25">
      <c r="A72" s="3">
        <f>Input!A74</f>
        <v>0</v>
      </c>
      <c r="B72" s="7">
        <f>Input!B74</f>
        <v>0</v>
      </c>
      <c r="C72" s="7">
        <f t="shared" si="18"/>
        <v>0</v>
      </c>
      <c r="D72" s="7">
        <f t="shared" si="19"/>
        <v>0</v>
      </c>
      <c r="E72" s="2"/>
      <c r="F72" s="3">
        <f>Input!D74</f>
        <v>0</v>
      </c>
      <c r="G72" s="3">
        <f>Input!E74</f>
        <v>0</v>
      </c>
      <c r="H72" s="3" t="str">
        <f t="shared" si="20"/>
        <v>00</v>
      </c>
      <c r="I72" s="7">
        <f>Input!G74</f>
        <v>0</v>
      </c>
      <c r="J72" s="7">
        <f t="shared" si="21"/>
        <v>0</v>
      </c>
      <c r="K72" s="7">
        <f t="shared" si="22"/>
        <v>0</v>
      </c>
      <c r="L72" s="7" t="e">
        <f t="shared" si="23"/>
        <v>#DIV/0!</v>
      </c>
      <c r="M72" s="2"/>
      <c r="N72" s="3">
        <f>Input!I74</f>
        <v>0</v>
      </c>
      <c r="O72" s="7">
        <f>Input!J74</f>
        <v>0</v>
      </c>
      <c r="P72" s="6">
        <f>Input!K74</f>
        <v>0</v>
      </c>
      <c r="Q72" s="2"/>
      <c r="R72" s="3">
        <f>Input!M74</f>
        <v>0</v>
      </c>
      <c r="S72" s="3">
        <f>Input!N74</f>
        <v>0</v>
      </c>
      <c r="T72" s="3">
        <f t="shared" si="24"/>
        <v>187</v>
      </c>
      <c r="U72" s="3" t="str">
        <f t="shared" si="25"/>
        <v>00</v>
      </c>
      <c r="V72" s="7">
        <f t="shared" si="26"/>
        <v>0</v>
      </c>
      <c r="W72" s="6">
        <f t="shared" si="27"/>
        <v>0</v>
      </c>
      <c r="X72" s="7">
        <f t="shared" si="33"/>
        <v>0</v>
      </c>
      <c r="Y72" s="7">
        <f t="shared" si="28"/>
        <v>0</v>
      </c>
      <c r="Z72" s="7">
        <f t="shared" si="29"/>
        <v>0</v>
      </c>
      <c r="AA72" s="7">
        <f t="shared" si="30"/>
        <v>0</v>
      </c>
      <c r="AB72" s="7">
        <f t="shared" si="31"/>
        <v>0</v>
      </c>
      <c r="AC72" s="7">
        <f t="shared" si="32"/>
        <v>0</v>
      </c>
      <c r="AD72" s="7" t="e">
        <f t="shared" si="17"/>
        <v>#DIV/0!</v>
      </c>
    </row>
    <row r="73" spans="1:30" x14ac:dyDescent="0.25">
      <c r="A73" s="3">
        <f>Input!A75</f>
        <v>0</v>
      </c>
      <c r="B73" s="7">
        <f>Input!B75</f>
        <v>0</v>
      </c>
      <c r="C73" s="7">
        <f t="shared" si="18"/>
        <v>0</v>
      </c>
      <c r="D73" s="7">
        <f t="shared" si="19"/>
        <v>0</v>
      </c>
      <c r="E73" s="2"/>
      <c r="F73" s="3">
        <f>Input!D75</f>
        <v>0</v>
      </c>
      <c r="G73" s="3">
        <f>Input!E75</f>
        <v>0</v>
      </c>
      <c r="H73" s="3" t="str">
        <f t="shared" si="20"/>
        <v>00</v>
      </c>
      <c r="I73" s="7">
        <f>Input!G75</f>
        <v>0</v>
      </c>
      <c r="J73" s="7">
        <f t="shared" si="21"/>
        <v>0</v>
      </c>
      <c r="K73" s="7">
        <f t="shared" si="22"/>
        <v>0</v>
      </c>
      <c r="L73" s="7" t="e">
        <f t="shared" si="23"/>
        <v>#DIV/0!</v>
      </c>
      <c r="M73" s="2"/>
      <c r="N73" s="3">
        <f>Input!I75</f>
        <v>0</v>
      </c>
      <c r="O73" s="7">
        <f>Input!J75</f>
        <v>0</v>
      </c>
      <c r="P73" s="6">
        <f>Input!K75</f>
        <v>0</v>
      </c>
      <c r="Q73" s="2"/>
      <c r="R73" s="3">
        <f>Input!M75</f>
        <v>0</v>
      </c>
      <c r="S73" s="3">
        <f>Input!N75</f>
        <v>0</v>
      </c>
      <c r="T73" s="3">
        <f t="shared" si="24"/>
        <v>187</v>
      </c>
      <c r="U73" s="3" t="str">
        <f t="shared" si="25"/>
        <v>00</v>
      </c>
      <c r="V73" s="7">
        <f t="shared" si="26"/>
        <v>0</v>
      </c>
      <c r="W73" s="6">
        <f t="shared" si="27"/>
        <v>0</v>
      </c>
      <c r="X73" s="7">
        <f t="shared" si="33"/>
        <v>0</v>
      </c>
      <c r="Y73" s="7">
        <f t="shared" si="28"/>
        <v>0</v>
      </c>
      <c r="Z73" s="7">
        <f t="shared" si="29"/>
        <v>0</v>
      </c>
      <c r="AA73" s="7">
        <f t="shared" si="30"/>
        <v>0</v>
      </c>
      <c r="AB73" s="7">
        <f t="shared" si="31"/>
        <v>0</v>
      </c>
      <c r="AC73" s="7">
        <f t="shared" si="32"/>
        <v>0</v>
      </c>
      <c r="AD73" s="7" t="e">
        <f t="shared" si="17"/>
        <v>#DIV/0!</v>
      </c>
    </row>
    <row r="74" spans="1:30" x14ac:dyDescent="0.25">
      <c r="A74" s="3">
        <f>Input!A76</f>
        <v>0</v>
      </c>
      <c r="B74" s="7">
        <f>Input!B76</f>
        <v>0</v>
      </c>
      <c r="C74" s="7">
        <f t="shared" si="18"/>
        <v>0</v>
      </c>
      <c r="D74" s="7">
        <f t="shared" si="19"/>
        <v>0</v>
      </c>
      <c r="E74" s="2"/>
      <c r="F74" s="3">
        <f>Input!D76</f>
        <v>0</v>
      </c>
      <c r="G74" s="3">
        <f>Input!E76</f>
        <v>0</v>
      </c>
      <c r="H74" s="3" t="str">
        <f t="shared" si="20"/>
        <v>00</v>
      </c>
      <c r="I74" s="7">
        <f>Input!G76</f>
        <v>0</v>
      </c>
      <c r="J74" s="7">
        <f t="shared" si="21"/>
        <v>0</v>
      </c>
      <c r="K74" s="7">
        <f t="shared" si="22"/>
        <v>0</v>
      </c>
      <c r="L74" s="7" t="e">
        <f t="shared" si="23"/>
        <v>#DIV/0!</v>
      </c>
      <c r="M74" s="2"/>
      <c r="N74" s="3">
        <f>Input!I76</f>
        <v>0</v>
      </c>
      <c r="O74" s="7">
        <f>Input!J76</f>
        <v>0</v>
      </c>
      <c r="P74" s="6">
        <f>Input!K76</f>
        <v>0</v>
      </c>
      <c r="Q74" s="2"/>
      <c r="R74" s="3">
        <f>Input!M76</f>
        <v>0</v>
      </c>
      <c r="S74" s="3">
        <f>Input!N76</f>
        <v>0</v>
      </c>
      <c r="T74" s="3">
        <f t="shared" si="24"/>
        <v>187</v>
      </c>
      <c r="U74" s="3" t="str">
        <f t="shared" si="25"/>
        <v>00</v>
      </c>
      <c r="V74" s="7">
        <f t="shared" si="26"/>
        <v>0</v>
      </c>
      <c r="W74" s="6">
        <f t="shared" si="27"/>
        <v>0</v>
      </c>
      <c r="X74" s="7">
        <f t="shared" si="33"/>
        <v>0</v>
      </c>
      <c r="Y74" s="7">
        <f t="shared" si="28"/>
        <v>0</v>
      </c>
      <c r="Z74" s="7">
        <f t="shared" si="29"/>
        <v>0</v>
      </c>
      <c r="AA74" s="7">
        <f t="shared" si="30"/>
        <v>0</v>
      </c>
      <c r="AB74" s="7">
        <f t="shared" si="31"/>
        <v>0</v>
      </c>
      <c r="AC74" s="7">
        <f t="shared" si="32"/>
        <v>0</v>
      </c>
      <c r="AD74" s="7" t="e">
        <f t="shared" si="17"/>
        <v>#DIV/0!</v>
      </c>
    </row>
    <row r="75" spans="1:30" x14ac:dyDescent="0.25">
      <c r="A75" s="3">
        <f>Input!A77</f>
        <v>0</v>
      </c>
      <c r="B75" s="7">
        <f>Input!B77</f>
        <v>0</v>
      </c>
      <c r="C75" s="7">
        <f t="shared" si="18"/>
        <v>0</v>
      </c>
      <c r="D75" s="7">
        <f t="shared" si="19"/>
        <v>0</v>
      </c>
      <c r="E75" s="2"/>
      <c r="F75" s="3">
        <f>Input!D77</f>
        <v>0</v>
      </c>
      <c r="G75" s="3">
        <f>Input!E77</f>
        <v>0</v>
      </c>
      <c r="H75" s="3" t="str">
        <f t="shared" si="20"/>
        <v>00</v>
      </c>
      <c r="I75" s="7">
        <f>Input!G77</f>
        <v>0</v>
      </c>
      <c r="J75" s="7">
        <f t="shared" si="21"/>
        <v>0</v>
      </c>
      <c r="K75" s="7">
        <f t="shared" si="22"/>
        <v>0</v>
      </c>
      <c r="L75" s="7" t="e">
        <f t="shared" si="23"/>
        <v>#DIV/0!</v>
      </c>
      <c r="M75" s="2"/>
      <c r="N75" s="3">
        <f>Input!I77</f>
        <v>0</v>
      </c>
      <c r="O75" s="7">
        <f>Input!J77</f>
        <v>0</v>
      </c>
      <c r="P75" s="6">
        <f>Input!K77</f>
        <v>0</v>
      </c>
      <c r="Q75" s="2"/>
      <c r="R75" s="3">
        <f>Input!M77</f>
        <v>0</v>
      </c>
      <c r="S75" s="3">
        <f>Input!N77</f>
        <v>0</v>
      </c>
      <c r="T75" s="3">
        <f t="shared" si="24"/>
        <v>187</v>
      </c>
      <c r="U75" s="3" t="str">
        <f t="shared" si="25"/>
        <v>00</v>
      </c>
      <c r="V75" s="7">
        <f t="shared" si="26"/>
        <v>0</v>
      </c>
      <c r="W75" s="6">
        <f t="shared" si="27"/>
        <v>0</v>
      </c>
      <c r="X75" s="7">
        <f t="shared" si="33"/>
        <v>0</v>
      </c>
      <c r="Y75" s="7">
        <f t="shared" si="28"/>
        <v>0</v>
      </c>
      <c r="Z75" s="7">
        <f t="shared" si="29"/>
        <v>0</v>
      </c>
      <c r="AA75" s="7">
        <f t="shared" si="30"/>
        <v>0</v>
      </c>
      <c r="AB75" s="7">
        <f t="shared" si="31"/>
        <v>0</v>
      </c>
      <c r="AC75" s="7">
        <f t="shared" si="32"/>
        <v>0</v>
      </c>
      <c r="AD75" s="7" t="e">
        <f t="shared" si="17"/>
        <v>#DIV/0!</v>
      </c>
    </row>
    <row r="76" spans="1:30" x14ac:dyDescent="0.25">
      <c r="A76" s="3">
        <f>Input!A78</f>
        <v>0</v>
      </c>
      <c r="B76" s="7">
        <f>Input!B78</f>
        <v>0</v>
      </c>
      <c r="C76" s="7">
        <f t="shared" si="18"/>
        <v>0</v>
      </c>
      <c r="D76" s="7">
        <f t="shared" si="19"/>
        <v>0</v>
      </c>
      <c r="E76" s="2"/>
      <c r="F76" s="3">
        <f>Input!D78</f>
        <v>0</v>
      </c>
      <c r="G76" s="3">
        <f>Input!E78</f>
        <v>0</v>
      </c>
      <c r="H76" s="3" t="str">
        <f t="shared" si="20"/>
        <v>00</v>
      </c>
      <c r="I76" s="7">
        <f>Input!G78</f>
        <v>0</v>
      </c>
      <c r="J76" s="7">
        <f t="shared" si="21"/>
        <v>0</v>
      </c>
      <c r="K76" s="7">
        <f t="shared" si="22"/>
        <v>0</v>
      </c>
      <c r="L76" s="7" t="e">
        <f t="shared" si="23"/>
        <v>#DIV/0!</v>
      </c>
      <c r="M76" s="2"/>
      <c r="N76" s="3">
        <f>Input!I78</f>
        <v>0</v>
      </c>
      <c r="O76" s="7">
        <f>Input!J78</f>
        <v>0</v>
      </c>
      <c r="P76" s="6">
        <f>Input!K78</f>
        <v>0</v>
      </c>
      <c r="Q76" s="2"/>
      <c r="R76" s="3">
        <f>Input!M78</f>
        <v>0</v>
      </c>
      <c r="S76" s="3">
        <f>Input!N78</f>
        <v>0</v>
      </c>
      <c r="T76" s="3">
        <f t="shared" si="24"/>
        <v>187</v>
      </c>
      <c r="U76" s="3" t="str">
        <f t="shared" si="25"/>
        <v>00</v>
      </c>
      <c r="V76" s="7">
        <f t="shared" si="26"/>
        <v>0</v>
      </c>
      <c r="W76" s="6">
        <f t="shared" si="27"/>
        <v>0</v>
      </c>
      <c r="X76" s="7">
        <f t="shared" si="33"/>
        <v>0</v>
      </c>
      <c r="Y76" s="7">
        <f t="shared" si="28"/>
        <v>0</v>
      </c>
      <c r="Z76" s="7">
        <f t="shared" si="29"/>
        <v>0</v>
      </c>
      <c r="AA76" s="7">
        <f t="shared" si="30"/>
        <v>0</v>
      </c>
      <c r="AB76" s="7">
        <f t="shared" si="31"/>
        <v>0</v>
      </c>
      <c r="AC76" s="7">
        <f t="shared" si="32"/>
        <v>0</v>
      </c>
      <c r="AD76" s="7" t="e">
        <f t="shared" si="17"/>
        <v>#DIV/0!</v>
      </c>
    </row>
    <row r="77" spans="1:30" x14ac:dyDescent="0.25">
      <c r="A77" s="3">
        <f>Input!A79</f>
        <v>0</v>
      </c>
      <c r="B77" s="7">
        <f>Input!B79</f>
        <v>0</v>
      </c>
      <c r="C77" s="7">
        <f t="shared" si="18"/>
        <v>0</v>
      </c>
      <c r="D77" s="7">
        <f t="shared" si="19"/>
        <v>0</v>
      </c>
      <c r="E77" s="2"/>
      <c r="F77" s="3">
        <f>Input!D79</f>
        <v>0</v>
      </c>
      <c r="G77" s="3">
        <f>Input!E79</f>
        <v>0</v>
      </c>
      <c r="H77" s="3" t="str">
        <f t="shared" si="20"/>
        <v>00</v>
      </c>
      <c r="I77" s="7">
        <f>Input!G79</f>
        <v>0</v>
      </c>
      <c r="J77" s="7">
        <f t="shared" si="21"/>
        <v>0</v>
      </c>
      <c r="K77" s="7">
        <f t="shared" si="22"/>
        <v>0</v>
      </c>
      <c r="L77" s="7" t="e">
        <f t="shared" si="23"/>
        <v>#DIV/0!</v>
      </c>
      <c r="M77" s="2"/>
      <c r="N77" s="3">
        <f>Input!I79</f>
        <v>0</v>
      </c>
      <c r="O77" s="7">
        <f>Input!J79</f>
        <v>0</v>
      </c>
      <c r="P77" s="6">
        <f>Input!K79</f>
        <v>0</v>
      </c>
      <c r="Q77" s="2"/>
      <c r="R77" s="3">
        <f>Input!M79</f>
        <v>0</v>
      </c>
      <c r="S77" s="3">
        <f>Input!N79</f>
        <v>0</v>
      </c>
      <c r="T77" s="3">
        <f t="shared" si="24"/>
        <v>187</v>
      </c>
      <c r="U77" s="3" t="str">
        <f t="shared" si="25"/>
        <v>00</v>
      </c>
      <c r="V77" s="7">
        <f t="shared" si="26"/>
        <v>0</v>
      </c>
      <c r="W77" s="6">
        <f t="shared" si="27"/>
        <v>0</v>
      </c>
      <c r="X77" s="7">
        <f t="shared" si="33"/>
        <v>0</v>
      </c>
      <c r="Y77" s="7">
        <f t="shared" si="28"/>
        <v>0</v>
      </c>
      <c r="Z77" s="7">
        <f t="shared" si="29"/>
        <v>0</v>
      </c>
      <c r="AA77" s="7">
        <f t="shared" si="30"/>
        <v>0</v>
      </c>
      <c r="AB77" s="7">
        <f t="shared" si="31"/>
        <v>0</v>
      </c>
      <c r="AC77" s="7">
        <f t="shared" si="32"/>
        <v>0</v>
      </c>
      <c r="AD77" s="7" t="e">
        <f t="shared" si="17"/>
        <v>#DIV/0!</v>
      </c>
    </row>
    <row r="78" spans="1:30" x14ac:dyDescent="0.25">
      <c r="A78" s="3">
        <f>Input!A80</f>
        <v>0</v>
      </c>
      <c r="B78" s="7">
        <f>Input!B80</f>
        <v>0</v>
      </c>
      <c r="C78" s="7">
        <f t="shared" si="18"/>
        <v>0</v>
      </c>
      <c r="D78" s="7">
        <f t="shared" si="19"/>
        <v>0</v>
      </c>
      <c r="E78" s="2"/>
      <c r="F78" s="3">
        <f>Input!D80</f>
        <v>0</v>
      </c>
      <c r="G78" s="3">
        <f>Input!E80</f>
        <v>0</v>
      </c>
      <c r="H78" s="3" t="str">
        <f t="shared" si="20"/>
        <v>00</v>
      </c>
      <c r="I78" s="7">
        <f>Input!G80</f>
        <v>0</v>
      </c>
      <c r="J78" s="7">
        <f t="shared" si="21"/>
        <v>0</v>
      </c>
      <c r="K78" s="7">
        <f t="shared" si="22"/>
        <v>0</v>
      </c>
      <c r="L78" s="7" t="e">
        <f t="shared" si="23"/>
        <v>#DIV/0!</v>
      </c>
      <c r="M78" s="2"/>
      <c r="N78" s="3">
        <f>Input!I80</f>
        <v>0</v>
      </c>
      <c r="O78" s="7">
        <f>Input!J80</f>
        <v>0</v>
      </c>
      <c r="P78" s="6">
        <f>Input!K80</f>
        <v>0</v>
      </c>
      <c r="Q78" s="2"/>
      <c r="R78" s="3">
        <f>Input!M80</f>
        <v>0</v>
      </c>
      <c r="S78" s="3">
        <f>Input!N80</f>
        <v>0</v>
      </c>
      <c r="T78" s="3">
        <f t="shared" si="24"/>
        <v>187</v>
      </c>
      <c r="U78" s="3" t="str">
        <f t="shared" si="25"/>
        <v>00</v>
      </c>
      <c r="V78" s="7">
        <f t="shared" si="26"/>
        <v>0</v>
      </c>
      <c r="W78" s="6">
        <f t="shared" si="27"/>
        <v>0</v>
      </c>
      <c r="X78" s="7">
        <f t="shared" si="33"/>
        <v>0</v>
      </c>
      <c r="Y78" s="7">
        <f t="shared" si="28"/>
        <v>0</v>
      </c>
      <c r="Z78" s="7">
        <f t="shared" si="29"/>
        <v>0</v>
      </c>
      <c r="AA78" s="7">
        <f t="shared" si="30"/>
        <v>0</v>
      </c>
      <c r="AB78" s="7">
        <f t="shared" si="31"/>
        <v>0</v>
      </c>
      <c r="AC78" s="7">
        <f t="shared" si="32"/>
        <v>0</v>
      </c>
      <c r="AD78" s="7" t="e">
        <f t="shared" si="17"/>
        <v>#DIV/0!</v>
      </c>
    </row>
    <row r="79" spans="1:30" x14ac:dyDescent="0.25">
      <c r="A79" s="3">
        <f>Input!A81</f>
        <v>0</v>
      </c>
      <c r="B79" s="7">
        <f>Input!B81</f>
        <v>0</v>
      </c>
      <c r="C79" s="7">
        <f t="shared" si="18"/>
        <v>0</v>
      </c>
      <c r="D79" s="7">
        <f t="shared" si="19"/>
        <v>0</v>
      </c>
      <c r="E79" s="2"/>
      <c r="F79" s="3">
        <f>Input!D81</f>
        <v>0</v>
      </c>
      <c r="G79" s="3">
        <f>Input!E81</f>
        <v>0</v>
      </c>
      <c r="H79" s="3" t="str">
        <f t="shared" si="20"/>
        <v>00</v>
      </c>
      <c r="I79" s="7">
        <f>Input!G81</f>
        <v>0</v>
      </c>
      <c r="J79" s="7">
        <f t="shared" si="21"/>
        <v>0</v>
      </c>
      <c r="K79" s="7">
        <f t="shared" si="22"/>
        <v>0</v>
      </c>
      <c r="L79" s="7" t="e">
        <f t="shared" si="23"/>
        <v>#DIV/0!</v>
      </c>
      <c r="M79" s="2"/>
      <c r="N79" s="3">
        <f>Input!I81</f>
        <v>0</v>
      </c>
      <c r="O79" s="7">
        <f>Input!J81</f>
        <v>0</v>
      </c>
      <c r="P79" s="6">
        <f>Input!K81</f>
        <v>0</v>
      </c>
      <c r="Q79" s="2"/>
      <c r="R79" s="3">
        <f>Input!M81</f>
        <v>0</v>
      </c>
      <c r="S79" s="3">
        <f>Input!N81</f>
        <v>0</v>
      </c>
      <c r="T79" s="3">
        <f t="shared" si="24"/>
        <v>187</v>
      </c>
      <c r="U79" s="3" t="str">
        <f t="shared" si="25"/>
        <v>00</v>
      </c>
      <c r="V79" s="7">
        <f t="shared" si="26"/>
        <v>0</v>
      </c>
      <c r="W79" s="6">
        <f t="shared" si="27"/>
        <v>0</v>
      </c>
      <c r="X79" s="7">
        <f t="shared" si="33"/>
        <v>0</v>
      </c>
      <c r="Y79" s="7">
        <f t="shared" si="28"/>
        <v>0</v>
      </c>
      <c r="Z79" s="7">
        <f t="shared" si="29"/>
        <v>0</v>
      </c>
      <c r="AA79" s="7">
        <f t="shared" si="30"/>
        <v>0</v>
      </c>
      <c r="AB79" s="7">
        <f t="shared" si="31"/>
        <v>0</v>
      </c>
      <c r="AC79" s="7">
        <f t="shared" si="32"/>
        <v>0</v>
      </c>
      <c r="AD79" s="7" t="e">
        <f t="shared" si="17"/>
        <v>#DIV/0!</v>
      </c>
    </row>
    <row r="80" spans="1:30" x14ac:dyDescent="0.25">
      <c r="A80" s="3">
        <f>Input!A82</f>
        <v>0</v>
      </c>
      <c r="B80" s="7">
        <f>Input!B82</f>
        <v>0</v>
      </c>
      <c r="C80" s="7">
        <f t="shared" si="18"/>
        <v>0</v>
      </c>
      <c r="D80" s="7">
        <f t="shared" si="19"/>
        <v>0</v>
      </c>
      <c r="E80" s="2"/>
      <c r="F80" s="3">
        <f>Input!D82</f>
        <v>0</v>
      </c>
      <c r="G80" s="3">
        <f>Input!E82</f>
        <v>0</v>
      </c>
      <c r="H80" s="3" t="str">
        <f t="shared" si="20"/>
        <v>00</v>
      </c>
      <c r="I80" s="7">
        <f>Input!G82</f>
        <v>0</v>
      </c>
      <c r="J80" s="7">
        <f t="shared" si="21"/>
        <v>0</v>
      </c>
      <c r="K80" s="7">
        <f t="shared" si="22"/>
        <v>0</v>
      </c>
      <c r="L80" s="7" t="e">
        <f t="shared" si="23"/>
        <v>#DIV/0!</v>
      </c>
      <c r="M80" s="2"/>
      <c r="N80" s="3">
        <f>Input!I82</f>
        <v>0</v>
      </c>
      <c r="O80" s="7">
        <f>Input!J82</f>
        <v>0</v>
      </c>
      <c r="P80" s="6">
        <f>Input!K82</f>
        <v>0</v>
      </c>
      <c r="Q80" s="2"/>
      <c r="R80" s="3">
        <f>Input!M82</f>
        <v>0</v>
      </c>
      <c r="S80" s="3">
        <f>Input!N82</f>
        <v>0</v>
      </c>
      <c r="T80" s="3">
        <f t="shared" si="24"/>
        <v>187</v>
      </c>
      <c r="U80" s="3" t="str">
        <f t="shared" si="25"/>
        <v>00</v>
      </c>
      <c r="V80" s="7">
        <f t="shared" si="26"/>
        <v>0</v>
      </c>
      <c r="W80" s="6">
        <f t="shared" si="27"/>
        <v>0</v>
      </c>
      <c r="X80" s="7">
        <f t="shared" si="33"/>
        <v>0</v>
      </c>
      <c r="Y80" s="7">
        <f t="shared" si="28"/>
        <v>0</v>
      </c>
      <c r="Z80" s="7">
        <f t="shared" si="29"/>
        <v>0</v>
      </c>
      <c r="AA80" s="7">
        <f t="shared" si="30"/>
        <v>0</v>
      </c>
      <c r="AB80" s="7">
        <f t="shared" si="31"/>
        <v>0</v>
      </c>
      <c r="AC80" s="7">
        <f t="shared" si="32"/>
        <v>0</v>
      </c>
      <c r="AD80" s="7" t="e">
        <f t="shared" si="17"/>
        <v>#DIV/0!</v>
      </c>
    </row>
    <row r="81" spans="1:30" x14ac:dyDescent="0.25">
      <c r="A81" s="3">
        <f>Input!A83</f>
        <v>0</v>
      </c>
      <c r="B81" s="7">
        <f>Input!B83</f>
        <v>0</v>
      </c>
      <c r="C81" s="7">
        <f t="shared" si="18"/>
        <v>0</v>
      </c>
      <c r="D81" s="7">
        <f t="shared" si="19"/>
        <v>0</v>
      </c>
      <c r="E81" s="2"/>
      <c r="F81" s="3">
        <f>Input!D83</f>
        <v>0</v>
      </c>
      <c r="G81" s="3">
        <f>Input!E83</f>
        <v>0</v>
      </c>
      <c r="H81" s="3" t="str">
        <f t="shared" si="20"/>
        <v>00</v>
      </c>
      <c r="I81" s="7">
        <f>Input!G83</f>
        <v>0</v>
      </c>
      <c r="J81" s="7">
        <f t="shared" si="21"/>
        <v>0</v>
      </c>
      <c r="K81" s="7">
        <f t="shared" si="22"/>
        <v>0</v>
      </c>
      <c r="L81" s="7" t="e">
        <f t="shared" si="23"/>
        <v>#DIV/0!</v>
      </c>
      <c r="M81" s="2"/>
      <c r="N81" s="3">
        <f>Input!I83</f>
        <v>0</v>
      </c>
      <c r="O81" s="7">
        <f>Input!J83</f>
        <v>0</v>
      </c>
      <c r="P81" s="6">
        <f>Input!K83</f>
        <v>0</v>
      </c>
      <c r="Q81" s="2"/>
      <c r="R81" s="3">
        <f>Input!M83</f>
        <v>0</v>
      </c>
      <c r="S81" s="3">
        <f>Input!N83</f>
        <v>0</v>
      </c>
      <c r="T81" s="3">
        <f t="shared" si="24"/>
        <v>187</v>
      </c>
      <c r="U81" s="3" t="str">
        <f t="shared" si="25"/>
        <v>00</v>
      </c>
      <c r="V81" s="7">
        <f t="shared" si="26"/>
        <v>0</v>
      </c>
      <c r="W81" s="6">
        <f t="shared" si="27"/>
        <v>0</v>
      </c>
      <c r="X81" s="7">
        <f t="shared" si="33"/>
        <v>0</v>
      </c>
      <c r="Y81" s="7">
        <f t="shared" si="28"/>
        <v>0</v>
      </c>
      <c r="Z81" s="7">
        <f t="shared" si="29"/>
        <v>0</v>
      </c>
      <c r="AA81" s="7">
        <f t="shared" si="30"/>
        <v>0</v>
      </c>
      <c r="AB81" s="7">
        <f t="shared" si="31"/>
        <v>0</v>
      </c>
      <c r="AC81" s="7">
        <f t="shared" si="32"/>
        <v>0</v>
      </c>
      <c r="AD81" s="7" t="e">
        <f t="shared" si="17"/>
        <v>#DIV/0!</v>
      </c>
    </row>
    <row r="82" spans="1:30" x14ac:dyDescent="0.25">
      <c r="A82" s="3">
        <f>Input!A84</f>
        <v>0</v>
      </c>
      <c r="B82" s="7">
        <f>Input!B84</f>
        <v>0</v>
      </c>
      <c r="C82" s="7">
        <f t="shared" si="18"/>
        <v>0</v>
      </c>
      <c r="D82" s="7">
        <f t="shared" si="19"/>
        <v>0</v>
      </c>
      <c r="E82" s="2"/>
      <c r="F82" s="3">
        <f>Input!D84</f>
        <v>0</v>
      </c>
      <c r="G82" s="3">
        <f>Input!E84</f>
        <v>0</v>
      </c>
      <c r="H82" s="3" t="str">
        <f t="shared" si="20"/>
        <v>00</v>
      </c>
      <c r="I82" s="7">
        <f>Input!G84</f>
        <v>0</v>
      </c>
      <c r="J82" s="7">
        <f t="shared" si="21"/>
        <v>0</v>
      </c>
      <c r="K82" s="7">
        <f t="shared" si="22"/>
        <v>0</v>
      </c>
      <c r="L82" s="7" t="e">
        <f t="shared" si="23"/>
        <v>#DIV/0!</v>
      </c>
      <c r="M82" s="2"/>
      <c r="N82" s="3">
        <f>Input!I84</f>
        <v>0</v>
      </c>
      <c r="O82" s="7">
        <f>Input!J84</f>
        <v>0</v>
      </c>
      <c r="P82" s="6">
        <f>Input!K84</f>
        <v>0</v>
      </c>
      <c r="Q82" s="2"/>
      <c r="R82" s="3">
        <f>Input!M84</f>
        <v>0</v>
      </c>
      <c r="S82" s="3">
        <f>Input!N84</f>
        <v>0</v>
      </c>
      <c r="T82" s="3">
        <f t="shared" si="24"/>
        <v>187</v>
      </c>
      <c r="U82" s="3" t="str">
        <f t="shared" si="25"/>
        <v>00</v>
      </c>
      <c r="V82" s="7">
        <f t="shared" si="26"/>
        <v>0</v>
      </c>
      <c r="W82" s="6">
        <f t="shared" si="27"/>
        <v>0</v>
      </c>
      <c r="X82" s="7">
        <f t="shared" si="33"/>
        <v>0</v>
      </c>
      <c r="Y82" s="7">
        <f t="shared" si="28"/>
        <v>0</v>
      </c>
      <c r="Z82" s="7">
        <f t="shared" si="29"/>
        <v>0</v>
      </c>
      <c r="AA82" s="7">
        <f t="shared" si="30"/>
        <v>0</v>
      </c>
      <c r="AB82" s="7">
        <f t="shared" si="31"/>
        <v>0</v>
      </c>
      <c r="AC82" s="7">
        <f t="shared" si="32"/>
        <v>0</v>
      </c>
      <c r="AD82" s="7" t="e">
        <f t="shared" si="17"/>
        <v>#DIV/0!</v>
      </c>
    </row>
    <row r="83" spans="1:30" x14ac:dyDescent="0.25">
      <c r="A83" s="3">
        <f>Input!A85</f>
        <v>0</v>
      </c>
      <c r="B83" s="7">
        <f>Input!B85</f>
        <v>0</v>
      </c>
      <c r="C83" s="7">
        <f t="shared" si="18"/>
        <v>0</v>
      </c>
      <c r="D83" s="7">
        <f t="shared" si="19"/>
        <v>0</v>
      </c>
      <c r="E83" s="2"/>
      <c r="F83" s="3">
        <f>Input!D85</f>
        <v>0</v>
      </c>
      <c r="G83" s="3">
        <f>Input!E85</f>
        <v>0</v>
      </c>
      <c r="H83" s="3" t="str">
        <f t="shared" si="20"/>
        <v>00</v>
      </c>
      <c r="I83" s="7">
        <f>Input!G85</f>
        <v>0</v>
      </c>
      <c r="J83" s="7">
        <f t="shared" si="21"/>
        <v>0</v>
      </c>
      <c r="K83" s="7">
        <f t="shared" si="22"/>
        <v>0</v>
      </c>
      <c r="L83" s="7" t="e">
        <f t="shared" si="23"/>
        <v>#DIV/0!</v>
      </c>
      <c r="M83" s="2"/>
      <c r="N83" s="3">
        <f>Input!I85</f>
        <v>0</v>
      </c>
      <c r="O83" s="7">
        <f>Input!J85</f>
        <v>0</v>
      </c>
      <c r="P83" s="6">
        <f>Input!K85</f>
        <v>0</v>
      </c>
      <c r="Q83" s="2"/>
      <c r="R83" s="3">
        <f>Input!M85</f>
        <v>0</v>
      </c>
      <c r="S83" s="3">
        <f>Input!N85</f>
        <v>0</v>
      </c>
      <c r="T83" s="3">
        <f t="shared" si="24"/>
        <v>187</v>
      </c>
      <c r="U83" s="3" t="str">
        <f t="shared" si="25"/>
        <v>00</v>
      </c>
      <c r="V83" s="7">
        <f t="shared" si="26"/>
        <v>0</v>
      </c>
      <c r="W83" s="6">
        <f t="shared" si="27"/>
        <v>0</v>
      </c>
      <c r="X83" s="7">
        <f t="shared" si="33"/>
        <v>0</v>
      </c>
      <c r="Y83" s="7">
        <f t="shared" si="28"/>
        <v>0</v>
      </c>
      <c r="Z83" s="7">
        <f t="shared" si="29"/>
        <v>0</v>
      </c>
      <c r="AA83" s="7">
        <f t="shared" si="30"/>
        <v>0</v>
      </c>
      <c r="AB83" s="7">
        <f t="shared" si="31"/>
        <v>0</v>
      </c>
      <c r="AC83" s="7">
        <f t="shared" si="32"/>
        <v>0</v>
      </c>
      <c r="AD83" s="7" t="e">
        <f t="shared" si="17"/>
        <v>#DIV/0!</v>
      </c>
    </row>
    <row r="84" spans="1:30" x14ac:dyDescent="0.25">
      <c r="A84" s="3">
        <f>Input!A86</f>
        <v>0</v>
      </c>
      <c r="B84" s="7">
        <f>Input!B86</f>
        <v>0</v>
      </c>
      <c r="C84" s="7">
        <f t="shared" si="18"/>
        <v>0</v>
      </c>
      <c r="D84" s="7">
        <f t="shared" si="19"/>
        <v>0</v>
      </c>
      <c r="E84" s="2"/>
      <c r="F84" s="3">
        <f>Input!D86</f>
        <v>0</v>
      </c>
      <c r="G84" s="3">
        <f>Input!E86</f>
        <v>0</v>
      </c>
      <c r="H84" s="3" t="str">
        <f t="shared" si="20"/>
        <v>00</v>
      </c>
      <c r="I84" s="7">
        <f>Input!G86</f>
        <v>0</v>
      </c>
      <c r="J84" s="7">
        <f t="shared" si="21"/>
        <v>0</v>
      </c>
      <c r="K84" s="7">
        <f t="shared" si="22"/>
        <v>0</v>
      </c>
      <c r="L84" s="7" t="e">
        <f t="shared" si="23"/>
        <v>#DIV/0!</v>
      </c>
      <c r="M84" s="2"/>
      <c r="N84" s="3">
        <f>Input!I86</f>
        <v>0</v>
      </c>
      <c r="O84" s="7">
        <f>Input!J86</f>
        <v>0</v>
      </c>
      <c r="P84" s="6">
        <f>Input!K86</f>
        <v>0</v>
      </c>
      <c r="Q84" s="2"/>
      <c r="R84" s="3">
        <f>Input!M86</f>
        <v>0</v>
      </c>
      <c r="S84" s="3">
        <f>Input!N86</f>
        <v>0</v>
      </c>
      <c r="T84" s="3">
        <f t="shared" si="24"/>
        <v>187</v>
      </c>
      <c r="U84" s="3" t="str">
        <f t="shared" si="25"/>
        <v>00</v>
      </c>
      <c r="V84" s="7">
        <f t="shared" si="26"/>
        <v>0</v>
      </c>
      <c r="W84" s="6">
        <f t="shared" si="27"/>
        <v>0</v>
      </c>
      <c r="X84" s="7">
        <f t="shared" si="33"/>
        <v>0</v>
      </c>
      <c r="Y84" s="7">
        <f t="shared" si="28"/>
        <v>0</v>
      </c>
      <c r="Z84" s="7">
        <f t="shared" si="29"/>
        <v>0</v>
      </c>
      <c r="AA84" s="7">
        <f t="shared" si="30"/>
        <v>0</v>
      </c>
      <c r="AB84" s="7">
        <f t="shared" si="31"/>
        <v>0</v>
      </c>
      <c r="AC84" s="7">
        <f t="shared" si="32"/>
        <v>0</v>
      </c>
      <c r="AD84" s="7" t="e">
        <f t="shared" si="17"/>
        <v>#DIV/0!</v>
      </c>
    </row>
    <row r="85" spans="1:30" x14ac:dyDescent="0.25">
      <c r="A85" s="3">
        <f>Input!A87</f>
        <v>0</v>
      </c>
      <c r="B85" s="7">
        <f>Input!B87</f>
        <v>0</v>
      </c>
      <c r="C85" s="7">
        <f t="shared" si="18"/>
        <v>0</v>
      </c>
      <c r="D85" s="7">
        <f t="shared" si="19"/>
        <v>0</v>
      </c>
      <c r="E85" s="2"/>
      <c r="F85" s="3">
        <f>Input!D87</f>
        <v>0</v>
      </c>
      <c r="G85" s="3">
        <f>Input!E87</f>
        <v>0</v>
      </c>
      <c r="H85" s="3" t="str">
        <f t="shared" si="20"/>
        <v>00</v>
      </c>
      <c r="I85" s="7">
        <f>Input!G87</f>
        <v>0</v>
      </c>
      <c r="J85" s="7">
        <f t="shared" si="21"/>
        <v>0</v>
      </c>
      <c r="K85" s="7">
        <f t="shared" si="22"/>
        <v>0</v>
      </c>
      <c r="L85" s="7" t="e">
        <f t="shared" si="23"/>
        <v>#DIV/0!</v>
      </c>
      <c r="M85" s="2"/>
      <c r="N85" s="3">
        <f>Input!I87</f>
        <v>0</v>
      </c>
      <c r="O85" s="7">
        <f>Input!J87</f>
        <v>0</v>
      </c>
      <c r="P85" s="6">
        <f>Input!K87</f>
        <v>0</v>
      </c>
      <c r="Q85" s="2"/>
      <c r="R85" s="3">
        <f>Input!M87</f>
        <v>0</v>
      </c>
      <c r="S85" s="3">
        <f>Input!N87</f>
        <v>0</v>
      </c>
      <c r="T85" s="3">
        <f t="shared" si="24"/>
        <v>187</v>
      </c>
      <c r="U85" s="3" t="str">
        <f t="shared" si="25"/>
        <v>00</v>
      </c>
      <c r="V85" s="7">
        <f t="shared" si="26"/>
        <v>0</v>
      </c>
      <c r="W85" s="6">
        <f t="shared" si="27"/>
        <v>0</v>
      </c>
      <c r="X85" s="7">
        <f t="shared" si="33"/>
        <v>0</v>
      </c>
      <c r="Y85" s="7">
        <f t="shared" si="28"/>
        <v>0</v>
      </c>
      <c r="Z85" s="7">
        <f t="shared" si="29"/>
        <v>0</v>
      </c>
      <c r="AA85" s="7">
        <f t="shared" si="30"/>
        <v>0</v>
      </c>
      <c r="AB85" s="7">
        <f t="shared" si="31"/>
        <v>0</v>
      </c>
      <c r="AC85" s="7">
        <f t="shared" si="32"/>
        <v>0</v>
      </c>
      <c r="AD85" s="7" t="e">
        <f t="shared" si="17"/>
        <v>#DIV/0!</v>
      </c>
    </row>
    <row r="86" spans="1:30" x14ac:dyDescent="0.25">
      <c r="A86" s="3">
        <f>Input!A88</f>
        <v>0</v>
      </c>
      <c r="B86" s="7">
        <f>Input!B88</f>
        <v>0</v>
      </c>
      <c r="C86" s="7">
        <f t="shared" si="18"/>
        <v>0</v>
      </c>
      <c r="D86" s="7">
        <f t="shared" si="19"/>
        <v>0</v>
      </c>
      <c r="E86" s="2"/>
      <c r="F86" s="3">
        <f>Input!D88</f>
        <v>0</v>
      </c>
      <c r="G86" s="3">
        <f>Input!E88</f>
        <v>0</v>
      </c>
      <c r="H86" s="3" t="str">
        <f t="shared" si="20"/>
        <v>00</v>
      </c>
      <c r="I86" s="7">
        <f>Input!G88</f>
        <v>0</v>
      </c>
      <c r="J86" s="7">
        <f t="shared" si="21"/>
        <v>0</v>
      </c>
      <c r="K86" s="7">
        <f t="shared" si="22"/>
        <v>0</v>
      </c>
      <c r="L86" s="7" t="e">
        <f t="shared" si="23"/>
        <v>#DIV/0!</v>
      </c>
      <c r="M86" s="2"/>
      <c r="N86" s="3">
        <f>Input!I88</f>
        <v>0</v>
      </c>
      <c r="O86" s="7">
        <f>Input!J88</f>
        <v>0</v>
      </c>
      <c r="P86" s="6">
        <f>Input!K88</f>
        <v>0</v>
      </c>
      <c r="Q86" s="2"/>
      <c r="R86" s="3">
        <f>Input!M88</f>
        <v>0</v>
      </c>
      <c r="S86" s="3">
        <f>Input!N88</f>
        <v>0</v>
      </c>
      <c r="T86" s="3">
        <f t="shared" si="24"/>
        <v>187</v>
      </c>
      <c r="U86" s="3" t="str">
        <f t="shared" si="25"/>
        <v>00</v>
      </c>
      <c r="V86" s="7">
        <f t="shared" si="26"/>
        <v>0</v>
      </c>
      <c r="W86" s="6">
        <f t="shared" si="27"/>
        <v>0</v>
      </c>
      <c r="X86" s="7">
        <f t="shared" si="33"/>
        <v>0</v>
      </c>
      <c r="Y86" s="7">
        <f t="shared" si="28"/>
        <v>0</v>
      </c>
      <c r="Z86" s="7">
        <f t="shared" si="29"/>
        <v>0</v>
      </c>
      <c r="AA86" s="7">
        <f t="shared" si="30"/>
        <v>0</v>
      </c>
      <c r="AB86" s="7">
        <f t="shared" si="31"/>
        <v>0</v>
      </c>
      <c r="AC86" s="7">
        <f t="shared" si="32"/>
        <v>0</v>
      </c>
      <c r="AD86" s="7" t="e">
        <f t="shared" si="17"/>
        <v>#DIV/0!</v>
      </c>
    </row>
    <row r="87" spans="1:30" x14ac:dyDescent="0.25">
      <c r="A87" s="3">
        <f>Input!A89</f>
        <v>0</v>
      </c>
      <c r="B87" s="7">
        <f>Input!B89</f>
        <v>0</v>
      </c>
      <c r="C87" s="7">
        <f t="shared" si="18"/>
        <v>0</v>
      </c>
      <c r="D87" s="7">
        <f t="shared" si="19"/>
        <v>0</v>
      </c>
      <c r="E87" s="2"/>
      <c r="F87" s="3">
        <f>Input!D89</f>
        <v>0</v>
      </c>
      <c r="G87" s="3">
        <f>Input!E89</f>
        <v>0</v>
      </c>
      <c r="H87" s="3" t="str">
        <f t="shared" si="20"/>
        <v>00</v>
      </c>
      <c r="I87" s="7">
        <f>Input!G89</f>
        <v>0</v>
      </c>
      <c r="J87" s="7">
        <f t="shared" si="21"/>
        <v>0</v>
      </c>
      <c r="K87" s="7">
        <f t="shared" si="22"/>
        <v>0</v>
      </c>
      <c r="L87" s="7" t="e">
        <f t="shared" si="23"/>
        <v>#DIV/0!</v>
      </c>
      <c r="M87" s="2"/>
      <c r="N87" s="3">
        <f>Input!I89</f>
        <v>0</v>
      </c>
      <c r="O87" s="7">
        <f>Input!J89</f>
        <v>0</v>
      </c>
      <c r="P87" s="6">
        <f>Input!K89</f>
        <v>0</v>
      </c>
      <c r="Q87" s="2"/>
      <c r="R87" s="3">
        <f>Input!M89</f>
        <v>0</v>
      </c>
      <c r="S87" s="3">
        <f>Input!N89</f>
        <v>0</v>
      </c>
      <c r="T87" s="3">
        <f t="shared" si="24"/>
        <v>187</v>
      </c>
      <c r="U87" s="3" t="str">
        <f t="shared" si="25"/>
        <v>00</v>
      </c>
      <c r="V87" s="7">
        <f t="shared" si="26"/>
        <v>0</v>
      </c>
      <c r="W87" s="6">
        <f t="shared" si="27"/>
        <v>0</v>
      </c>
      <c r="X87" s="7">
        <f t="shared" si="33"/>
        <v>0</v>
      </c>
      <c r="Y87" s="7">
        <f t="shared" si="28"/>
        <v>0</v>
      </c>
      <c r="Z87" s="7">
        <f t="shared" si="29"/>
        <v>0</v>
      </c>
      <c r="AA87" s="7">
        <f t="shared" si="30"/>
        <v>0</v>
      </c>
      <c r="AB87" s="7">
        <f t="shared" si="31"/>
        <v>0</v>
      </c>
      <c r="AC87" s="7">
        <f t="shared" si="32"/>
        <v>0</v>
      </c>
      <c r="AD87" s="7" t="e">
        <f t="shared" si="17"/>
        <v>#DIV/0!</v>
      </c>
    </row>
    <row r="88" spans="1:30" x14ac:dyDescent="0.25">
      <c r="A88" s="3">
        <f>Input!A90</f>
        <v>0</v>
      </c>
      <c r="B88" s="7">
        <f>Input!B90</f>
        <v>0</v>
      </c>
      <c r="C88" s="7">
        <f t="shared" si="18"/>
        <v>0</v>
      </c>
      <c r="D88" s="7">
        <f t="shared" si="19"/>
        <v>0</v>
      </c>
      <c r="E88" s="2"/>
      <c r="F88" s="3">
        <f>Input!D90</f>
        <v>0</v>
      </c>
      <c r="G88" s="3">
        <f>Input!E90</f>
        <v>0</v>
      </c>
      <c r="H88" s="3" t="str">
        <f t="shared" si="20"/>
        <v>00</v>
      </c>
      <c r="I88" s="7">
        <f>Input!G90</f>
        <v>0</v>
      </c>
      <c r="J88" s="7">
        <f t="shared" si="21"/>
        <v>0</v>
      </c>
      <c r="K88" s="7">
        <f t="shared" si="22"/>
        <v>0</v>
      </c>
      <c r="L88" s="7" t="e">
        <f t="shared" si="23"/>
        <v>#DIV/0!</v>
      </c>
      <c r="M88" s="2"/>
      <c r="N88" s="3">
        <f>Input!I90</f>
        <v>0</v>
      </c>
      <c r="O88" s="7">
        <f>Input!J90</f>
        <v>0</v>
      </c>
      <c r="P88" s="6">
        <f>Input!K90</f>
        <v>0</v>
      </c>
      <c r="Q88" s="2"/>
      <c r="R88" s="3">
        <f>Input!M90</f>
        <v>0</v>
      </c>
      <c r="S88" s="3">
        <f>Input!N90</f>
        <v>0</v>
      </c>
      <c r="T88" s="3">
        <f t="shared" si="24"/>
        <v>187</v>
      </c>
      <c r="U88" s="3" t="str">
        <f t="shared" si="25"/>
        <v>00</v>
      </c>
      <c r="V88" s="7">
        <f t="shared" si="26"/>
        <v>0</v>
      </c>
      <c r="W88" s="6">
        <f t="shared" si="27"/>
        <v>0</v>
      </c>
      <c r="X88" s="7">
        <f t="shared" si="33"/>
        <v>0</v>
      </c>
      <c r="Y88" s="7">
        <f t="shared" si="28"/>
        <v>0</v>
      </c>
      <c r="Z88" s="7">
        <f t="shared" si="29"/>
        <v>0</v>
      </c>
      <c r="AA88" s="7">
        <f t="shared" si="30"/>
        <v>0</v>
      </c>
      <c r="AB88" s="7">
        <f t="shared" si="31"/>
        <v>0</v>
      </c>
      <c r="AC88" s="7">
        <f t="shared" si="32"/>
        <v>0</v>
      </c>
      <c r="AD88" s="7" t="e">
        <f t="shared" si="17"/>
        <v>#DIV/0!</v>
      </c>
    </row>
    <row r="89" spans="1:30" x14ac:dyDescent="0.25">
      <c r="A89" s="3">
        <f>Input!A91</f>
        <v>0</v>
      </c>
      <c r="B89" s="7">
        <f>Input!B91</f>
        <v>0</v>
      </c>
      <c r="C89" s="7">
        <f t="shared" si="18"/>
        <v>0</v>
      </c>
      <c r="D89" s="7">
        <f t="shared" si="19"/>
        <v>0</v>
      </c>
      <c r="E89" s="2"/>
      <c r="F89" s="3">
        <f>Input!D91</f>
        <v>0</v>
      </c>
      <c r="G89" s="3">
        <f>Input!E91</f>
        <v>0</v>
      </c>
      <c r="H89" s="3" t="str">
        <f t="shared" si="20"/>
        <v>00</v>
      </c>
      <c r="I89" s="7">
        <f>Input!G91</f>
        <v>0</v>
      </c>
      <c r="J89" s="7">
        <f t="shared" si="21"/>
        <v>0</v>
      </c>
      <c r="K89" s="7">
        <f t="shared" si="22"/>
        <v>0</v>
      </c>
      <c r="L89" s="7" t="e">
        <f t="shared" si="23"/>
        <v>#DIV/0!</v>
      </c>
      <c r="M89" s="2"/>
      <c r="N89" s="3">
        <f>Input!I91</f>
        <v>0</v>
      </c>
      <c r="O89" s="7">
        <f>Input!J91</f>
        <v>0</v>
      </c>
      <c r="P89" s="6">
        <f>Input!K91</f>
        <v>0</v>
      </c>
      <c r="Q89" s="2"/>
      <c r="R89" s="3">
        <f>Input!M91</f>
        <v>0</v>
      </c>
      <c r="S89" s="3">
        <f>Input!N91</f>
        <v>0</v>
      </c>
      <c r="T89" s="3">
        <f t="shared" si="24"/>
        <v>187</v>
      </c>
      <c r="U89" s="3" t="str">
        <f t="shared" si="25"/>
        <v>00</v>
      </c>
      <c r="V89" s="7">
        <f t="shared" si="26"/>
        <v>0</v>
      </c>
      <c r="W89" s="6">
        <f t="shared" si="27"/>
        <v>0</v>
      </c>
      <c r="X89" s="7">
        <f t="shared" si="33"/>
        <v>0</v>
      </c>
      <c r="Y89" s="7">
        <f t="shared" si="28"/>
        <v>0</v>
      </c>
      <c r="Z89" s="7">
        <f t="shared" si="29"/>
        <v>0</v>
      </c>
      <c r="AA89" s="7">
        <f t="shared" si="30"/>
        <v>0</v>
      </c>
      <c r="AB89" s="7">
        <f t="shared" si="31"/>
        <v>0</v>
      </c>
      <c r="AC89" s="7">
        <f t="shared" si="32"/>
        <v>0</v>
      </c>
      <c r="AD89" s="7" t="e">
        <f t="shared" si="17"/>
        <v>#DIV/0!</v>
      </c>
    </row>
    <row r="90" spans="1:30" x14ac:dyDescent="0.25">
      <c r="A90" s="3">
        <f>Input!A92</f>
        <v>0</v>
      </c>
      <c r="B90" s="7">
        <f>Input!B92</f>
        <v>0</v>
      </c>
      <c r="C90" s="7">
        <f t="shared" si="18"/>
        <v>0</v>
      </c>
      <c r="D90" s="7">
        <f t="shared" si="19"/>
        <v>0</v>
      </c>
      <c r="E90" s="2"/>
      <c r="F90" s="3">
        <f>Input!D92</f>
        <v>0</v>
      </c>
      <c r="G90" s="3">
        <f>Input!E92</f>
        <v>0</v>
      </c>
      <c r="H90" s="3" t="str">
        <f t="shared" si="20"/>
        <v>00</v>
      </c>
      <c r="I90" s="7">
        <f>Input!G92</f>
        <v>0</v>
      </c>
      <c r="J90" s="7">
        <f t="shared" si="21"/>
        <v>0</v>
      </c>
      <c r="K90" s="7">
        <f t="shared" si="22"/>
        <v>0</v>
      </c>
      <c r="L90" s="7" t="e">
        <f t="shared" si="23"/>
        <v>#DIV/0!</v>
      </c>
      <c r="M90" s="2"/>
      <c r="N90" s="3">
        <f>Input!I92</f>
        <v>0</v>
      </c>
      <c r="O90" s="7">
        <f>Input!J92</f>
        <v>0</v>
      </c>
      <c r="P90" s="6">
        <f>Input!K92</f>
        <v>0</v>
      </c>
      <c r="Q90" s="2"/>
      <c r="R90" s="3">
        <f>Input!M92</f>
        <v>0</v>
      </c>
      <c r="S90" s="3">
        <f>Input!N92</f>
        <v>0</v>
      </c>
      <c r="T90" s="3">
        <f t="shared" si="24"/>
        <v>187</v>
      </c>
      <c r="U90" s="3" t="str">
        <f t="shared" si="25"/>
        <v>00</v>
      </c>
      <c r="V90" s="7">
        <f t="shared" si="26"/>
        <v>0</v>
      </c>
      <c r="W90" s="6">
        <f t="shared" si="27"/>
        <v>0</v>
      </c>
      <c r="X90" s="7">
        <f t="shared" si="33"/>
        <v>0</v>
      </c>
      <c r="Y90" s="7">
        <f t="shared" si="28"/>
        <v>0</v>
      </c>
      <c r="Z90" s="7">
        <f t="shared" si="29"/>
        <v>0</v>
      </c>
      <c r="AA90" s="7">
        <f t="shared" si="30"/>
        <v>0</v>
      </c>
      <c r="AB90" s="7">
        <f t="shared" si="31"/>
        <v>0</v>
      </c>
      <c r="AC90" s="7">
        <f t="shared" si="32"/>
        <v>0</v>
      </c>
      <c r="AD90" s="7" t="e">
        <f t="shared" si="17"/>
        <v>#DIV/0!</v>
      </c>
    </row>
    <row r="91" spans="1:30" x14ac:dyDescent="0.25">
      <c r="A91" s="3">
        <f>Input!A93</f>
        <v>0</v>
      </c>
      <c r="B91" s="7">
        <f>Input!B93</f>
        <v>0</v>
      </c>
      <c r="C91" s="7">
        <f t="shared" si="18"/>
        <v>0</v>
      </c>
      <c r="D91" s="7">
        <f t="shared" si="19"/>
        <v>0</v>
      </c>
      <c r="E91" s="2"/>
      <c r="F91" s="3">
        <f>Input!D93</f>
        <v>0</v>
      </c>
      <c r="G91" s="3">
        <f>Input!E93</f>
        <v>0</v>
      </c>
      <c r="H91" s="3" t="str">
        <f t="shared" si="20"/>
        <v>00</v>
      </c>
      <c r="I91" s="7">
        <f>Input!G93</f>
        <v>0</v>
      </c>
      <c r="J91" s="7">
        <f t="shared" si="21"/>
        <v>0</v>
      </c>
      <c r="K91" s="7">
        <f t="shared" si="22"/>
        <v>0</v>
      </c>
      <c r="L91" s="7" t="e">
        <f t="shared" si="23"/>
        <v>#DIV/0!</v>
      </c>
      <c r="M91" s="2"/>
      <c r="N91" s="3">
        <f>Input!I93</f>
        <v>0</v>
      </c>
      <c r="O91" s="7">
        <f>Input!J93</f>
        <v>0</v>
      </c>
      <c r="P91" s="6">
        <f>Input!K93</f>
        <v>0</v>
      </c>
      <c r="Q91" s="2"/>
      <c r="R91" s="3">
        <f>Input!M93</f>
        <v>0</v>
      </c>
      <c r="S91" s="3">
        <f>Input!N93</f>
        <v>0</v>
      </c>
      <c r="T91" s="3">
        <f t="shared" si="24"/>
        <v>187</v>
      </c>
      <c r="U91" s="3" t="str">
        <f t="shared" si="25"/>
        <v>00</v>
      </c>
      <c r="V91" s="7">
        <f t="shared" si="26"/>
        <v>0</v>
      </c>
      <c r="W91" s="6">
        <f t="shared" si="27"/>
        <v>0</v>
      </c>
      <c r="X91" s="7">
        <f t="shared" si="33"/>
        <v>0</v>
      </c>
      <c r="Y91" s="7">
        <f t="shared" si="28"/>
        <v>0</v>
      </c>
      <c r="Z91" s="7">
        <f t="shared" si="29"/>
        <v>0</v>
      </c>
      <c r="AA91" s="7">
        <f t="shared" si="30"/>
        <v>0</v>
      </c>
      <c r="AB91" s="7">
        <f t="shared" si="31"/>
        <v>0</v>
      </c>
      <c r="AC91" s="7">
        <f t="shared" si="32"/>
        <v>0</v>
      </c>
      <c r="AD91" s="7" t="e">
        <f t="shared" si="17"/>
        <v>#DIV/0!</v>
      </c>
    </row>
    <row r="92" spans="1:30" x14ac:dyDescent="0.25">
      <c r="A92" s="3">
        <f>Input!A94</f>
        <v>0</v>
      </c>
      <c r="B92" s="7">
        <f>Input!B94</f>
        <v>0</v>
      </c>
      <c r="C92" s="7">
        <f t="shared" si="18"/>
        <v>0</v>
      </c>
      <c r="D92" s="7">
        <f t="shared" si="19"/>
        <v>0</v>
      </c>
      <c r="E92" s="2"/>
      <c r="F92" s="3">
        <f>Input!D94</f>
        <v>0</v>
      </c>
      <c r="G92" s="3">
        <f>Input!E94</f>
        <v>0</v>
      </c>
      <c r="H92" s="3" t="str">
        <f t="shared" si="20"/>
        <v>00</v>
      </c>
      <c r="I92" s="7">
        <f>Input!G94</f>
        <v>0</v>
      </c>
      <c r="J92" s="7">
        <f t="shared" si="21"/>
        <v>0</v>
      </c>
      <c r="K92" s="7">
        <f t="shared" si="22"/>
        <v>0</v>
      </c>
      <c r="L92" s="7" t="e">
        <f t="shared" si="23"/>
        <v>#DIV/0!</v>
      </c>
      <c r="M92" s="2"/>
      <c r="N92" s="3">
        <f>Input!I94</f>
        <v>0</v>
      </c>
      <c r="O92" s="7">
        <f>Input!J94</f>
        <v>0</v>
      </c>
      <c r="P92" s="6">
        <f>Input!K94</f>
        <v>0</v>
      </c>
      <c r="Q92" s="2"/>
      <c r="R92" s="3">
        <f>Input!M94</f>
        <v>0</v>
      </c>
      <c r="S92" s="3">
        <f>Input!N94</f>
        <v>0</v>
      </c>
      <c r="T92" s="3">
        <f t="shared" si="24"/>
        <v>187</v>
      </c>
      <c r="U92" s="3" t="str">
        <f t="shared" si="25"/>
        <v>00</v>
      </c>
      <c r="V92" s="7">
        <f t="shared" si="26"/>
        <v>0</v>
      </c>
      <c r="W92" s="6">
        <f t="shared" si="27"/>
        <v>0</v>
      </c>
      <c r="X92" s="7">
        <f t="shared" si="33"/>
        <v>0</v>
      </c>
      <c r="Y92" s="7">
        <f t="shared" si="28"/>
        <v>0</v>
      </c>
      <c r="Z92" s="7">
        <f t="shared" si="29"/>
        <v>0</v>
      </c>
      <c r="AA92" s="7">
        <f t="shared" si="30"/>
        <v>0</v>
      </c>
      <c r="AB92" s="7">
        <f t="shared" si="31"/>
        <v>0</v>
      </c>
      <c r="AC92" s="7">
        <f t="shared" si="32"/>
        <v>0</v>
      </c>
      <c r="AD92" s="7" t="e">
        <f t="shared" si="17"/>
        <v>#DIV/0!</v>
      </c>
    </row>
    <row r="93" spans="1:30" x14ac:dyDescent="0.25">
      <c r="A93" s="3">
        <f>Input!A95</f>
        <v>0</v>
      </c>
      <c r="B93" s="7">
        <f>Input!B95</f>
        <v>0</v>
      </c>
      <c r="C93" s="7">
        <f t="shared" si="18"/>
        <v>0</v>
      </c>
      <c r="D93" s="7">
        <f t="shared" si="19"/>
        <v>0</v>
      </c>
      <c r="E93" s="2"/>
      <c r="F93" s="3">
        <f>Input!D95</f>
        <v>0</v>
      </c>
      <c r="G93" s="3">
        <f>Input!E95</f>
        <v>0</v>
      </c>
      <c r="H93" s="3" t="str">
        <f t="shared" si="20"/>
        <v>00</v>
      </c>
      <c r="I93" s="7">
        <f>Input!G95</f>
        <v>0</v>
      </c>
      <c r="J93" s="7">
        <f t="shared" si="21"/>
        <v>0</v>
      </c>
      <c r="K93" s="7">
        <f t="shared" si="22"/>
        <v>0</v>
      </c>
      <c r="L93" s="7" t="e">
        <f t="shared" si="23"/>
        <v>#DIV/0!</v>
      </c>
      <c r="M93" s="2"/>
      <c r="N93" s="3">
        <f>Input!I95</f>
        <v>0</v>
      </c>
      <c r="O93" s="7">
        <f>Input!J95</f>
        <v>0</v>
      </c>
      <c r="P93" s="6">
        <f>Input!K95</f>
        <v>0</v>
      </c>
      <c r="Q93" s="2"/>
      <c r="R93" s="3">
        <f>Input!M95</f>
        <v>0</v>
      </c>
      <c r="S93" s="3">
        <f>Input!N95</f>
        <v>0</v>
      </c>
      <c r="T93" s="3">
        <f t="shared" si="24"/>
        <v>187</v>
      </c>
      <c r="U93" s="3" t="str">
        <f t="shared" si="25"/>
        <v>00</v>
      </c>
      <c r="V93" s="7">
        <f t="shared" si="26"/>
        <v>0</v>
      </c>
      <c r="W93" s="6">
        <f t="shared" si="27"/>
        <v>0</v>
      </c>
      <c r="X93" s="7">
        <f t="shared" si="33"/>
        <v>0</v>
      </c>
      <c r="Y93" s="7">
        <f t="shared" si="28"/>
        <v>0</v>
      </c>
      <c r="Z93" s="7">
        <f t="shared" si="29"/>
        <v>0</v>
      </c>
      <c r="AA93" s="7">
        <f t="shared" si="30"/>
        <v>0</v>
      </c>
      <c r="AB93" s="7">
        <f t="shared" si="31"/>
        <v>0</v>
      </c>
      <c r="AC93" s="7">
        <f t="shared" si="32"/>
        <v>0</v>
      </c>
      <c r="AD93" s="7" t="e">
        <f t="shared" si="17"/>
        <v>#DIV/0!</v>
      </c>
    </row>
    <row r="94" spans="1:30" x14ac:dyDescent="0.25">
      <c r="A94" s="3">
        <f>Input!A96</f>
        <v>0</v>
      </c>
      <c r="B94" s="7">
        <f>Input!B96</f>
        <v>0</v>
      </c>
      <c r="C94" s="7">
        <f t="shared" si="18"/>
        <v>0</v>
      </c>
      <c r="D94" s="7">
        <f t="shared" si="19"/>
        <v>0</v>
      </c>
      <c r="E94" s="2"/>
      <c r="F94" s="3">
        <f>Input!D96</f>
        <v>0</v>
      </c>
      <c r="G94" s="3">
        <f>Input!E96</f>
        <v>0</v>
      </c>
      <c r="H94" s="3" t="str">
        <f t="shared" si="20"/>
        <v>00</v>
      </c>
      <c r="I94" s="7">
        <f>Input!G96</f>
        <v>0</v>
      </c>
      <c r="J94" s="7">
        <f t="shared" si="21"/>
        <v>0</v>
      </c>
      <c r="K94" s="7">
        <f t="shared" si="22"/>
        <v>0</v>
      </c>
      <c r="L94" s="7" t="e">
        <f t="shared" si="23"/>
        <v>#DIV/0!</v>
      </c>
      <c r="M94" s="2"/>
      <c r="N94" s="3">
        <f>Input!I96</f>
        <v>0</v>
      </c>
      <c r="O94" s="7">
        <f>Input!J96</f>
        <v>0</v>
      </c>
      <c r="P94" s="6">
        <f>Input!K96</f>
        <v>0</v>
      </c>
      <c r="Q94" s="2"/>
      <c r="R94" s="3">
        <f>Input!M96</f>
        <v>0</v>
      </c>
      <c r="S94" s="3">
        <f>Input!N96</f>
        <v>0</v>
      </c>
      <c r="T94" s="3">
        <f t="shared" si="24"/>
        <v>187</v>
      </c>
      <c r="U94" s="3" t="str">
        <f t="shared" si="25"/>
        <v>00</v>
      </c>
      <c r="V94" s="7">
        <f t="shared" si="26"/>
        <v>0</v>
      </c>
      <c r="W94" s="6">
        <f t="shared" si="27"/>
        <v>0</v>
      </c>
      <c r="X94" s="7">
        <f t="shared" si="33"/>
        <v>0</v>
      </c>
      <c r="Y94" s="7">
        <f t="shared" si="28"/>
        <v>0</v>
      </c>
      <c r="Z94" s="7">
        <f t="shared" si="29"/>
        <v>0</v>
      </c>
      <c r="AA94" s="7">
        <f t="shared" si="30"/>
        <v>0</v>
      </c>
      <c r="AB94" s="7">
        <f t="shared" si="31"/>
        <v>0</v>
      </c>
      <c r="AC94" s="7">
        <f t="shared" si="32"/>
        <v>0</v>
      </c>
      <c r="AD94" s="7" t="e">
        <f t="shared" si="17"/>
        <v>#DIV/0!</v>
      </c>
    </row>
    <row r="95" spans="1:30" x14ac:dyDescent="0.25">
      <c r="A95" s="3">
        <f>Input!A97</f>
        <v>0</v>
      </c>
      <c r="B95" s="7">
        <f>Input!B97</f>
        <v>0</v>
      </c>
      <c r="C95" s="7">
        <f t="shared" si="18"/>
        <v>0</v>
      </c>
      <c r="D95" s="7">
        <f t="shared" si="19"/>
        <v>0</v>
      </c>
      <c r="E95" s="2"/>
      <c r="F95" s="3">
        <f>Input!D97</f>
        <v>0</v>
      </c>
      <c r="G95" s="3">
        <f>Input!E97</f>
        <v>0</v>
      </c>
      <c r="H95" s="3" t="str">
        <f t="shared" si="20"/>
        <v>00</v>
      </c>
      <c r="I95" s="7">
        <f>Input!G97</f>
        <v>0</v>
      </c>
      <c r="J95" s="7">
        <f t="shared" si="21"/>
        <v>0</v>
      </c>
      <c r="K95" s="7">
        <f t="shared" si="22"/>
        <v>0</v>
      </c>
      <c r="L95" s="7" t="e">
        <f t="shared" si="23"/>
        <v>#DIV/0!</v>
      </c>
      <c r="M95" s="2"/>
      <c r="N95" s="3">
        <f>Input!I97</f>
        <v>0</v>
      </c>
      <c r="O95" s="7">
        <f>Input!J97</f>
        <v>0</v>
      </c>
      <c r="P95" s="6">
        <f>Input!K97</f>
        <v>0</v>
      </c>
      <c r="Q95" s="2"/>
      <c r="R95" s="3">
        <f>Input!M97</f>
        <v>0</v>
      </c>
      <c r="S95" s="3">
        <f>Input!N97</f>
        <v>0</v>
      </c>
      <c r="T95" s="3">
        <f t="shared" si="24"/>
        <v>187</v>
      </c>
      <c r="U95" s="3" t="str">
        <f t="shared" si="25"/>
        <v>00</v>
      </c>
      <c r="V95" s="7">
        <f t="shared" si="26"/>
        <v>0</v>
      </c>
      <c r="W95" s="6">
        <f t="shared" si="27"/>
        <v>0</v>
      </c>
      <c r="X95" s="7">
        <f t="shared" si="33"/>
        <v>0</v>
      </c>
      <c r="Y95" s="7">
        <f t="shared" si="28"/>
        <v>0</v>
      </c>
      <c r="Z95" s="7">
        <f t="shared" si="29"/>
        <v>0</v>
      </c>
      <c r="AA95" s="7">
        <f t="shared" si="30"/>
        <v>0</v>
      </c>
      <c r="AB95" s="7">
        <f t="shared" si="31"/>
        <v>0</v>
      </c>
      <c r="AC95" s="7">
        <f t="shared" si="32"/>
        <v>0</v>
      </c>
      <c r="AD95" s="7" t="e">
        <f t="shared" si="17"/>
        <v>#DIV/0!</v>
      </c>
    </row>
    <row r="96" spans="1:30" x14ac:dyDescent="0.25">
      <c r="A96" s="3">
        <f>Input!A98</f>
        <v>0</v>
      </c>
      <c r="B96" s="7">
        <f>Input!B98</f>
        <v>0</v>
      </c>
      <c r="C96" s="7">
        <f t="shared" si="18"/>
        <v>0</v>
      </c>
      <c r="D96" s="7">
        <f t="shared" si="19"/>
        <v>0</v>
      </c>
      <c r="E96" s="2"/>
      <c r="F96" s="3">
        <f>Input!D98</f>
        <v>0</v>
      </c>
      <c r="G96" s="3">
        <f>Input!E98</f>
        <v>0</v>
      </c>
      <c r="H96" s="3" t="str">
        <f t="shared" si="20"/>
        <v>00</v>
      </c>
      <c r="I96" s="7">
        <f>Input!G98</f>
        <v>0</v>
      </c>
      <c r="J96" s="7">
        <f t="shared" si="21"/>
        <v>0</v>
      </c>
      <c r="K96" s="7">
        <f t="shared" si="22"/>
        <v>0</v>
      </c>
      <c r="L96" s="7" t="e">
        <f t="shared" si="23"/>
        <v>#DIV/0!</v>
      </c>
      <c r="M96" s="2"/>
      <c r="N96" s="3">
        <f>Input!I98</f>
        <v>0</v>
      </c>
      <c r="O96" s="7">
        <f>Input!J98</f>
        <v>0</v>
      </c>
      <c r="P96" s="6">
        <f>Input!K98</f>
        <v>0</v>
      </c>
      <c r="Q96" s="2"/>
      <c r="R96" s="3">
        <f>Input!M98</f>
        <v>0</v>
      </c>
      <c r="S96" s="3">
        <f>Input!N98</f>
        <v>0</v>
      </c>
      <c r="T96" s="3">
        <f t="shared" si="24"/>
        <v>187</v>
      </c>
      <c r="U96" s="3" t="str">
        <f t="shared" si="25"/>
        <v>00</v>
      </c>
      <c r="V96" s="7">
        <f t="shared" si="26"/>
        <v>0</v>
      </c>
      <c r="W96" s="6">
        <f t="shared" si="27"/>
        <v>0</v>
      </c>
      <c r="X96" s="7">
        <f t="shared" si="33"/>
        <v>0</v>
      </c>
      <c r="Y96" s="7">
        <f t="shared" si="28"/>
        <v>0</v>
      </c>
      <c r="Z96" s="7">
        <f t="shared" si="29"/>
        <v>0</v>
      </c>
      <c r="AA96" s="7">
        <f t="shared" si="30"/>
        <v>0</v>
      </c>
      <c r="AB96" s="7">
        <f t="shared" si="31"/>
        <v>0</v>
      </c>
      <c r="AC96" s="7">
        <f t="shared" si="32"/>
        <v>0</v>
      </c>
      <c r="AD96" s="7" t="e">
        <f t="shared" si="17"/>
        <v>#DIV/0!</v>
      </c>
    </row>
    <row r="97" spans="1:30" x14ac:dyDescent="0.25">
      <c r="A97" s="3">
        <f>Input!A99</f>
        <v>0</v>
      </c>
      <c r="B97" s="7">
        <f>Input!B99</f>
        <v>0</v>
      </c>
      <c r="C97" s="7">
        <f t="shared" si="18"/>
        <v>0</v>
      </c>
      <c r="D97" s="7">
        <f t="shared" si="19"/>
        <v>0</v>
      </c>
      <c r="E97" s="2"/>
      <c r="F97" s="3">
        <f>Input!D99</f>
        <v>0</v>
      </c>
      <c r="G97" s="3">
        <f>Input!E99</f>
        <v>0</v>
      </c>
      <c r="H97" s="3" t="str">
        <f t="shared" si="20"/>
        <v>00</v>
      </c>
      <c r="I97" s="7">
        <f>Input!G99</f>
        <v>0</v>
      </c>
      <c r="J97" s="7">
        <f t="shared" si="21"/>
        <v>0</v>
      </c>
      <c r="K97" s="7">
        <f t="shared" si="22"/>
        <v>0</v>
      </c>
      <c r="L97" s="7" t="e">
        <f t="shared" si="23"/>
        <v>#DIV/0!</v>
      </c>
      <c r="M97" s="2"/>
      <c r="N97" s="3">
        <f>Input!I99</f>
        <v>0</v>
      </c>
      <c r="O97" s="7">
        <f>Input!J99</f>
        <v>0</v>
      </c>
      <c r="P97" s="6">
        <f>Input!K99</f>
        <v>0</v>
      </c>
      <c r="Q97" s="2"/>
      <c r="R97" s="3">
        <f>Input!M99</f>
        <v>0</v>
      </c>
      <c r="S97" s="3">
        <f>Input!N99</f>
        <v>0</v>
      </c>
      <c r="T97" s="3">
        <f t="shared" si="24"/>
        <v>187</v>
      </c>
      <c r="U97" s="3" t="str">
        <f t="shared" si="25"/>
        <v>00</v>
      </c>
      <c r="V97" s="7">
        <f t="shared" si="26"/>
        <v>0</v>
      </c>
      <c r="W97" s="6">
        <f t="shared" si="27"/>
        <v>0</v>
      </c>
      <c r="X97" s="7">
        <f t="shared" si="33"/>
        <v>0</v>
      </c>
      <c r="Y97" s="7">
        <f t="shared" si="28"/>
        <v>0</v>
      </c>
      <c r="Z97" s="7">
        <f t="shared" si="29"/>
        <v>0</v>
      </c>
      <c r="AA97" s="7">
        <f t="shared" si="30"/>
        <v>0</v>
      </c>
      <c r="AB97" s="7">
        <f t="shared" si="31"/>
        <v>0</v>
      </c>
      <c r="AC97" s="7">
        <f t="shared" si="32"/>
        <v>0</v>
      </c>
      <c r="AD97" s="7" t="e">
        <f t="shared" si="17"/>
        <v>#DIV/0!</v>
      </c>
    </row>
    <row r="98" spans="1:30" x14ac:dyDescent="0.25">
      <c r="A98" s="3">
        <f>Input!A100</f>
        <v>0</v>
      </c>
      <c r="B98" s="7">
        <f>Input!B100</f>
        <v>0</v>
      </c>
      <c r="C98" s="7">
        <f t="shared" si="18"/>
        <v>0</v>
      </c>
      <c r="D98" s="7">
        <f t="shared" si="19"/>
        <v>0</v>
      </c>
      <c r="E98" s="2"/>
      <c r="F98" s="3">
        <f>Input!D100</f>
        <v>0</v>
      </c>
      <c r="G98" s="3">
        <f>Input!E100</f>
        <v>0</v>
      </c>
      <c r="H98" s="3" t="str">
        <f t="shared" si="20"/>
        <v>00</v>
      </c>
      <c r="I98" s="7">
        <f>Input!G100</f>
        <v>0</v>
      </c>
      <c r="J98" s="7">
        <f t="shared" si="21"/>
        <v>0</v>
      </c>
      <c r="K98" s="7">
        <f t="shared" si="22"/>
        <v>0</v>
      </c>
      <c r="L98" s="7" t="e">
        <f t="shared" si="23"/>
        <v>#DIV/0!</v>
      </c>
      <c r="M98" s="2"/>
      <c r="N98" s="3">
        <f>Input!I100</f>
        <v>0</v>
      </c>
      <c r="O98" s="7">
        <f>Input!J100</f>
        <v>0</v>
      </c>
      <c r="P98" s="6">
        <f>Input!K100</f>
        <v>0</v>
      </c>
      <c r="Q98" s="2"/>
      <c r="R98" s="3">
        <f>Input!M100</f>
        <v>0</v>
      </c>
      <c r="S98" s="3">
        <f>Input!N100</f>
        <v>0</v>
      </c>
      <c r="T98" s="3">
        <f t="shared" si="24"/>
        <v>187</v>
      </c>
      <c r="U98" s="3" t="str">
        <f t="shared" si="25"/>
        <v>00</v>
      </c>
      <c r="V98" s="7">
        <f t="shared" si="26"/>
        <v>0</v>
      </c>
      <c r="W98" s="6">
        <f t="shared" si="27"/>
        <v>0</v>
      </c>
      <c r="X98" s="7">
        <f t="shared" si="33"/>
        <v>0</v>
      </c>
      <c r="Y98" s="7">
        <f t="shared" si="28"/>
        <v>0</v>
      </c>
      <c r="Z98" s="7">
        <f t="shared" si="29"/>
        <v>0</v>
      </c>
      <c r="AA98" s="7">
        <f t="shared" si="30"/>
        <v>0</v>
      </c>
      <c r="AB98" s="7">
        <f t="shared" si="31"/>
        <v>0</v>
      </c>
      <c r="AC98" s="7">
        <f t="shared" si="32"/>
        <v>0</v>
      </c>
      <c r="AD98" s="7" t="e">
        <f t="shared" si="17"/>
        <v>#DIV/0!</v>
      </c>
    </row>
    <row r="99" spans="1:30" x14ac:dyDescent="0.25">
      <c r="A99" s="3">
        <f>Input!A101</f>
        <v>0</v>
      </c>
      <c r="B99" s="7">
        <f>Input!B101</f>
        <v>0</v>
      </c>
      <c r="C99" s="7">
        <f t="shared" si="18"/>
        <v>0</v>
      </c>
      <c r="D99" s="7">
        <f t="shared" si="19"/>
        <v>0</v>
      </c>
      <c r="E99" s="2"/>
      <c r="F99" s="3">
        <f>Input!D101</f>
        <v>0</v>
      </c>
      <c r="G99" s="3">
        <f>Input!E101</f>
        <v>0</v>
      </c>
      <c r="H99" s="3" t="str">
        <f t="shared" si="20"/>
        <v>00</v>
      </c>
      <c r="I99" s="7">
        <f>Input!G101</f>
        <v>0</v>
      </c>
      <c r="J99" s="7">
        <f t="shared" si="21"/>
        <v>0</v>
      </c>
      <c r="K99" s="7">
        <f t="shared" si="22"/>
        <v>0</v>
      </c>
      <c r="L99" s="7" t="e">
        <f t="shared" si="23"/>
        <v>#DIV/0!</v>
      </c>
      <c r="M99" s="2"/>
      <c r="N99" s="3">
        <f>Input!I101</f>
        <v>0</v>
      </c>
      <c r="O99" s="7">
        <f>Input!J101</f>
        <v>0</v>
      </c>
      <c r="P99" s="6">
        <f>Input!K101</f>
        <v>0</v>
      </c>
      <c r="Q99" s="2"/>
      <c r="R99" s="3">
        <f>Input!M101</f>
        <v>0</v>
      </c>
      <c r="S99" s="3">
        <f>Input!N101</f>
        <v>0</v>
      </c>
      <c r="T99" s="3">
        <f t="shared" si="24"/>
        <v>187</v>
      </c>
      <c r="U99" s="3" t="str">
        <f t="shared" si="25"/>
        <v>00</v>
      </c>
      <c r="V99" s="7">
        <f t="shared" si="26"/>
        <v>0</v>
      </c>
      <c r="W99" s="6">
        <f t="shared" si="27"/>
        <v>0</v>
      </c>
      <c r="X99" s="7">
        <f t="shared" si="33"/>
        <v>0</v>
      </c>
      <c r="Y99" s="7">
        <f t="shared" si="28"/>
        <v>0</v>
      </c>
      <c r="Z99" s="7">
        <f t="shared" si="29"/>
        <v>0</v>
      </c>
      <c r="AA99" s="7">
        <f t="shared" si="30"/>
        <v>0</v>
      </c>
      <c r="AB99" s="7">
        <f t="shared" si="31"/>
        <v>0</v>
      </c>
      <c r="AC99" s="7">
        <f t="shared" si="32"/>
        <v>0</v>
      </c>
      <c r="AD99" s="7" t="e">
        <f t="shared" si="17"/>
        <v>#DIV/0!</v>
      </c>
    </row>
    <row r="100" spans="1:30" x14ac:dyDescent="0.25">
      <c r="A100" s="3">
        <f>Input!A102</f>
        <v>0</v>
      </c>
      <c r="B100" s="7">
        <f>Input!B102</f>
        <v>0</v>
      </c>
      <c r="C100" s="7">
        <f t="shared" si="18"/>
        <v>0</v>
      </c>
      <c r="D100" s="7">
        <f t="shared" si="19"/>
        <v>0</v>
      </c>
      <c r="E100" s="2"/>
      <c r="F100" s="3">
        <f>Input!D102</f>
        <v>0</v>
      </c>
      <c r="G100" s="3">
        <f>Input!E102</f>
        <v>0</v>
      </c>
      <c r="H100" s="3" t="str">
        <f t="shared" si="20"/>
        <v>00</v>
      </c>
      <c r="I100" s="7">
        <f>Input!G102</f>
        <v>0</v>
      </c>
      <c r="J100" s="7">
        <f t="shared" si="21"/>
        <v>0</v>
      </c>
      <c r="K100" s="7">
        <f t="shared" si="22"/>
        <v>0</v>
      </c>
      <c r="L100" s="7" t="e">
        <f t="shared" si="23"/>
        <v>#DIV/0!</v>
      </c>
      <c r="M100" s="2"/>
      <c r="N100" s="3">
        <f>Input!I102</f>
        <v>0</v>
      </c>
      <c r="O100" s="7">
        <f>Input!J102</f>
        <v>0</v>
      </c>
      <c r="P100" s="6">
        <f>Input!K102</f>
        <v>0</v>
      </c>
      <c r="Q100" s="2"/>
      <c r="R100" s="3">
        <f>Input!M102</f>
        <v>0</v>
      </c>
      <c r="S100" s="3">
        <f>Input!N102</f>
        <v>0</v>
      </c>
      <c r="T100" s="3">
        <f t="shared" si="24"/>
        <v>187</v>
      </c>
      <c r="U100" s="3" t="str">
        <f t="shared" si="25"/>
        <v>00</v>
      </c>
      <c r="V100" s="7">
        <f t="shared" si="26"/>
        <v>0</v>
      </c>
      <c r="W100" s="6">
        <f t="shared" si="27"/>
        <v>0</v>
      </c>
      <c r="X100" s="7">
        <f t="shared" si="33"/>
        <v>0</v>
      </c>
      <c r="Y100" s="7">
        <f t="shared" si="28"/>
        <v>0</v>
      </c>
      <c r="Z100" s="7">
        <f t="shared" si="29"/>
        <v>0</v>
      </c>
      <c r="AA100" s="7">
        <f t="shared" si="30"/>
        <v>0</v>
      </c>
      <c r="AB100" s="7">
        <f t="shared" si="31"/>
        <v>0</v>
      </c>
      <c r="AC100" s="7">
        <f t="shared" si="32"/>
        <v>0</v>
      </c>
      <c r="AD100" s="7" t="e">
        <f t="shared" si="17"/>
        <v>#DIV/0!</v>
      </c>
    </row>
    <row r="101" spans="1:30" x14ac:dyDescent="0.25">
      <c r="A101" s="3">
        <f>Input!A103</f>
        <v>0</v>
      </c>
      <c r="B101" s="7">
        <f>Input!B103</f>
        <v>0</v>
      </c>
      <c r="C101" s="7">
        <f t="shared" si="18"/>
        <v>0</v>
      </c>
      <c r="D101" s="7">
        <f t="shared" si="19"/>
        <v>0</v>
      </c>
      <c r="E101" s="2"/>
      <c r="F101" s="3">
        <f>Input!D103</f>
        <v>0</v>
      </c>
      <c r="G101" s="3">
        <f>Input!E103</f>
        <v>0</v>
      </c>
      <c r="H101" s="3" t="str">
        <f t="shared" si="20"/>
        <v>00</v>
      </c>
      <c r="I101" s="7">
        <f>Input!G103</f>
        <v>0</v>
      </c>
      <c r="J101" s="7">
        <f t="shared" si="21"/>
        <v>0</v>
      </c>
      <c r="K101" s="7">
        <f t="shared" si="22"/>
        <v>0</v>
      </c>
      <c r="L101" s="7" t="e">
        <f t="shared" si="23"/>
        <v>#DIV/0!</v>
      </c>
      <c r="M101" s="2"/>
      <c r="N101" s="3">
        <f>Input!I103</f>
        <v>0</v>
      </c>
      <c r="O101" s="7">
        <f>Input!J103</f>
        <v>0</v>
      </c>
      <c r="P101" s="6">
        <f>Input!K103</f>
        <v>0</v>
      </c>
      <c r="Q101" s="2"/>
      <c r="R101" s="3">
        <f>Input!M103</f>
        <v>0</v>
      </c>
      <c r="S101" s="3">
        <f>Input!N103</f>
        <v>0</v>
      </c>
      <c r="T101" s="3">
        <f t="shared" si="24"/>
        <v>187</v>
      </c>
      <c r="U101" s="3" t="str">
        <f t="shared" si="25"/>
        <v>00</v>
      </c>
      <c r="V101" s="7">
        <f t="shared" si="26"/>
        <v>0</v>
      </c>
      <c r="W101" s="6">
        <f t="shared" si="27"/>
        <v>0</v>
      </c>
      <c r="X101" s="7">
        <f t="shared" si="33"/>
        <v>0</v>
      </c>
      <c r="Y101" s="7">
        <f t="shared" si="28"/>
        <v>0</v>
      </c>
      <c r="Z101" s="7">
        <f t="shared" si="29"/>
        <v>0</v>
      </c>
      <c r="AA101" s="7">
        <f t="shared" si="30"/>
        <v>0</v>
      </c>
      <c r="AB101" s="7">
        <f t="shared" si="31"/>
        <v>0</v>
      </c>
      <c r="AC101" s="7">
        <f t="shared" si="32"/>
        <v>0</v>
      </c>
      <c r="AD101" s="7" t="e">
        <f t="shared" si="17"/>
        <v>#DIV/0!</v>
      </c>
    </row>
    <row r="102" spans="1:30" x14ac:dyDescent="0.25">
      <c r="A102" s="3">
        <f>Input!A104</f>
        <v>0</v>
      </c>
      <c r="B102" s="7">
        <f>Input!B104</f>
        <v>0</v>
      </c>
      <c r="C102" s="7">
        <f t="shared" si="18"/>
        <v>0</v>
      </c>
      <c r="D102" s="7">
        <f t="shared" si="19"/>
        <v>0</v>
      </c>
      <c r="E102" s="2"/>
      <c r="F102" s="3">
        <f>Input!D104</f>
        <v>0</v>
      </c>
      <c r="G102" s="3">
        <f>Input!E104</f>
        <v>0</v>
      </c>
      <c r="H102" s="3" t="str">
        <f t="shared" si="20"/>
        <v>00</v>
      </c>
      <c r="I102" s="7">
        <f>Input!G104</f>
        <v>0</v>
      </c>
      <c r="J102" s="7">
        <f t="shared" si="21"/>
        <v>0</v>
      </c>
      <c r="K102" s="7">
        <f t="shared" si="22"/>
        <v>0</v>
      </c>
      <c r="L102" s="7" t="e">
        <f t="shared" si="23"/>
        <v>#DIV/0!</v>
      </c>
      <c r="M102" s="2"/>
      <c r="N102" s="3">
        <f>Input!I104</f>
        <v>0</v>
      </c>
      <c r="O102" s="7">
        <f>Input!J104</f>
        <v>0</v>
      </c>
      <c r="P102" s="6">
        <f>Input!K104</f>
        <v>0</v>
      </c>
      <c r="Q102" s="2"/>
      <c r="R102" s="3">
        <f>Input!M104</f>
        <v>0</v>
      </c>
      <c r="S102" s="3">
        <f>Input!N104</f>
        <v>0</v>
      </c>
      <c r="T102" s="3">
        <f t="shared" si="24"/>
        <v>187</v>
      </c>
      <c r="U102" s="3" t="str">
        <f t="shared" si="25"/>
        <v>00</v>
      </c>
      <c r="V102" s="7">
        <f t="shared" si="26"/>
        <v>0</v>
      </c>
      <c r="W102" s="6">
        <f t="shared" si="27"/>
        <v>0</v>
      </c>
      <c r="X102" s="7">
        <f t="shared" si="33"/>
        <v>0</v>
      </c>
      <c r="Y102" s="7">
        <f t="shared" si="28"/>
        <v>0</v>
      </c>
      <c r="Z102" s="7">
        <f t="shared" si="29"/>
        <v>0</v>
      </c>
      <c r="AA102" s="7">
        <f t="shared" si="30"/>
        <v>0</v>
      </c>
      <c r="AB102" s="7">
        <f t="shared" si="31"/>
        <v>0</v>
      </c>
      <c r="AC102" s="7">
        <f t="shared" si="32"/>
        <v>0</v>
      </c>
      <c r="AD102" s="7" t="e">
        <f t="shared" si="17"/>
        <v>#DIV/0!</v>
      </c>
    </row>
    <row r="103" spans="1:30" x14ac:dyDescent="0.25">
      <c r="A103" s="3">
        <f>Input!A105</f>
        <v>0</v>
      </c>
      <c r="B103" s="7">
        <f>Input!B105</f>
        <v>0</v>
      </c>
      <c r="C103" s="7">
        <f t="shared" si="18"/>
        <v>0</v>
      </c>
      <c r="D103" s="7">
        <f t="shared" si="19"/>
        <v>0</v>
      </c>
      <c r="E103" s="2"/>
      <c r="F103" s="3">
        <f>Input!D105</f>
        <v>0</v>
      </c>
      <c r="G103" s="3">
        <f>Input!E105</f>
        <v>0</v>
      </c>
      <c r="H103" s="3" t="str">
        <f t="shared" si="20"/>
        <v>00</v>
      </c>
      <c r="I103" s="7">
        <f>Input!G105</f>
        <v>0</v>
      </c>
      <c r="J103" s="7">
        <f t="shared" si="21"/>
        <v>0</v>
      </c>
      <c r="K103" s="7">
        <f t="shared" si="22"/>
        <v>0</v>
      </c>
      <c r="L103" s="7" t="e">
        <f t="shared" si="23"/>
        <v>#DIV/0!</v>
      </c>
      <c r="M103" s="2"/>
      <c r="N103" s="3">
        <f>Input!I105</f>
        <v>0</v>
      </c>
      <c r="O103" s="7">
        <f>Input!J105</f>
        <v>0</v>
      </c>
      <c r="P103" s="6">
        <f>Input!K105</f>
        <v>0</v>
      </c>
      <c r="Q103" s="2"/>
      <c r="R103" s="3">
        <f>Input!M105</f>
        <v>0</v>
      </c>
      <c r="S103" s="3">
        <f>Input!N105</f>
        <v>0</v>
      </c>
      <c r="T103" s="3">
        <f t="shared" si="24"/>
        <v>187</v>
      </c>
      <c r="U103" s="3" t="str">
        <f t="shared" si="25"/>
        <v>00</v>
      </c>
      <c r="V103" s="7">
        <f t="shared" si="26"/>
        <v>0</v>
      </c>
      <c r="W103" s="6">
        <f t="shared" si="27"/>
        <v>0</v>
      </c>
      <c r="X103" s="7">
        <f t="shared" si="33"/>
        <v>0</v>
      </c>
      <c r="Y103" s="7">
        <f t="shared" si="28"/>
        <v>0</v>
      </c>
      <c r="Z103" s="7">
        <f t="shared" si="29"/>
        <v>0</v>
      </c>
      <c r="AA103" s="7">
        <f t="shared" si="30"/>
        <v>0</v>
      </c>
      <c r="AB103" s="7">
        <f t="shared" si="31"/>
        <v>0</v>
      </c>
      <c r="AC103" s="7">
        <f t="shared" si="32"/>
        <v>0</v>
      </c>
      <c r="AD103" s="7" t="e">
        <f t="shared" si="17"/>
        <v>#DIV/0!</v>
      </c>
    </row>
    <row r="104" spans="1:30" x14ac:dyDescent="0.25">
      <c r="A104" s="3">
        <f>Input!A106</f>
        <v>0</v>
      </c>
      <c r="B104" s="7">
        <f>Input!B106</f>
        <v>0</v>
      </c>
      <c r="C104" s="7">
        <f t="shared" si="18"/>
        <v>0</v>
      </c>
      <c r="D104" s="7">
        <f t="shared" si="19"/>
        <v>0</v>
      </c>
      <c r="E104" s="2"/>
      <c r="F104" s="3">
        <f>Input!D106</f>
        <v>0</v>
      </c>
      <c r="G104" s="3">
        <f>Input!E106</f>
        <v>0</v>
      </c>
      <c r="H104" s="3" t="str">
        <f t="shared" si="20"/>
        <v>00</v>
      </c>
      <c r="I104" s="7">
        <f>Input!G106</f>
        <v>0</v>
      </c>
      <c r="J104" s="7">
        <f t="shared" si="21"/>
        <v>0</v>
      </c>
      <c r="K104" s="7">
        <f t="shared" si="22"/>
        <v>0</v>
      </c>
      <c r="L104" s="7" t="e">
        <f t="shared" si="23"/>
        <v>#DIV/0!</v>
      </c>
      <c r="M104" s="2"/>
      <c r="N104" s="3">
        <f>Input!I106</f>
        <v>0</v>
      </c>
      <c r="O104" s="7">
        <f>Input!J106</f>
        <v>0</v>
      </c>
      <c r="P104" s="6">
        <f>Input!K106</f>
        <v>0</v>
      </c>
      <c r="Q104" s="2"/>
      <c r="R104" s="3">
        <f>Input!M106</f>
        <v>0</v>
      </c>
      <c r="S104" s="3">
        <f>Input!N106</f>
        <v>0</v>
      </c>
      <c r="T104" s="3">
        <f t="shared" si="24"/>
        <v>187</v>
      </c>
      <c r="U104" s="3" t="str">
        <f t="shared" si="25"/>
        <v>00</v>
      </c>
      <c r="V104" s="7">
        <f t="shared" si="26"/>
        <v>0</v>
      </c>
      <c r="W104" s="6">
        <f t="shared" si="27"/>
        <v>0</v>
      </c>
      <c r="X104" s="7">
        <f t="shared" si="33"/>
        <v>0</v>
      </c>
      <c r="Y104" s="7">
        <f t="shared" si="28"/>
        <v>0</v>
      </c>
      <c r="Z104" s="7">
        <f t="shared" si="29"/>
        <v>0</v>
      </c>
      <c r="AA104" s="7">
        <f t="shared" si="30"/>
        <v>0</v>
      </c>
      <c r="AB104" s="7">
        <f t="shared" si="31"/>
        <v>0</v>
      </c>
      <c r="AC104" s="7">
        <f t="shared" si="32"/>
        <v>0</v>
      </c>
      <c r="AD104" s="7" t="e">
        <f t="shared" si="17"/>
        <v>#DIV/0!</v>
      </c>
    </row>
    <row r="105" spans="1:30" x14ac:dyDescent="0.25">
      <c r="A105" s="3">
        <f>Input!A107</f>
        <v>0</v>
      </c>
      <c r="B105" s="7">
        <f>Input!B107</f>
        <v>0</v>
      </c>
      <c r="C105" s="7">
        <f t="shared" si="18"/>
        <v>0</v>
      </c>
      <c r="D105" s="7">
        <f t="shared" si="19"/>
        <v>0</v>
      </c>
      <c r="E105" s="2"/>
      <c r="F105" s="3">
        <f>Input!D107</f>
        <v>0</v>
      </c>
      <c r="G105" s="3">
        <f>Input!E107</f>
        <v>0</v>
      </c>
      <c r="H105" s="3" t="str">
        <f t="shared" si="20"/>
        <v>00</v>
      </c>
      <c r="I105" s="7">
        <f>Input!G107</f>
        <v>0</v>
      </c>
      <c r="J105" s="7">
        <f t="shared" si="21"/>
        <v>0</v>
      </c>
      <c r="K105" s="7">
        <f t="shared" si="22"/>
        <v>0</v>
      </c>
      <c r="L105" s="7" t="e">
        <f t="shared" si="23"/>
        <v>#DIV/0!</v>
      </c>
      <c r="M105" s="2"/>
      <c r="N105" s="3">
        <f>Input!I107</f>
        <v>0</v>
      </c>
      <c r="O105" s="7">
        <f>Input!J107</f>
        <v>0</v>
      </c>
      <c r="P105" s="6">
        <f>Input!K107</f>
        <v>0</v>
      </c>
      <c r="Q105" s="2"/>
      <c r="R105" s="3">
        <f>Input!M107</f>
        <v>0</v>
      </c>
      <c r="S105" s="3">
        <f>Input!N107</f>
        <v>0</v>
      </c>
      <c r="T105" s="3">
        <f t="shared" si="24"/>
        <v>187</v>
      </c>
      <c r="U105" s="3" t="str">
        <f t="shared" si="25"/>
        <v>00</v>
      </c>
      <c r="V105" s="7">
        <f t="shared" si="26"/>
        <v>0</v>
      </c>
      <c r="W105" s="6">
        <f t="shared" si="27"/>
        <v>0</v>
      </c>
      <c r="X105" s="7">
        <f t="shared" si="33"/>
        <v>0</v>
      </c>
      <c r="Y105" s="7">
        <f t="shared" si="28"/>
        <v>0</v>
      </c>
      <c r="Z105" s="7">
        <f t="shared" si="29"/>
        <v>0</v>
      </c>
      <c r="AA105" s="7">
        <f t="shared" si="30"/>
        <v>0</v>
      </c>
      <c r="AB105" s="7">
        <f t="shared" si="31"/>
        <v>0</v>
      </c>
      <c r="AC105" s="7">
        <f t="shared" si="32"/>
        <v>0</v>
      </c>
      <c r="AD105" s="7" t="e">
        <f t="shared" si="17"/>
        <v>#DIV/0!</v>
      </c>
    </row>
    <row r="106" spans="1:30" x14ac:dyDescent="0.25">
      <c r="A106" s="3">
        <f>Input!A108</f>
        <v>0</v>
      </c>
      <c r="B106" s="7">
        <f>Input!B108</f>
        <v>0</v>
      </c>
      <c r="C106" s="7">
        <f t="shared" si="18"/>
        <v>0</v>
      </c>
      <c r="D106" s="7">
        <f t="shared" si="19"/>
        <v>0</v>
      </c>
      <c r="E106" s="2"/>
      <c r="F106" s="3">
        <f>Input!D108</f>
        <v>0</v>
      </c>
      <c r="G106" s="3">
        <f>Input!E108</f>
        <v>0</v>
      </c>
      <c r="H106" s="3" t="str">
        <f t="shared" si="20"/>
        <v>00</v>
      </c>
      <c r="I106" s="7">
        <f>Input!G108</f>
        <v>0</v>
      </c>
      <c r="J106" s="7">
        <f t="shared" si="21"/>
        <v>0</v>
      </c>
      <c r="K106" s="7">
        <f t="shared" si="22"/>
        <v>0</v>
      </c>
      <c r="L106" s="7" t="e">
        <f t="shared" si="23"/>
        <v>#DIV/0!</v>
      </c>
      <c r="M106" s="2"/>
      <c r="N106" s="3">
        <f>Input!I108</f>
        <v>0</v>
      </c>
      <c r="O106" s="7">
        <f>Input!J108</f>
        <v>0</v>
      </c>
      <c r="P106" s="6">
        <f>Input!K108</f>
        <v>0</v>
      </c>
      <c r="Q106" s="2"/>
      <c r="R106" s="3">
        <f>Input!M108</f>
        <v>0</v>
      </c>
      <c r="S106" s="3">
        <f>Input!N108</f>
        <v>0</v>
      </c>
      <c r="T106" s="3">
        <f t="shared" si="24"/>
        <v>187</v>
      </c>
      <c r="U106" s="3" t="str">
        <f t="shared" si="25"/>
        <v>00</v>
      </c>
      <c r="V106" s="7">
        <f t="shared" si="26"/>
        <v>0</v>
      </c>
      <c r="W106" s="6">
        <f t="shared" si="27"/>
        <v>0</v>
      </c>
      <c r="X106" s="7">
        <f t="shared" si="33"/>
        <v>0</v>
      </c>
      <c r="Y106" s="7">
        <f t="shared" si="28"/>
        <v>0</v>
      </c>
      <c r="Z106" s="7">
        <f t="shared" si="29"/>
        <v>0</v>
      </c>
      <c r="AA106" s="7">
        <f t="shared" si="30"/>
        <v>0</v>
      </c>
      <c r="AB106" s="7">
        <f t="shared" si="31"/>
        <v>0</v>
      </c>
      <c r="AC106" s="7">
        <f t="shared" si="32"/>
        <v>0</v>
      </c>
      <c r="AD106" s="7" t="e">
        <f t="shared" si="17"/>
        <v>#DIV/0!</v>
      </c>
    </row>
    <row r="107" spans="1:30" x14ac:dyDescent="0.25">
      <c r="A107" s="3">
        <f>Input!A109</f>
        <v>0</v>
      </c>
      <c r="B107" s="7">
        <f>Input!B109</f>
        <v>0</v>
      </c>
      <c r="C107" s="7">
        <f t="shared" si="18"/>
        <v>0</v>
      </c>
      <c r="D107" s="7">
        <f t="shared" si="19"/>
        <v>0</v>
      </c>
      <c r="E107" s="2"/>
      <c r="F107" s="3">
        <f>Input!D109</f>
        <v>0</v>
      </c>
      <c r="G107" s="3">
        <f>Input!E109</f>
        <v>0</v>
      </c>
      <c r="H107" s="3" t="str">
        <f t="shared" si="20"/>
        <v>00</v>
      </c>
      <c r="I107" s="7">
        <f>Input!G109</f>
        <v>0</v>
      </c>
      <c r="J107" s="7">
        <f t="shared" si="21"/>
        <v>0</v>
      </c>
      <c r="K107" s="7">
        <f t="shared" si="22"/>
        <v>0</v>
      </c>
      <c r="L107" s="7" t="e">
        <f t="shared" si="23"/>
        <v>#DIV/0!</v>
      </c>
      <c r="M107" s="2"/>
      <c r="N107" s="3">
        <f>Input!I109</f>
        <v>0</v>
      </c>
      <c r="O107" s="7">
        <f>Input!J109</f>
        <v>0</v>
      </c>
      <c r="P107" s="6">
        <f>Input!K109</f>
        <v>0</v>
      </c>
      <c r="Q107" s="2"/>
      <c r="R107" s="3">
        <f>Input!M109</f>
        <v>0</v>
      </c>
      <c r="S107" s="3">
        <f>Input!N109</f>
        <v>0</v>
      </c>
      <c r="T107" s="3">
        <f t="shared" si="24"/>
        <v>187</v>
      </c>
      <c r="U107" s="3" t="str">
        <f t="shared" si="25"/>
        <v>00</v>
      </c>
      <c r="V107" s="7">
        <f t="shared" si="26"/>
        <v>0</v>
      </c>
      <c r="W107" s="6">
        <f t="shared" si="27"/>
        <v>0</v>
      </c>
      <c r="X107" s="7">
        <f t="shared" si="33"/>
        <v>0</v>
      </c>
      <c r="Y107" s="7">
        <f t="shared" si="28"/>
        <v>0</v>
      </c>
      <c r="Z107" s="7">
        <f t="shared" si="29"/>
        <v>0</v>
      </c>
      <c r="AA107" s="7">
        <f t="shared" si="30"/>
        <v>0</v>
      </c>
      <c r="AB107" s="7">
        <f t="shared" si="31"/>
        <v>0</v>
      </c>
      <c r="AC107" s="7">
        <f t="shared" si="32"/>
        <v>0</v>
      </c>
      <c r="AD107" s="7" t="e">
        <f t="shared" si="17"/>
        <v>#DIV/0!</v>
      </c>
    </row>
    <row r="108" spans="1:30" x14ac:dyDescent="0.25">
      <c r="A108" s="3">
        <f>Input!A110</f>
        <v>0</v>
      </c>
      <c r="B108" s="7">
        <f>Input!B110</f>
        <v>0</v>
      </c>
      <c r="C108" s="7">
        <f t="shared" si="18"/>
        <v>0</v>
      </c>
      <c r="D108" s="7">
        <f t="shared" si="19"/>
        <v>0</v>
      </c>
      <c r="E108" s="2"/>
      <c r="F108" s="3">
        <f>Input!D110</f>
        <v>0</v>
      </c>
      <c r="G108" s="3">
        <f>Input!E110</f>
        <v>0</v>
      </c>
      <c r="H108" s="3" t="str">
        <f t="shared" si="20"/>
        <v>00</v>
      </c>
      <c r="I108" s="7">
        <f>Input!G110</f>
        <v>0</v>
      </c>
      <c r="J108" s="7">
        <f t="shared" si="21"/>
        <v>0</v>
      </c>
      <c r="K108" s="7">
        <f t="shared" si="22"/>
        <v>0</v>
      </c>
      <c r="L108" s="7" t="e">
        <f t="shared" si="23"/>
        <v>#DIV/0!</v>
      </c>
      <c r="M108" s="2"/>
      <c r="N108" s="3">
        <f>Input!I110</f>
        <v>0</v>
      </c>
      <c r="O108" s="7">
        <f>Input!J110</f>
        <v>0</v>
      </c>
      <c r="P108" s="6">
        <f>Input!K110</f>
        <v>0</v>
      </c>
      <c r="Q108" s="2"/>
      <c r="R108" s="3">
        <f>Input!M110</f>
        <v>0</v>
      </c>
      <c r="S108" s="3">
        <f>Input!N110</f>
        <v>0</v>
      </c>
      <c r="T108" s="3">
        <f t="shared" si="24"/>
        <v>187</v>
      </c>
      <c r="U108" s="3" t="str">
        <f t="shared" si="25"/>
        <v>00</v>
      </c>
      <c r="V108" s="7">
        <f t="shared" si="26"/>
        <v>0</v>
      </c>
      <c r="W108" s="6">
        <f t="shared" si="27"/>
        <v>0</v>
      </c>
      <c r="X108" s="7">
        <f t="shared" si="33"/>
        <v>0</v>
      </c>
      <c r="Y108" s="7">
        <f t="shared" si="28"/>
        <v>0</v>
      </c>
      <c r="Z108" s="7">
        <f t="shared" si="29"/>
        <v>0</v>
      </c>
      <c r="AA108" s="7">
        <f t="shared" si="30"/>
        <v>0</v>
      </c>
      <c r="AB108" s="7">
        <f t="shared" si="31"/>
        <v>0</v>
      </c>
      <c r="AC108" s="7">
        <f t="shared" si="32"/>
        <v>0</v>
      </c>
      <c r="AD108" s="7" t="e">
        <f t="shared" si="17"/>
        <v>#DIV/0!</v>
      </c>
    </row>
    <row r="109" spans="1:30" x14ac:dyDescent="0.25">
      <c r="A109" s="3">
        <f>Input!A111</f>
        <v>0</v>
      </c>
      <c r="B109" s="7">
        <f>Input!B111</f>
        <v>0</v>
      </c>
      <c r="C109" s="7">
        <f t="shared" si="18"/>
        <v>0</v>
      </c>
      <c r="D109" s="7">
        <f t="shared" si="19"/>
        <v>0</v>
      </c>
      <c r="E109" s="2"/>
      <c r="F109" s="3">
        <f>Input!D111</f>
        <v>0</v>
      </c>
      <c r="G109" s="3">
        <f>Input!E111</f>
        <v>0</v>
      </c>
      <c r="H109" s="3" t="str">
        <f t="shared" si="20"/>
        <v>00</v>
      </c>
      <c r="I109" s="7">
        <f>Input!G111</f>
        <v>0</v>
      </c>
      <c r="J109" s="7">
        <f t="shared" si="21"/>
        <v>0</v>
      </c>
      <c r="K109" s="7">
        <f t="shared" si="22"/>
        <v>0</v>
      </c>
      <c r="L109" s="7" t="e">
        <f t="shared" si="23"/>
        <v>#DIV/0!</v>
      </c>
      <c r="M109" s="2"/>
      <c r="N109" s="3">
        <f>Input!I111</f>
        <v>0</v>
      </c>
      <c r="O109" s="7">
        <f>Input!J111</f>
        <v>0</v>
      </c>
      <c r="P109" s="6">
        <f>Input!K111</f>
        <v>0</v>
      </c>
      <c r="Q109" s="2"/>
      <c r="R109" s="3">
        <f>Input!M111</f>
        <v>0</v>
      </c>
      <c r="S109" s="3">
        <f>Input!N111</f>
        <v>0</v>
      </c>
      <c r="T109" s="3">
        <f t="shared" si="24"/>
        <v>187</v>
      </c>
      <c r="U109" s="3" t="str">
        <f t="shared" si="25"/>
        <v>00</v>
      </c>
      <c r="V109" s="7">
        <f t="shared" si="26"/>
        <v>0</v>
      </c>
      <c r="W109" s="6">
        <f t="shared" si="27"/>
        <v>0</v>
      </c>
      <c r="X109" s="7">
        <f t="shared" si="33"/>
        <v>0</v>
      </c>
      <c r="Y109" s="7">
        <f t="shared" si="28"/>
        <v>0</v>
      </c>
      <c r="Z109" s="7">
        <f t="shared" si="29"/>
        <v>0</v>
      </c>
      <c r="AA109" s="7">
        <f t="shared" si="30"/>
        <v>0</v>
      </c>
      <c r="AB109" s="7">
        <f t="shared" si="31"/>
        <v>0</v>
      </c>
      <c r="AC109" s="7">
        <f t="shared" si="32"/>
        <v>0</v>
      </c>
      <c r="AD109" s="7" t="e">
        <f t="shared" si="17"/>
        <v>#DIV/0!</v>
      </c>
    </row>
    <row r="110" spans="1:30" x14ac:dyDescent="0.25">
      <c r="A110" s="3">
        <f>Input!A112</f>
        <v>0</v>
      </c>
      <c r="B110" s="7">
        <f>Input!B112</f>
        <v>0</v>
      </c>
      <c r="C110" s="7">
        <f t="shared" si="18"/>
        <v>0</v>
      </c>
      <c r="D110" s="7">
        <f t="shared" si="19"/>
        <v>0</v>
      </c>
      <c r="E110" s="2"/>
      <c r="F110" s="3">
        <f>Input!D112</f>
        <v>0</v>
      </c>
      <c r="G110" s="3">
        <f>Input!E112</f>
        <v>0</v>
      </c>
      <c r="H110" s="3" t="str">
        <f t="shared" si="20"/>
        <v>00</v>
      </c>
      <c r="I110" s="7">
        <f>Input!G112</f>
        <v>0</v>
      </c>
      <c r="J110" s="7">
        <f t="shared" si="21"/>
        <v>0</v>
      </c>
      <c r="K110" s="7">
        <f t="shared" si="22"/>
        <v>0</v>
      </c>
      <c r="L110" s="7" t="e">
        <f t="shared" si="23"/>
        <v>#DIV/0!</v>
      </c>
      <c r="M110" s="2"/>
      <c r="N110" s="3">
        <f>Input!I112</f>
        <v>0</v>
      </c>
      <c r="O110" s="7">
        <f>Input!J112</f>
        <v>0</v>
      </c>
      <c r="P110" s="6">
        <f>Input!K112</f>
        <v>0</v>
      </c>
      <c r="Q110" s="2"/>
      <c r="R110" s="3">
        <f>Input!M112</f>
        <v>0</v>
      </c>
      <c r="S110" s="3">
        <f>Input!N112</f>
        <v>0</v>
      </c>
      <c r="T110" s="3">
        <f t="shared" si="24"/>
        <v>187</v>
      </c>
      <c r="U110" s="3" t="str">
        <f t="shared" si="25"/>
        <v>00</v>
      </c>
      <c r="V110" s="7">
        <f t="shared" si="26"/>
        <v>0</v>
      </c>
      <c r="W110" s="6">
        <f t="shared" si="27"/>
        <v>0</v>
      </c>
      <c r="X110" s="7">
        <f t="shared" si="33"/>
        <v>0</v>
      </c>
      <c r="Y110" s="7">
        <f t="shared" si="28"/>
        <v>0</v>
      </c>
      <c r="Z110" s="7">
        <f t="shared" si="29"/>
        <v>0</v>
      </c>
      <c r="AA110" s="7">
        <f t="shared" si="30"/>
        <v>0</v>
      </c>
      <c r="AB110" s="7">
        <f t="shared" si="31"/>
        <v>0</v>
      </c>
      <c r="AC110" s="7">
        <f t="shared" si="32"/>
        <v>0</v>
      </c>
      <c r="AD110" s="7" t="e">
        <f t="shared" si="17"/>
        <v>#DIV/0!</v>
      </c>
    </row>
    <row r="111" spans="1:30" x14ac:dyDescent="0.25">
      <c r="A111" s="3">
        <f>Input!A113</f>
        <v>0</v>
      </c>
      <c r="B111" s="7">
        <f>Input!B113</f>
        <v>0</v>
      </c>
      <c r="C111" s="7">
        <f t="shared" si="18"/>
        <v>0</v>
      </c>
      <c r="D111" s="7">
        <f t="shared" si="19"/>
        <v>0</v>
      </c>
      <c r="E111" s="2"/>
      <c r="F111" s="3">
        <f>Input!D113</f>
        <v>0</v>
      </c>
      <c r="G111" s="3">
        <f>Input!E113</f>
        <v>0</v>
      </c>
      <c r="H111" s="3" t="str">
        <f t="shared" si="20"/>
        <v>00</v>
      </c>
      <c r="I111" s="7">
        <f>Input!G113</f>
        <v>0</v>
      </c>
      <c r="J111" s="7">
        <f t="shared" si="21"/>
        <v>0</v>
      </c>
      <c r="K111" s="7">
        <f t="shared" si="22"/>
        <v>0</v>
      </c>
      <c r="L111" s="7" t="e">
        <f t="shared" si="23"/>
        <v>#DIV/0!</v>
      </c>
      <c r="M111" s="2"/>
      <c r="N111" s="3">
        <f>Input!I113</f>
        <v>0</v>
      </c>
      <c r="O111" s="7">
        <f>Input!J113</f>
        <v>0</v>
      </c>
      <c r="P111" s="6">
        <f>Input!K113</f>
        <v>0</v>
      </c>
      <c r="Q111" s="2"/>
      <c r="R111" s="3">
        <f>Input!M113</f>
        <v>0</v>
      </c>
      <c r="S111" s="3">
        <f>Input!N113</f>
        <v>0</v>
      </c>
      <c r="T111" s="3">
        <f t="shared" si="24"/>
        <v>187</v>
      </c>
      <c r="U111" s="3" t="str">
        <f t="shared" si="25"/>
        <v>00</v>
      </c>
      <c r="V111" s="7">
        <f t="shared" si="26"/>
        <v>0</v>
      </c>
      <c r="W111" s="6">
        <f t="shared" si="27"/>
        <v>0</v>
      </c>
      <c r="X111" s="7">
        <f t="shared" si="33"/>
        <v>0</v>
      </c>
      <c r="Y111" s="7">
        <f t="shared" si="28"/>
        <v>0</v>
      </c>
      <c r="Z111" s="7">
        <f t="shared" si="29"/>
        <v>0</v>
      </c>
      <c r="AA111" s="7">
        <f t="shared" si="30"/>
        <v>0</v>
      </c>
      <c r="AB111" s="7">
        <f t="shared" si="31"/>
        <v>0</v>
      </c>
      <c r="AC111" s="7">
        <f t="shared" si="32"/>
        <v>0</v>
      </c>
      <c r="AD111" s="7" t="e">
        <f t="shared" si="17"/>
        <v>#DIV/0!</v>
      </c>
    </row>
    <row r="112" spans="1:30" x14ac:dyDescent="0.25">
      <c r="A112" s="3">
        <f>Input!A114</f>
        <v>0</v>
      </c>
      <c r="B112" s="7">
        <f>Input!B114</f>
        <v>0</v>
      </c>
      <c r="C112" s="7">
        <f t="shared" si="18"/>
        <v>0</v>
      </c>
      <c r="D112" s="7">
        <f t="shared" si="19"/>
        <v>0</v>
      </c>
      <c r="E112" s="2"/>
      <c r="F112" s="3">
        <f>Input!D114</f>
        <v>0</v>
      </c>
      <c r="G112" s="3">
        <f>Input!E114</f>
        <v>0</v>
      </c>
      <c r="H112" s="3" t="str">
        <f t="shared" si="20"/>
        <v>00</v>
      </c>
      <c r="I112" s="7">
        <f>Input!G114</f>
        <v>0</v>
      </c>
      <c r="J112" s="7">
        <f t="shared" si="21"/>
        <v>0</v>
      </c>
      <c r="K112" s="7">
        <f t="shared" si="22"/>
        <v>0</v>
      </c>
      <c r="L112" s="7" t="e">
        <f t="shared" si="23"/>
        <v>#DIV/0!</v>
      </c>
      <c r="M112" s="2"/>
      <c r="N112" s="3">
        <f>Input!I114</f>
        <v>0</v>
      </c>
      <c r="O112" s="7">
        <f>Input!J114</f>
        <v>0</v>
      </c>
      <c r="P112" s="6">
        <f>Input!K114</f>
        <v>0</v>
      </c>
      <c r="Q112" s="2"/>
      <c r="R112" s="3">
        <f>Input!M114</f>
        <v>0</v>
      </c>
      <c r="S112" s="3">
        <f>Input!N114</f>
        <v>0</v>
      </c>
      <c r="T112" s="3">
        <f t="shared" si="24"/>
        <v>187</v>
      </c>
      <c r="U112" s="3" t="str">
        <f t="shared" si="25"/>
        <v>00</v>
      </c>
      <c r="V112" s="7">
        <f t="shared" si="26"/>
        <v>0</v>
      </c>
      <c r="W112" s="6">
        <f t="shared" si="27"/>
        <v>0</v>
      </c>
      <c r="X112" s="7">
        <f t="shared" si="33"/>
        <v>0</v>
      </c>
      <c r="Y112" s="7">
        <f t="shared" si="28"/>
        <v>0</v>
      </c>
      <c r="Z112" s="7">
        <f t="shared" si="29"/>
        <v>0</v>
      </c>
      <c r="AA112" s="7">
        <f t="shared" si="30"/>
        <v>0</v>
      </c>
      <c r="AB112" s="7">
        <f t="shared" si="31"/>
        <v>0</v>
      </c>
      <c r="AC112" s="7">
        <f t="shared" si="32"/>
        <v>0</v>
      </c>
      <c r="AD112" s="7" t="e">
        <f t="shared" si="17"/>
        <v>#DIV/0!</v>
      </c>
    </row>
    <row r="113" spans="1:30" x14ac:dyDescent="0.25">
      <c r="A113" s="3">
        <f>Input!A115</f>
        <v>0</v>
      </c>
      <c r="B113" s="7">
        <f>Input!B115</f>
        <v>0</v>
      </c>
      <c r="C113" s="7">
        <f t="shared" si="18"/>
        <v>0</v>
      </c>
      <c r="D113" s="7">
        <f t="shared" si="19"/>
        <v>0</v>
      </c>
      <c r="E113" s="2"/>
      <c r="F113" s="3">
        <f>Input!D115</f>
        <v>0</v>
      </c>
      <c r="G113" s="3">
        <f>Input!E115</f>
        <v>0</v>
      </c>
      <c r="H113" s="3" t="str">
        <f t="shared" si="20"/>
        <v>00</v>
      </c>
      <c r="I113" s="7">
        <f>Input!G115</f>
        <v>0</v>
      </c>
      <c r="J113" s="7">
        <f t="shared" si="21"/>
        <v>0</v>
      </c>
      <c r="K113" s="7">
        <f t="shared" si="22"/>
        <v>0</v>
      </c>
      <c r="L113" s="7" t="e">
        <f t="shared" si="23"/>
        <v>#DIV/0!</v>
      </c>
      <c r="M113" s="2"/>
      <c r="N113" s="3">
        <f>Input!I115</f>
        <v>0</v>
      </c>
      <c r="O113" s="7">
        <f>Input!J115</f>
        <v>0</v>
      </c>
      <c r="P113" s="6">
        <f>Input!K115</f>
        <v>0</v>
      </c>
      <c r="Q113" s="2"/>
      <c r="R113" s="3">
        <f>Input!M115</f>
        <v>0</v>
      </c>
      <c r="S113" s="3">
        <f>Input!N115</f>
        <v>0</v>
      </c>
      <c r="T113" s="3">
        <f t="shared" si="24"/>
        <v>187</v>
      </c>
      <c r="U113" s="3" t="str">
        <f t="shared" si="25"/>
        <v>00</v>
      </c>
      <c r="V113" s="7">
        <f t="shared" si="26"/>
        <v>0</v>
      </c>
      <c r="W113" s="6">
        <f t="shared" si="27"/>
        <v>0</v>
      </c>
      <c r="X113" s="7">
        <f t="shared" si="33"/>
        <v>0</v>
      </c>
      <c r="Y113" s="7">
        <f t="shared" si="28"/>
        <v>0</v>
      </c>
      <c r="Z113" s="7">
        <f t="shared" si="29"/>
        <v>0</v>
      </c>
      <c r="AA113" s="7">
        <f t="shared" si="30"/>
        <v>0</v>
      </c>
      <c r="AB113" s="7">
        <f t="shared" si="31"/>
        <v>0</v>
      </c>
      <c r="AC113" s="7">
        <f t="shared" si="32"/>
        <v>0</v>
      </c>
      <c r="AD113" s="7" t="e">
        <f t="shared" si="17"/>
        <v>#DIV/0!</v>
      </c>
    </row>
    <row r="114" spans="1:30" x14ac:dyDescent="0.25">
      <c r="A114" s="3">
        <f>Input!A116</f>
        <v>0</v>
      </c>
      <c r="B114" s="7">
        <f>Input!B116</f>
        <v>0</v>
      </c>
      <c r="C114" s="7">
        <f t="shared" si="18"/>
        <v>0</v>
      </c>
      <c r="D114" s="7">
        <f t="shared" si="19"/>
        <v>0</v>
      </c>
      <c r="E114" s="2"/>
      <c r="F114" s="3">
        <f>Input!D116</f>
        <v>0</v>
      </c>
      <c r="G114" s="3">
        <f>Input!E116</f>
        <v>0</v>
      </c>
      <c r="H114" s="3" t="str">
        <f t="shared" si="20"/>
        <v>00</v>
      </c>
      <c r="I114" s="7">
        <f>Input!G116</f>
        <v>0</v>
      </c>
      <c r="J114" s="7">
        <f t="shared" si="21"/>
        <v>0</v>
      </c>
      <c r="K114" s="7">
        <f t="shared" si="22"/>
        <v>0</v>
      </c>
      <c r="L114" s="7" t="e">
        <f t="shared" si="23"/>
        <v>#DIV/0!</v>
      </c>
      <c r="M114" s="2"/>
      <c r="N114" s="3">
        <f>Input!I116</f>
        <v>0</v>
      </c>
      <c r="O114" s="7">
        <f>Input!J116</f>
        <v>0</v>
      </c>
      <c r="P114" s="6">
        <f>Input!K116</f>
        <v>0</v>
      </c>
      <c r="Q114" s="2"/>
      <c r="R114" s="3">
        <f>Input!M116</f>
        <v>0</v>
      </c>
      <c r="S114" s="3">
        <f>Input!N116</f>
        <v>0</v>
      </c>
      <c r="T114" s="3">
        <f t="shared" si="24"/>
        <v>187</v>
      </c>
      <c r="U114" s="3" t="str">
        <f t="shared" si="25"/>
        <v>00</v>
      </c>
      <c r="V114" s="7">
        <f t="shared" si="26"/>
        <v>0</v>
      </c>
      <c r="W114" s="6">
        <f t="shared" si="27"/>
        <v>0</v>
      </c>
      <c r="X114" s="7">
        <f t="shared" si="33"/>
        <v>0</v>
      </c>
      <c r="Y114" s="7">
        <f t="shared" si="28"/>
        <v>0</v>
      </c>
      <c r="Z114" s="7">
        <f t="shared" si="29"/>
        <v>0</v>
      </c>
      <c r="AA114" s="7">
        <f t="shared" si="30"/>
        <v>0</v>
      </c>
      <c r="AB114" s="7">
        <f t="shared" si="31"/>
        <v>0</v>
      </c>
      <c r="AC114" s="7">
        <f t="shared" si="32"/>
        <v>0</v>
      </c>
      <c r="AD114" s="7" t="e">
        <f t="shared" si="17"/>
        <v>#DIV/0!</v>
      </c>
    </row>
    <row r="115" spans="1:30" x14ac:dyDescent="0.25">
      <c r="A115" s="3">
        <f>Input!A117</f>
        <v>0</v>
      </c>
      <c r="B115" s="7">
        <f>Input!B117</f>
        <v>0</v>
      </c>
      <c r="C115" s="7">
        <f t="shared" si="18"/>
        <v>0</v>
      </c>
      <c r="D115" s="7">
        <f t="shared" si="19"/>
        <v>0</v>
      </c>
      <c r="E115" s="2"/>
      <c r="F115" s="3">
        <f>Input!D117</f>
        <v>0</v>
      </c>
      <c r="G115" s="3">
        <f>Input!E117</f>
        <v>0</v>
      </c>
      <c r="H115" s="3" t="str">
        <f t="shared" si="20"/>
        <v>00</v>
      </c>
      <c r="I115" s="7">
        <f>Input!G117</f>
        <v>0</v>
      </c>
      <c r="J115" s="7">
        <f t="shared" si="21"/>
        <v>0</v>
      </c>
      <c r="K115" s="7">
        <f t="shared" si="22"/>
        <v>0</v>
      </c>
      <c r="L115" s="7" t="e">
        <f t="shared" si="23"/>
        <v>#DIV/0!</v>
      </c>
      <c r="M115" s="2"/>
      <c r="N115" s="3">
        <f>Input!I117</f>
        <v>0</v>
      </c>
      <c r="O115" s="7">
        <f>Input!J117</f>
        <v>0</v>
      </c>
      <c r="P115" s="6">
        <f>Input!K117</f>
        <v>0</v>
      </c>
      <c r="Q115" s="2"/>
      <c r="R115" s="3">
        <f>Input!M117</f>
        <v>0</v>
      </c>
      <c r="S115" s="3">
        <f>Input!N117</f>
        <v>0</v>
      </c>
      <c r="T115" s="3">
        <f t="shared" si="24"/>
        <v>187</v>
      </c>
      <c r="U115" s="3" t="str">
        <f t="shared" si="25"/>
        <v>00</v>
      </c>
      <c r="V115" s="7">
        <f t="shared" si="26"/>
        <v>0</v>
      </c>
      <c r="W115" s="6">
        <f t="shared" si="27"/>
        <v>0</v>
      </c>
      <c r="X115" s="7">
        <f t="shared" si="33"/>
        <v>0</v>
      </c>
      <c r="Y115" s="7">
        <f t="shared" si="28"/>
        <v>0</v>
      </c>
      <c r="Z115" s="7">
        <f t="shared" si="29"/>
        <v>0</v>
      </c>
      <c r="AA115" s="7">
        <f t="shared" si="30"/>
        <v>0</v>
      </c>
      <c r="AB115" s="7">
        <f t="shared" si="31"/>
        <v>0</v>
      </c>
      <c r="AC115" s="7">
        <f t="shared" si="32"/>
        <v>0</v>
      </c>
      <c r="AD115" s="7" t="e">
        <f t="shared" si="17"/>
        <v>#DIV/0!</v>
      </c>
    </row>
    <row r="116" spans="1:30" x14ac:dyDescent="0.25">
      <c r="A116" s="3">
        <f>Input!A118</f>
        <v>0</v>
      </c>
      <c r="B116" s="7">
        <f>Input!B118</f>
        <v>0</v>
      </c>
      <c r="C116" s="7">
        <f t="shared" si="18"/>
        <v>0</v>
      </c>
      <c r="D116" s="7">
        <f t="shared" si="19"/>
        <v>0</v>
      </c>
      <c r="E116" s="2"/>
      <c r="F116" s="3">
        <f>Input!D118</f>
        <v>0</v>
      </c>
      <c r="G116" s="3">
        <f>Input!E118</f>
        <v>0</v>
      </c>
      <c r="H116" s="3" t="str">
        <f t="shared" si="20"/>
        <v>00</v>
      </c>
      <c r="I116" s="7">
        <f>Input!G118</f>
        <v>0</v>
      </c>
      <c r="J116" s="7">
        <f t="shared" si="21"/>
        <v>0</v>
      </c>
      <c r="K116" s="7">
        <f t="shared" si="22"/>
        <v>0</v>
      </c>
      <c r="L116" s="7" t="e">
        <f t="shared" si="23"/>
        <v>#DIV/0!</v>
      </c>
      <c r="M116" s="2"/>
      <c r="N116" s="3">
        <f>Input!I118</f>
        <v>0</v>
      </c>
      <c r="O116" s="7">
        <f>Input!J118</f>
        <v>0</v>
      </c>
      <c r="P116" s="6">
        <f>Input!K118</f>
        <v>0</v>
      </c>
      <c r="Q116" s="2"/>
      <c r="R116" s="3">
        <f>Input!M118</f>
        <v>0</v>
      </c>
      <c r="S116" s="3">
        <f>Input!N118</f>
        <v>0</v>
      </c>
      <c r="T116" s="3">
        <f t="shared" si="24"/>
        <v>187</v>
      </c>
      <c r="U116" s="3" t="str">
        <f t="shared" si="25"/>
        <v>00</v>
      </c>
      <c r="V116" s="7">
        <f t="shared" si="26"/>
        <v>0</v>
      </c>
      <c r="W116" s="6">
        <f t="shared" si="27"/>
        <v>0</v>
      </c>
      <c r="X116" s="7">
        <f t="shared" si="33"/>
        <v>0</v>
      </c>
      <c r="Y116" s="7">
        <f t="shared" si="28"/>
        <v>0</v>
      </c>
      <c r="Z116" s="7">
        <f t="shared" si="29"/>
        <v>0</v>
      </c>
      <c r="AA116" s="7">
        <f t="shared" si="30"/>
        <v>0</v>
      </c>
      <c r="AB116" s="7">
        <f t="shared" si="31"/>
        <v>0</v>
      </c>
      <c r="AC116" s="7">
        <f t="shared" si="32"/>
        <v>0</v>
      </c>
      <c r="AD116" s="7" t="e">
        <f t="shared" si="17"/>
        <v>#DIV/0!</v>
      </c>
    </row>
    <row r="117" spans="1:30" x14ac:dyDescent="0.25">
      <c r="A117" s="3">
        <f>Input!A119</f>
        <v>0</v>
      </c>
      <c r="B117" s="7">
        <f>Input!B119</f>
        <v>0</v>
      </c>
      <c r="C117" s="7">
        <f t="shared" si="18"/>
        <v>0</v>
      </c>
      <c r="D117" s="7">
        <f t="shared" si="19"/>
        <v>0</v>
      </c>
      <c r="E117" s="2"/>
      <c r="F117" s="3">
        <f>Input!D119</f>
        <v>0</v>
      </c>
      <c r="G117" s="3">
        <f>Input!E119</f>
        <v>0</v>
      </c>
      <c r="H117" s="3" t="str">
        <f t="shared" si="20"/>
        <v>00</v>
      </c>
      <c r="I117" s="7">
        <f>Input!G119</f>
        <v>0</v>
      </c>
      <c r="J117" s="7">
        <f t="shared" si="21"/>
        <v>0</v>
      </c>
      <c r="K117" s="7">
        <f t="shared" si="22"/>
        <v>0</v>
      </c>
      <c r="L117" s="7" t="e">
        <f t="shared" si="23"/>
        <v>#DIV/0!</v>
      </c>
      <c r="M117" s="2"/>
      <c r="N117" s="3">
        <f>Input!I119</f>
        <v>0</v>
      </c>
      <c r="O117" s="7">
        <f>Input!J119</f>
        <v>0</v>
      </c>
      <c r="P117" s="6">
        <f>Input!K119</f>
        <v>0</v>
      </c>
      <c r="Q117" s="2"/>
      <c r="R117" s="3">
        <f>Input!M119</f>
        <v>0</v>
      </c>
      <c r="S117" s="3">
        <f>Input!N119</f>
        <v>0</v>
      </c>
      <c r="T117" s="3">
        <f t="shared" si="24"/>
        <v>187</v>
      </c>
      <c r="U117" s="3" t="str">
        <f t="shared" si="25"/>
        <v>00</v>
      </c>
      <c r="V117" s="7">
        <f t="shared" si="26"/>
        <v>0</v>
      </c>
      <c r="W117" s="6">
        <f t="shared" si="27"/>
        <v>0</v>
      </c>
      <c r="X117" s="7">
        <f t="shared" si="33"/>
        <v>0</v>
      </c>
      <c r="Y117" s="7">
        <f t="shared" si="28"/>
        <v>0</v>
      </c>
      <c r="Z117" s="7">
        <f t="shared" si="29"/>
        <v>0</v>
      </c>
      <c r="AA117" s="7">
        <f t="shared" si="30"/>
        <v>0</v>
      </c>
      <c r="AB117" s="7">
        <f t="shared" si="31"/>
        <v>0</v>
      </c>
      <c r="AC117" s="7">
        <f t="shared" si="32"/>
        <v>0</v>
      </c>
      <c r="AD117" s="7" t="e">
        <f t="shared" si="17"/>
        <v>#DIV/0!</v>
      </c>
    </row>
    <row r="118" spans="1:30" x14ac:dyDescent="0.25">
      <c r="A118" s="3">
        <f>Input!A120</f>
        <v>0</v>
      </c>
      <c r="B118" s="7">
        <f>Input!B120</f>
        <v>0</v>
      </c>
      <c r="C118" s="7">
        <f t="shared" si="18"/>
        <v>0</v>
      </c>
      <c r="D118" s="7">
        <f t="shared" si="19"/>
        <v>0</v>
      </c>
      <c r="E118" s="2"/>
      <c r="F118" s="3">
        <f>Input!D120</f>
        <v>0</v>
      </c>
      <c r="G118" s="3">
        <f>Input!E120</f>
        <v>0</v>
      </c>
      <c r="H118" s="3" t="str">
        <f t="shared" si="20"/>
        <v>00</v>
      </c>
      <c r="I118" s="7">
        <f>Input!G120</f>
        <v>0</v>
      </c>
      <c r="J118" s="7">
        <f t="shared" si="21"/>
        <v>0</v>
      </c>
      <c r="K118" s="7">
        <f t="shared" si="22"/>
        <v>0</v>
      </c>
      <c r="L118" s="7" t="e">
        <f t="shared" si="23"/>
        <v>#DIV/0!</v>
      </c>
      <c r="M118" s="2"/>
      <c r="N118" s="3">
        <f>Input!I120</f>
        <v>0</v>
      </c>
      <c r="O118" s="7">
        <f>Input!J120</f>
        <v>0</v>
      </c>
      <c r="P118" s="6">
        <f>Input!K120</f>
        <v>0</v>
      </c>
      <c r="Q118" s="2"/>
      <c r="R118" s="3">
        <f>Input!M120</f>
        <v>0</v>
      </c>
      <c r="S118" s="3">
        <f>Input!N120</f>
        <v>0</v>
      </c>
      <c r="T118" s="3">
        <f t="shared" si="24"/>
        <v>187</v>
      </c>
      <c r="U118" s="3" t="str">
        <f t="shared" si="25"/>
        <v>00</v>
      </c>
      <c r="V118" s="7">
        <f t="shared" si="26"/>
        <v>0</v>
      </c>
      <c r="W118" s="6">
        <f t="shared" si="27"/>
        <v>0</v>
      </c>
      <c r="X118" s="7">
        <f t="shared" si="33"/>
        <v>0</v>
      </c>
      <c r="Y118" s="7">
        <f t="shared" si="28"/>
        <v>0</v>
      </c>
      <c r="Z118" s="7">
        <f t="shared" si="29"/>
        <v>0</v>
      </c>
      <c r="AA118" s="7">
        <f t="shared" si="30"/>
        <v>0</v>
      </c>
      <c r="AB118" s="7">
        <f t="shared" si="31"/>
        <v>0</v>
      </c>
      <c r="AC118" s="7">
        <f t="shared" si="32"/>
        <v>0</v>
      </c>
      <c r="AD118" s="7" t="e">
        <f t="shared" si="17"/>
        <v>#DIV/0!</v>
      </c>
    </row>
    <row r="119" spans="1:30" x14ac:dyDescent="0.25">
      <c r="A119" s="3">
        <f>Input!A121</f>
        <v>0</v>
      </c>
      <c r="B119" s="7">
        <f>Input!B121</f>
        <v>0</v>
      </c>
      <c r="C119" s="7">
        <f t="shared" si="18"/>
        <v>0</v>
      </c>
      <c r="D119" s="7">
        <f t="shared" si="19"/>
        <v>0</v>
      </c>
      <c r="E119" s="2"/>
      <c r="F119" s="3">
        <f>Input!D121</f>
        <v>0</v>
      </c>
      <c r="G119" s="3">
        <f>Input!E121</f>
        <v>0</v>
      </c>
      <c r="H119" s="3" t="str">
        <f t="shared" si="20"/>
        <v>00</v>
      </c>
      <c r="I119" s="7">
        <f>Input!G121</f>
        <v>0</v>
      </c>
      <c r="J119" s="7">
        <f t="shared" si="21"/>
        <v>0</v>
      </c>
      <c r="K119" s="7">
        <f t="shared" si="22"/>
        <v>0</v>
      </c>
      <c r="L119" s="7" t="e">
        <f t="shared" si="23"/>
        <v>#DIV/0!</v>
      </c>
      <c r="M119" s="2"/>
      <c r="N119" s="3">
        <f>Input!I121</f>
        <v>0</v>
      </c>
      <c r="O119" s="7">
        <f>Input!J121</f>
        <v>0</v>
      </c>
      <c r="P119" s="6">
        <f>Input!K121</f>
        <v>0</v>
      </c>
      <c r="Q119" s="2"/>
      <c r="R119" s="3">
        <f>Input!M121</f>
        <v>0</v>
      </c>
      <c r="S119" s="3">
        <f>Input!N121</f>
        <v>0</v>
      </c>
      <c r="T119" s="3">
        <f t="shared" si="24"/>
        <v>187</v>
      </c>
      <c r="U119" s="3" t="str">
        <f t="shared" si="25"/>
        <v>00</v>
      </c>
      <c r="V119" s="7">
        <f t="shared" si="26"/>
        <v>0</v>
      </c>
      <c r="W119" s="6">
        <f t="shared" si="27"/>
        <v>0</v>
      </c>
      <c r="X119" s="7">
        <f t="shared" si="33"/>
        <v>0</v>
      </c>
      <c r="Y119" s="7">
        <f t="shared" si="28"/>
        <v>0</v>
      </c>
      <c r="Z119" s="7">
        <f t="shared" si="29"/>
        <v>0</v>
      </c>
      <c r="AA119" s="7">
        <f t="shared" si="30"/>
        <v>0</v>
      </c>
      <c r="AB119" s="7">
        <f t="shared" si="31"/>
        <v>0</v>
      </c>
      <c r="AC119" s="7">
        <f t="shared" si="32"/>
        <v>0</v>
      </c>
      <c r="AD119" s="7" t="e">
        <f t="shared" si="17"/>
        <v>#DIV/0!</v>
      </c>
    </row>
    <row r="120" spans="1:30" x14ac:dyDescent="0.25">
      <c r="A120" s="3">
        <f>Input!A122</f>
        <v>0</v>
      </c>
      <c r="B120" s="7">
        <f>Input!B122</f>
        <v>0</v>
      </c>
      <c r="C120" s="7">
        <f t="shared" si="18"/>
        <v>0</v>
      </c>
      <c r="D120" s="7">
        <f t="shared" si="19"/>
        <v>0</v>
      </c>
      <c r="E120" s="2"/>
      <c r="F120" s="3">
        <f>Input!D122</f>
        <v>0</v>
      </c>
      <c r="G120" s="3">
        <f>Input!E122</f>
        <v>0</v>
      </c>
      <c r="H120" s="3" t="str">
        <f t="shared" si="20"/>
        <v>00</v>
      </c>
      <c r="I120" s="7">
        <f>Input!G122</f>
        <v>0</v>
      </c>
      <c r="J120" s="7">
        <f t="shared" si="21"/>
        <v>0</v>
      </c>
      <c r="K120" s="7">
        <f t="shared" si="22"/>
        <v>0</v>
      </c>
      <c r="L120" s="7" t="e">
        <f t="shared" si="23"/>
        <v>#DIV/0!</v>
      </c>
      <c r="M120" s="2"/>
      <c r="N120" s="3">
        <f>Input!I122</f>
        <v>0</v>
      </c>
      <c r="O120" s="7">
        <f>Input!J122</f>
        <v>0</v>
      </c>
      <c r="P120" s="6">
        <f>Input!K122</f>
        <v>0</v>
      </c>
      <c r="Q120" s="2"/>
      <c r="R120" s="3">
        <f>Input!M122</f>
        <v>0</v>
      </c>
      <c r="S120" s="3">
        <f>Input!N122</f>
        <v>0</v>
      </c>
      <c r="T120" s="3">
        <f t="shared" si="24"/>
        <v>187</v>
      </c>
      <c r="U120" s="3" t="str">
        <f t="shared" si="25"/>
        <v>00</v>
      </c>
      <c r="V120" s="7">
        <f t="shared" si="26"/>
        <v>0</v>
      </c>
      <c r="W120" s="6">
        <f t="shared" si="27"/>
        <v>0</v>
      </c>
      <c r="X120" s="7">
        <f t="shared" si="33"/>
        <v>0</v>
      </c>
      <c r="Y120" s="7">
        <f t="shared" si="28"/>
        <v>0</v>
      </c>
      <c r="Z120" s="7">
        <f t="shared" si="29"/>
        <v>0</v>
      </c>
      <c r="AA120" s="7">
        <f t="shared" si="30"/>
        <v>0</v>
      </c>
      <c r="AB120" s="7">
        <f t="shared" si="31"/>
        <v>0</v>
      </c>
      <c r="AC120" s="7">
        <f t="shared" si="32"/>
        <v>0</v>
      </c>
      <c r="AD120" s="7" t="e">
        <f t="shared" si="17"/>
        <v>#DIV/0!</v>
      </c>
    </row>
    <row r="121" spans="1:30" x14ac:dyDescent="0.25">
      <c r="A121" s="3">
        <f>Input!A123</f>
        <v>0</v>
      </c>
      <c r="B121" s="7">
        <f>Input!B123</f>
        <v>0</v>
      </c>
      <c r="C121" s="7">
        <f t="shared" si="18"/>
        <v>0</v>
      </c>
      <c r="D121" s="7">
        <f t="shared" si="19"/>
        <v>0</v>
      </c>
      <c r="E121" s="2"/>
      <c r="F121" s="3">
        <f>Input!D123</f>
        <v>0</v>
      </c>
      <c r="G121" s="3">
        <f>Input!E123</f>
        <v>0</v>
      </c>
      <c r="H121" s="3" t="str">
        <f t="shared" si="20"/>
        <v>00</v>
      </c>
      <c r="I121" s="7">
        <f>Input!G123</f>
        <v>0</v>
      </c>
      <c r="J121" s="7">
        <f t="shared" si="21"/>
        <v>0</v>
      </c>
      <c r="K121" s="7">
        <f t="shared" si="22"/>
        <v>0</v>
      </c>
      <c r="L121" s="7" t="e">
        <f t="shared" si="23"/>
        <v>#DIV/0!</v>
      </c>
      <c r="M121" s="2"/>
      <c r="N121" s="3">
        <f>Input!I123</f>
        <v>0</v>
      </c>
      <c r="O121" s="7">
        <f>Input!J123</f>
        <v>0</v>
      </c>
      <c r="P121" s="6">
        <f>Input!K123</f>
        <v>0</v>
      </c>
      <c r="Q121" s="2"/>
      <c r="R121" s="3">
        <f>Input!M123</f>
        <v>0</v>
      </c>
      <c r="S121" s="3">
        <f>Input!N123</f>
        <v>0</v>
      </c>
      <c r="T121" s="3">
        <f t="shared" si="24"/>
        <v>187</v>
      </c>
      <c r="U121" s="3" t="str">
        <f t="shared" si="25"/>
        <v>00</v>
      </c>
      <c r="V121" s="7">
        <f t="shared" si="26"/>
        <v>0</v>
      </c>
      <c r="W121" s="6">
        <f t="shared" si="27"/>
        <v>0</v>
      </c>
      <c r="X121" s="7">
        <f t="shared" si="33"/>
        <v>0</v>
      </c>
      <c r="Y121" s="7">
        <f t="shared" si="28"/>
        <v>0</v>
      </c>
      <c r="Z121" s="7">
        <f t="shared" si="29"/>
        <v>0</v>
      </c>
      <c r="AA121" s="7">
        <f t="shared" si="30"/>
        <v>0</v>
      </c>
      <c r="AB121" s="7">
        <f t="shared" si="31"/>
        <v>0</v>
      </c>
      <c r="AC121" s="7">
        <f t="shared" si="32"/>
        <v>0</v>
      </c>
      <c r="AD121" s="7" t="e">
        <f t="shared" si="17"/>
        <v>#DIV/0!</v>
      </c>
    </row>
    <row r="122" spans="1:30" x14ac:dyDescent="0.25">
      <c r="A122" s="3">
        <f>Input!A124</f>
        <v>0</v>
      </c>
      <c r="B122" s="7">
        <f>Input!B124</f>
        <v>0</v>
      </c>
      <c r="C122" s="7">
        <f t="shared" si="18"/>
        <v>0</v>
      </c>
      <c r="D122" s="7">
        <f t="shared" si="19"/>
        <v>0</v>
      </c>
      <c r="E122" s="2"/>
      <c r="F122" s="3">
        <f>Input!D124</f>
        <v>0</v>
      </c>
      <c r="G122" s="3">
        <f>Input!E124</f>
        <v>0</v>
      </c>
      <c r="H122" s="3" t="str">
        <f t="shared" si="20"/>
        <v>00</v>
      </c>
      <c r="I122" s="7">
        <f>Input!G124</f>
        <v>0</v>
      </c>
      <c r="J122" s="7">
        <f t="shared" si="21"/>
        <v>0</v>
      </c>
      <c r="K122" s="7">
        <f t="shared" si="22"/>
        <v>0</v>
      </c>
      <c r="L122" s="7" t="e">
        <f t="shared" si="23"/>
        <v>#DIV/0!</v>
      </c>
      <c r="M122" s="2"/>
      <c r="N122" s="3">
        <f>Input!I124</f>
        <v>0</v>
      </c>
      <c r="O122" s="7">
        <f>Input!J124</f>
        <v>0</v>
      </c>
      <c r="P122" s="6">
        <f>Input!K124</f>
        <v>0</v>
      </c>
      <c r="Q122" s="2"/>
      <c r="R122" s="3">
        <f>Input!M124</f>
        <v>0</v>
      </c>
      <c r="S122" s="3">
        <f>Input!N124</f>
        <v>0</v>
      </c>
      <c r="T122" s="3">
        <f t="shared" si="24"/>
        <v>187</v>
      </c>
      <c r="U122" s="3" t="str">
        <f t="shared" si="25"/>
        <v>00</v>
      </c>
      <c r="V122" s="7">
        <f t="shared" si="26"/>
        <v>0</v>
      </c>
      <c r="W122" s="6">
        <f t="shared" si="27"/>
        <v>0</v>
      </c>
      <c r="X122" s="7">
        <f t="shared" si="33"/>
        <v>0</v>
      </c>
      <c r="Y122" s="7">
        <f t="shared" si="28"/>
        <v>0</v>
      </c>
      <c r="Z122" s="7">
        <f t="shared" si="29"/>
        <v>0</v>
      </c>
      <c r="AA122" s="7">
        <f t="shared" si="30"/>
        <v>0</v>
      </c>
      <c r="AB122" s="7">
        <f t="shared" si="31"/>
        <v>0</v>
      </c>
      <c r="AC122" s="7">
        <f t="shared" si="32"/>
        <v>0</v>
      </c>
      <c r="AD122" s="7" t="e">
        <f t="shared" si="17"/>
        <v>#DIV/0!</v>
      </c>
    </row>
    <row r="123" spans="1:30" x14ac:dyDescent="0.25">
      <c r="A123" s="3">
        <f>Input!A125</f>
        <v>0</v>
      </c>
      <c r="B123" s="7">
        <f>Input!B125</f>
        <v>0</v>
      </c>
      <c r="C123" s="7">
        <f t="shared" si="18"/>
        <v>0</v>
      </c>
      <c r="D123" s="7">
        <f t="shared" si="19"/>
        <v>0</v>
      </c>
      <c r="E123" s="2"/>
      <c r="F123" s="3">
        <f>Input!D125</f>
        <v>0</v>
      </c>
      <c r="G123" s="3">
        <f>Input!E125</f>
        <v>0</v>
      </c>
      <c r="H123" s="3" t="str">
        <f t="shared" si="20"/>
        <v>00</v>
      </c>
      <c r="I123" s="7">
        <f>Input!G125</f>
        <v>0</v>
      </c>
      <c r="J123" s="7">
        <f t="shared" si="21"/>
        <v>0</v>
      </c>
      <c r="K123" s="7">
        <f t="shared" si="22"/>
        <v>0</v>
      </c>
      <c r="L123" s="7" t="e">
        <f t="shared" si="23"/>
        <v>#DIV/0!</v>
      </c>
      <c r="M123" s="2"/>
      <c r="N123" s="3">
        <f>Input!I125</f>
        <v>0</v>
      </c>
      <c r="O123" s="7">
        <f>Input!J125</f>
        <v>0</v>
      </c>
      <c r="P123" s="6">
        <f>Input!K125</f>
        <v>0</v>
      </c>
      <c r="Q123" s="2"/>
      <c r="R123" s="3">
        <f>Input!M125</f>
        <v>0</v>
      </c>
      <c r="S123" s="3">
        <f>Input!N125</f>
        <v>0</v>
      </c>
      <c r="T123" s="3">
        <f t="shared" si="24"/>
        <v>187</v>
      </c>
      <c r="U123" s="3" t="str">
        <f t="shared" si="25"/>
        <v>00</v>
      </c>
      <c r="V123" s="7">
        <f t="shared" si="26"/>
        <v>0</v>
      </c>
      <c r="W123" s="6">
        <f t="shared" si="27"/>
        <v>0</v>
      </c>
      <c r="X123" s="7">
        <f t="shared" si="33"/>
        <v>0</v>
      </c>
      <c r="Y123" s="7">
        <f t="shared" si="28"/>
        <v>0</v>
      </c>
      <c r="Z123" s="7">
        <f t="shared" si="29"/>
        <v>0</v>
      </c>
      <c r="AA123" s="7">
        <f t="shared" si="30"/>
        <v>0</v>
      </c>
      <c r="AB123" s="7">
        <f t="shared" si="31"/>
        <v>0</v>
      </c>
      <c r="AC123" s="7">
        <f t="shared" si="32"/>
        <v>0</v>
      </c>
      <c r="AD123" s="7" t="e">
        <f t="shared" si="17"/>
        <v>#DIV/0!</v>
      </c>
    </row>
    <row r="124" spans="1:30" x14ac:dyDescent="0.25">
      <c r="A124" s="3">
        <f>Input!A126</f>
        <v>0</v>
      </c>
      <c r="B124" s="7">
        <f>Input!B126</f>
        <v>0</v>
      </c>
      <c r="C124" s="7">
        <f t="shared" si="18"/>
        <v>0</v>
      </c>
      <c r="D124" s="7">
        <f t="shared" si="19"/>
        <v>0</v>
      </c>
      <c r="E124" s="2"/>
      <c r="F124" s="3">
        <f>Input!D126</f>
        <v>0</v>
      </c>
      <c r="G124" s="3">
        <f>Input!E126</f>
        <v>0</v>
      </c>
      <c r="H124" s="3" t="str">
        <f t="shared" si="20"/>
        <v>00</v>
      </c>
      <c r="I124" s="7">
        <f>Input!G126</f>
        <v>0</v>
      </c>
      <c r="J124" s="7">
        <f t="shared" si="21"/>
        <v>0</v>
      </c>
      <c r="K124" s="7">
        <f t="shared" si="22"/>
        <v>0</v>
      </c>
      <c r="L124" s="7" t="e">
        <f t="shared" si="23"/>
        <v>#DIV/0!</v>
      </c>
      <c r="M124" s="2"/>
      <c r="N124" s="3">
        <f>Input!I126</f>
        <v>0</v>
      </c>
      <c r="O124" s="7">
        <f>Input!J126</f>
        <v>0</v>
      </c>
      <c r="P124" s="6">
        <f>Input!K126</f>
        <v>0</v>
      </c>
      <c r="Q124" s="2"/>
      <c r="R124" s="3">
        <f>Input!M126</f>
        <v>0</v>
      </c>
      <c r="S124" s="3">
        <f>Input!N126</f>
        <v>0</v>
      </c>
      <c r="T124" s="3">
        <f t="shared" si="24"/>
        <v>187</v>
      </c>
      <c r="U124" s="3" t="str">
        <f t="shared" si="25"/>
        <v>00</v>
      </c>
      <c r="V124" s="7">
        <f t="shared" si="26"/>
        <v>0</v>
      </c>
      <c r="W124" s="6">
        <f t="shared" si="27"/>
        <v>0</v>
      </c>
      <c r="X124" s="7">
        <f t="shared" si="33"/>
        <v>0</v>
      </c>
      <c r="Y124" s="7">
        <f t="shared" si="28"/>
        <v>0</v>
      </c>
      <c r="Z124" s="7">
        <f t="shared" si="29"/>
        <v>0</v>
      </c>
      <c r="AA124" s="7">
        <f t="shared" si="30"/>
        <v>0</v>
      </c>
      <c r="AB124" s="7">
        <f t="shared" si="31"/>
        <v>0</v>
      </c>
      <c r="AC124" s="7">
        <f t="shared" si="32"/>
        <v>0</v>
      </c>
      <c r="AD124" s="7" t="e">
        <f t="shared" si="17"/>
        <v>#DIV/0!</v>
      </c>
    </row>
    <row r="125" spans="1:30" x14ac:dyDescent="0.25">
      <c r="A125" s="3">
        <f>Input!A127</f>
        <v>0</v>
      </c>
      <c r="B125" s="7">
        <f>Input!B127</f>
        <v>0</v>
      </c>
      <c r="C125" s="7">
        <f t="shared" si="18"/>
        <v>0</v>
      </c>
      <c r="D125" s="7">
        <f t="shared" si="19"/>
        <v>0</v>
      </c>
      <c r="E125" s="2"/>
      <c r="F125" s="3">
        <f>Input!D127</f>
        <v>0</v>
      </c>
      <c r="G125" s="3">
        <f>Input!E127</f>
        <v>0</v>
      </c>
      <c r="H125" s="3" t="str">
        <f t="shared" si="20"/>
        <v>00</v>
      </c>
      <c r="I125" s="7">
        <f>Input!G127</f>
        <v>0</v>
      </c>
      <c r="J125" s="7">
        <f t="shared" si="21"/>
        <v>0</v>
      </c>
      <c r="K125" s="7">
        <f t="shared" si="22"/>
        <v>0</v>
      </c>
      <c r="L125" s="7" t="e">
        <f t="shared" si="23"/>
        <v>#DIV/0!</v>
      </c>
      <c r="M125" s="2"/>
      <c r="N125" s="3">
        <f>Input!I127</f>
        <v>0</v>
      </c>
      <c r="O125" s="7">
        <f>Input!J127</f>
        <v>0</v>
      </c>
      <c r="P125" s="6">
        <f>Input!K127</f>
        <v>0</v>
      </c>
      <c r="Q125" s="2"/>
      <c r="R125" s="3">
        <f>Input!M127</f>
        <v>0</v>
      </c>
      <c r="S125" s="3">
        <f>Input!N127</f>
        <v>0</v>
      </c>
      <c r="T125" s="3">
        <f t="shared" si="24"/>
        <v>187</v>
      </c>
      <c r="U125" s="3" t="str">
        <f t="shared" si="25"/>
        <v>00</v>
      </c>
      <c r="V125" s="7">
        <f t="shared" si="26"/>
        <v>0</v>
      </c>
      <c r="W125" s="6">
        <f t="shared" si="27"/>
        <v>0</v>
      </c>
      <c r="X125" s="7">
        <f t="shared" si="33"/>
        <v>0</v>
      </c>
      <c r="Y125" s="7">
        <f t="shared" si="28"/>
        <v>0</v>
      </c>
      <c r="Z125" s="7">
        <f t="shared" si="29"/>
        <v>0</v>
      </c>
      <c r="AA125" s="7">
        <f t="shared" si="30"/>
        <v>0</v>
      </c>
      <c r="AB125" s="7">
        <f t="shared" si="31"/>
        <v>0</v>
      </c>
      <c r="AC125" s="7">
        <f t="shared" si="32"/>
        <v>0</v>
      </c>
      <c r="AD125" s="7" t="e">
        <f t="shared" si="17"/>
        <v>#DIV/0!</v>
      </c>
    </row>
    <row r="126" spans="1:30" x14ac:dyDescent="0.25">
      <c r="A126" s="3">
        <f>Input!A128</f>
        <v>0</v>
      </c>
      <c r="B126" s="7">
        <f>Input!B128</f>
        <v>0</v>
      </c>
      <c r="C126" s="7">
        <f t="shared" si="18"/>
        <v>0</v>
      </c>
      <c r="D126" s="7">
        <f t="shared" si="19"/>
        <v>0</v>
      </c>
      <c r="E126" s="2"/>
      <c r="F126" s="3">
        <f>Input!D128</f>
        <v>0</v>
      </c>
      <c r="G126" s="3">
        <f>Input!E128</f>
        <v>0</v>
      </c>
      <c r="H126" s="3" t="str">
        <f t="shared" si="20"/>
        <v>00</v>
      </c>
      <c r="I126" s="7">
        <f>Input!G128</f>
        <v>0</v>
      </c>
      <c r="J126" s="7">
        <f t="shared" si="21"/>
        <v>0</v>
      </c>
      <c r="K126" s="7">
        <f t="shared" si="22"/>
        <v>0</v>
      </c>
      <c r="L126" s="7" t="e">
        <f t="shared" si="23"/>
        <v>#DIV/0!</v>
      </c>
      <c r="M126" s="2"/>
      <c r="N126" s="3">
        <f>Input!I128</f>
        <v>0</v>
      </c>
      <c r="O126" s="7">
        <f>Input!J128</f>
        <v>0</v>
      </c>
      <c r="P126" s="6">
        <f>Input!K128</f>
        <v>0</v>
      </c>
      <c r="Q126" s="2"/>
      <c r="R126" s="3">
        <f>Input!M128</f>
        <v>0</v>
      </c>
      <c r="S126" s="3">
        <f>Input!N128</f>
        <v>0</v>
      </c>
      <c r="T126" s="3">
        <f t="shared" si="24"/>
        <v>187</v>
      </c>
      <c r="U126" s="3" t="str">
        <f t="shared" si="25"/>
        <v>00</v>
      </c>
      <c r="V126" s="7">
        <f t="shared" si="26"/>
        <v>0</v>
      </c>
      <c r="W126" s="6">
        <f t="shared" si="27"/>
        <v>0</v>
      </c>
      <c r="X126" s="7">
        <f t="shared" si="33"/>
        <v>0</v>
      </c>
      <c r="Y126" s="7">
        <f t="shared" si="28"/>
        <v>0</v>
      </c>
      <c r="Z126" s="7">
        <f t="shared" si="29"/>
        <v>0</v>
      </c>
      <c r="AA126" s="7">
        <f t="shared" si="30"/>
        <v>0</v>
      </c>
      <c r="AB126" s="7">
        <f t="shared" si="31"/>
        <v>0</v>
      </c>
      <c r="AC126" s="7">
        <f t="shared" si="32"/>
        <v>0</v>
      </c>
      <c r="AD126" s="7" t="e">
        <f t="shared" si="17"/>
        <v>#DIV/0!</v>
      </c>
    </row>
    <row r="127" spans="1:30" x14ac:dyDescent="0.25">
      <c r="A127" s="3">
        <f>Input!A129</f>
        <v>0</v>
      </c>
      <c r="B127" s="7">
        <f>Input!B129</f>
        <v>0</v>
      </c>
      <c r="C127" s="7">
        <f t="shared" si="18"/>
        <v>0</v>
      </c>
      <c r="D127" s="7">
        <f t="shared" si="19"/>
        <v>0</v>
      </c>
      <c r="E127" s="2"/>
      <c r="F127" s="3">
        <f>Input!D129</f>
        <v>0</v>
      </c>
      <c r="G127" s="3">
        <f>Input!E129</f>
        <v>0</v>
      </c>
      <c r="H127" s="3" t="str">
        <f t="shared" si="20"/>
        <v>00</v>
      </c>
      <c r="I127" s="7">
        <f>Input!G129</f>
        <v>0</v>
      </c>
      <c r="J127" s="7">
        <f t="shared" si="21"/>
        <v>0</v>
      </c>
      <c r="K127" s="7">
        <f t="shared" si="22"/>
        <v>0</v>
      </c>
      <c r="L127" s="7" t="e">
        <f t="shared" si="23"/>
        <v>#DIV/0!</v>
      </c>
      <c r="M127" s="2"/>
      <c r="N127" s="3">
        <f>Input!I129</f>
        <v>0</v>
      </c>
      <c r="O127" s="7">
        <f>Input!J129</f>
        <v>0</v>
      </c>
      <c r="P127" s="6">
        <f>Input!K129</f>
        <v>0</v>
      </c>
      <c r="Q127" s="2"/>
      <c r="R127" s="3">
        <f>Input!M129</f>
        <v>0</v>
      </c>
      <c r="S127" s="3">
        <f>Input!N129</f>
        <v>0</v>
      </c>
      <c r="T127" s="3">
        <f t="shared" si="24"/>
        <v>187</v>
      </c>
      <c r="U127" s="3" t="str">
        <f t="shared" si="25"/>
        <v>00</v>
      </c>
      <c r="V127" s="7">
        <f t="shared" si="26"/>
        <v>0</v>
      </c>
      <c r="W127" s="6">
        <f t="shared" si="27"/>
        <v>0</v>
      </c>
      <c r="X127" s="7">
        <f t="shared" si="33"/>
        <v>0</v>
      </c>
      <c r="Y127" s="7">
        <f t="shared" si="28"/>
        <v>0</v>
      </c>
      <c r="Z127" s="7">
        <f t="shared" si="29"/>
        <v>0</v>
      </c>
      <c r="AA127" s="7">
        <f t="shared" si="30"/>
        <v>0</v>
      </c>
      <c r="AB127" s="7">
        <f t="shared" si="31"/>
        <v>0</v>
      </c>
      <c r="AC127" s="7">
        <f t="shared" si="32"/>
        <v>0</v>
      </c>
      <c r="AD127" s="7" t="e">
        <f t="shared" si="17"/>
        <v>#DIV/0!</v>
      </c>
    </row>
    <row r="128" spans="1:30" x14ac:dyDescent="0.25">
      <c r="A128" s="3">
        <f>Input!A130</f>
        <v>0</v>
      </c>
      <c r="B128" s="7">
        <f>Input!B130</f>
        <v>0</v>
      </c>
      <c r="C128" s="7">
        <f t="shared" si="18"/>
        <v>0</v>
      </c>
      <c r="D128" s="7">
        <f t="shared" si="19"/>
        <v>0</v>
      </c>
      <c r="E128" s="2"/>
      <c r="F128" s="3">
        <f>Input!D130</f>
        <v>0</v>
      </c>
      <c r="G128" s="3">
        <f>Input!E130</f>
        <v>0</v>
      </c>
      <c r="H128" s="3" t="str">
        <f t="shared" si="20"/>
        <v>00</v>
      </c>
      <c r="I128" s="7">
        <f>Input!G130</f>
        <v>0</v>
      </c>
      <c r="J128" s="7">
        <f t="shared" si="21"/>
        <v>0</v>
      </c>
      <c r="K128" s="7">
        <f t="shared" si="22"/>
        <v>0</v>
      </c>
      <c r="L128" s="7" t="e">
        <f t="shared" si="23"/>
        <v>#DIV/0!</v>
      </c>
      <c r="M128" s="2"/>
      <c r="N128" s="3">
        <f>Input!I130</f>
        <v>0</v>
      </c>
      <c r="O128" s="7">
        <f>Input!J130</f>
        <v>0</v>
      </c>
      <c r="P128" s="6">
        <f>Input!K130</f>
        <v>0</v>
      </c>
      <c r="Q128" s="2"/>
      <c r="R128" s="3">
        <f>Input!M130</f>
        <v>0</v>
      </c>
      <c r="S128" s="3">
        <f>Input!N130</f>
        <v>0</v>
      </c>
      <c r="T128" s="3">
        <f t="shared" si="24"/>
        <v>187</v>
      </c>
      <c r="U128" s="3" t="str">
        <f t="shared" si="25"/>
        <v>00</v>
      </c>
      <c r="V128" s="7">
        <f t="shared" si="26"/>
        <v>0</v>
      </c>
      <c r="W128" s="6">
        <f t="shared" si="27"/>
        <v>0</v>
      </c>
      <c r="X128" s="7">
        <f t="shared" si="33"/>
        <v>0</v>
      </c>
      <c r="Y128" s="7">
        <f t="shared" si="28"/>
        <v>0</v>
      </c>
      <c r="Z128" s="7">
        <f t="shared" si="29"/>
        <v>0</v>
      </c>
      <c r="AA128" s="7">
        <f t="shared" si="30"/>
        <v>0</v>
      </c>
      <c r="AB128" s="7">
        <f t="shared" si="31"/>
        <v>0</v>
      </c>
      <c r="AC128" s="7">
        <f t="shared" si="32"/>
        <v>0</v>
      </c>
      <c r="AD128" s="7" t="e">
        <f t="shared" si="17"/>
        <v>#DIV/0!</v>
      </c>
    </row>
    <row r="129" spans="1:30" x14ac:dyDescent="0.25">
      <c r="A129" s="3">
        <f>Input!A131</f>
        <v>0</v>
      </c>
      <c r="B129" s="7">
        <f>Input!B131</f>
        <v>0</v>
      </c>
      <c r="C129" s="7">
        <f t="shared" si="18"/>
        <v>0</v>
      </c>
      <c r="D129" s="7">
        <f t="shared" si="19"/>
        <v>0</v>
      </c>
      <c r="E129" s="2"/>
      <c r="F129" s="3">
        <f>Input!D131</f>
        <v>0</v>
      </c>
      <c r="G129" s="3">
        <f>Input!E131</f>
        <v>0</v>
      </c>
      <c r="H129" s="3" t="str">
        <f t="shared" si="20"/>
        <v>00</v>
      </c>
      <c r="I129" s="7">
        <f>Input!G131</f>
        <v>0</v>
      </c>
      <c r="J129" s="7">
        <f t="shared" si="21"/>
        <v>0</v>
      </c>
      <c r="K129" s="7">
        <f t="shared" si="22"/>
        <v>0</v>
      </c>
      <c r="L129" s="7" t="e">
        <f t="shared" si="23"/>
        <v>#DIV/0!</v>
      </c>
      <c r="M129" s="2"/>
      <c r="N129" s="3">
        <f>Input!I131</f>
        <v>0</v>
      </c>
      <c r="O129" s="7">
        <f>Input!J131</f>
        <v>0</v>
      </c>
      <c r="P129" s="6">
        <f>Input!K131</f>
        <v>0</v>
      </c>
      <c r="Q129" s="2"/>
      <c r="R129" s="3">
        <f>Input!M131</f>
        <v>0</v>
      </c>
      <c r="S129" s="3">
        <f>Input!N131</f>
        <v>0</v>
      </c>
      <c r="T129" s="3">
        <f t="shared" si="24"/>
        <v>187</v>
      </c>
      <c r="U129" s="3" t="str">
        <f t="shared" si="25"/>
        <v>00</v>
      </c>
      <c r="V129" s="7">
        <f t="shared" si="26"/>
        <v>0</v>
      </c>
      <c r="W129" s="6">
        <f t="shared" si="27"/>
        <v>0</v>
      </c>
      <c r="X129" s="7">
        <f t="shared" si="33"/>
        <v>0</v>
      </c>
      <c r="Y129" s="7">
        <f t="shared" si="28"/>
        <v>0</v>
      </c>
      <c r="Z129" s="7">
        <f t="shared" si="29"/>
        <v>0</v>
      </c>
      <c r="AA129" s="7">
        <f t="shared" si="30"/>
        <v>0</v>
      </c>
      <c r="AB129" s="7">
        <f t="shared" si="31"/>
        <v>0</v>
      </c>
      <c r="AC129" s="7">
        <f t="shared" si="32"/>
        <v>0</v>
      </c>
      <c r="AD129" s="7" t="e">
        <f t="shared" si="17"/>
        <v>#DIV/0!</v>
      </c>
    </row>
    <row r="130" spans="1:30" x14ac:dyDescent="0.25">
      <c r="A130" s="3">
        <f>Input!A132</f>
        <v>0</v>
      </c>
      <c r="B130" s="7">
        <f>Input!B132</f>
        <v>0</v>
      </c>
      <c r="C130" s="7">
        <f t="shared" si="18"/>
        <v>0</v>
      </c>
      <c r="D130" s="7">
        <f t="shared" si="19"/>
        <v>0</v>
      </c>
      <c r="E130" s="2"/>
      <c r="F130" s="3">
        <f>Input!D132</f>
        <v>0</v>
      </c>
      <c r="G130" s="3">
        <f>Input!E132</f>
        <v>0</v>
      </c>
      <c r="H130" s="3" t="str">
        <f t="shared" si="20"/>
        <v>00</v>
      </c>
      <c r="I130" s="7">
        <f>Input!G132</f>
        <v>0</v>
      </c>
      <c r="J130" s="7">
        <f t="shared" si="21"/>
        <v>0</v>
      </c>
      <c r="K130" s="7">
        <f t="shared" si="22"/>
        <v>0</v>
      </c>
      <c r="L130" s="7" t="e">
        <f t="shared" si="23"/>
        <v>#DIV/0!</v>
      </c>
      <c r="M130" s="2"/>
      <c r="N130" s="3">
        <f>Input!I132</f>
        <v>0</v>
      </c>
      <c r="O130" s="7">
        <f>Input!J132</f>
        <v>0</v>
      </c>
      <c r="P130" s="6">
        <f>Input!K132</f>
        <v>0</v>
      </c>
      <c r="Q130" s="2"/>
      <c r="R130" s="3">
        <f>Input!M132</f>
        <v>0</v>
      </c>
      <c r="S130" s="3">
        <f>Input!N132</f>
        <v>0</v>
      </c>
      <c r="T130" s="3">
        <f t="shared" si="24"/>
        <v>187</v>
      </c>
      <c r="U130" s="3" t="str">
        <f t="shared" si="25"/>
        <v>00</v>
      </c>
      <c r="V130" s="7">
        <f t="shared" si="26"/>
        <v>0</v>
      </c>
      <c r="W130" s="6">
        <f t="shared" si="27"/>
        <v>0</v>
      </c>
      <c r="X130" s="7">
        <f t="shared" si="33"/>
        <v>0</v>
      </c>
      <c r="Y130" s="7">
        <f t="shared" si="28"/>
        <v>0</v>
      </c>
      <c r="Z130" s="7">
        <f t="shared" si="29"/>
        <v>0</v>
      </c>
      <c r="AA130" s="7">
        <f t="shared" si="30"/>
        <v>0</v>
      </c>
      <c r="AB130" s="7">
        <f t="shared" si="31"/>
        <v>0</v>
      </c>
      <c r="AC130" s="7">
        <f t="shared" si="32"/>
        <v>0</v>
      </c>
      <c r="AD130" s="7" t="e">
        <f t="shared" si="17"/>
        <v>#DIV/0!</v>
      </c>
    </row>
    <row r="131" spans="1:30" x14ac:dyDescent="0.25">
      <c r="A131" s="3">
        <f>Input!A133</f>
        <v>0</v>
      </c>
      <c r="B131" s="7">
        <f>Input!B133</f>
        <v>0</v>
      </c>
      <c r="C131" s="7">
        <f t="shared" si="18"/>
        <v>0</v>
      </c>
      <c r="D131" s="7">
        <f t="shared" si="19"/>
        <v>0</v>
      </c>
      <c r="E131" s="2"/>
      <c r="F131" s="3">
        <f>Input!D133</f>
        <v>0</v>
      </c>
      <c r="G131" s="3">
        <f>Input!E133</f>
        <v>0</v>
      </c>
      <c r="H131" s="3" t="str">
        <f t="shared" si="20"/>
        <v>00</v>
      </c>
      <c r="I131" s="7">
        <f>Input!G133</f>
        <v>0</v>
      </c>
      <c r="J131" s="7">
        <f t="shared" si="21"/>
        <v>0</v>
      </c>
      <c r="K131" s="7">
        <f t="shared" si="22"/>
        <v>0</v>
      </c>
      <c r="L131" s="7" t="e">
        <f t="shared" si="23"/>
        <v>#DIV/0!</v>
      </c>
      <c r="M131" s="2"/>
      <c r="N131" s="3">
        <f>Input!I133</f>
        <v>0</v>
      </c>
      <c r="O131" s="7">
        <f>Input!J133</f>
        <v>0</v>
      </c>
      <c r="P131" s="6">
        <f>Input!K133</f>
        <v>0</v>
      </c>
      <c r="Q131" s="2"/>
      <c r="R131" s="3">
        <f>Input!M133</f>
        <v>0</v>
      </c>
      <c r="S131" s="3">
        <f>Input!N133</f>
        <v>0</v>
      </c>
      <c r="T131" s="3">
        <f t="shared" si="24"/>
        <v>187</v>
      </c>
      <c r="U131" s="3" t="str">
        <f t="shared" si="25"/>
        <v>00</v>
      </c>
      <c r="V131" s="7">
        <f t="shared" si="26"/>
        <v>0</v>
      </c>
      <c r="W131" s="6">
        <f t="shared" si="27"/>
        <v>0</v>
      </c>
      <c r="X131" s="7">
        <f t="shared" si="33"/>
        <v>0</v>
      </c>
      <c r="Y131" s="7">
        <f t="shared" si="28"/>
        <v>0</v>
      </c>
      <c r="Z131" s="7">
        <f t="shared" si="29"/>
        <v>0</v>
      </c>
      <c r="AA131" s="7">
        <f t="shared" si="30"/>
        <v>0</v>
      </c>
      <c r="AB131" s="7">
        <f t="shared" si="31"/>
        <v>0</v>
      </c>
      <c r="AC131" s="7">
        <f t="shared" si="32"/>
        <v>0</v>
      </c>
      <c r="AD131" s="7" t="e">
        <f t="shared" si="17"/>
        <v>#DIV/0!</v>
      </c>
    </row>
    <row r="132" spans="1:30" x14ac:dyDescent="0.25">
      <c r="A132" s="3">
        <f>Input!A134</f>
        <v>0</v>
      </c>
      <c r="B132" s="7">
        <f>Input!B134</f>
        <v>0</v>
      </c>
      <c r="C132" s="7">
        <f t="shared" si="18"/>
        <v>0</v>
      </c>
      <c r="D132" s="7">
        <f t="shared" si="19"/>
        <v>0</v>
      </c>
      <c r="E132" s="2"/>
      <c r="F132" s="3">
        <f>Input!D134</f>
        <v>0</v>
      </c>
      <c r="G132" s="3">
        <f>Input!E134</f>
        <v>0</v>
      </c>
      <c r="H132" s="3" t="str">
        <f t="shared" si="20"/>
        <v>00</v>
      </c>
      <c r="I132" s="7">
        <f>Input!G134</f>
        <v>0</v>
      </c>
      <c r="J132" s="7">
        <f t="shared" si="21"/>
        <v>0</v>
      </c>
      <c r="K132" s="7">
        <f t="shared" si="22"/>
        <v>0</v>
      </c>
      <c r="L132" s="7" t="e">
        <f t="shared" si="23"/>
        <v>#DIV/0!</v>
      </c>
      <c r="M132" s="2"/>
      <c r="N132" s="3">
        <f>Input!I134</f>
        <v>0</v>
      </c>
      <c r="O132" s="7">
        <f>Input!J134</f>
        <v>0</v>
      </c>
      <c r="P132" s="6">
        <f>Input!K134</f>
        <v>0</v>
      </c>
      <c r="Q132" s="2"/>
      <c r="R132" s="3">
        <f>Input!M134</f>
        <v>0</v>
      </c>
      <c r="S132" s="3">
        <f>Input!N134</f>
        <v>0</v>
      </c>
      <c r="T132" s="3">
        <f t="shared" si="24"/>
        <v>187</v>
      </c>
      <c r="U132" s="3" t="str">
        <f t="shared" si="25"/>
        <v>00</v>
      </c>
      <c r="V132" s="7">
        <f t="shared" si="26"/>
        <v>0</v>
      </c>
      <c r="W132" s="6">
        <f t="shared" si="27"/>
        <v>0</v>
      </c>
      <c r="X132" s="7">
        <f t="shared" si="33"/>
        <v>0</v>
      </c>
      <c r="Y132" s="7">
        <f t="shared" si="28"/>
        <v>0</v>
      </c>
      <c r="Z132" s="7">
        <f t="shared" si="29"/>
        <v>0</v>
      </c>
      <c r="AA132" s="7">
        <f t="shared" si="30"/>
        <v>0</v>
      </c>
      <c r="AB132" s="7">
        <f t="shared" si="31"/>
        <v>0</v>
      </c>
      <c r="AC132" s="7">
        <f t="shared" si="32"/>
        <v>0</v>
      </c>
      <c r="AD132" s="7" t="e">
        <f t="shared" ref="AD132:AD195" si="34">IF(AA132&gt;=AB132,AB132*X132/Y132*Z132/AA132,Z132*AB132/X132)</f>
        <v>#DIV/0!</v>
      </c>
    </row>
    <row r="133" spans="1:30" x14ac:dyDescent="0.25">
      <c r="A133" s="3">
        <f>Input!A135</f>
        <v>0</v>
      </c>
      <c r="B133" s="7">
        <f>Input!B135</f>
        <v>0</v>
      </c>
      <c r="C133" s="7">
        <f t="shared" ref="C133:C196" si="35">SUMIF($G$4:$G$201,$A133,$I$4:$I$201)</f>
        <v>0</v>
      </c>
      <c r="D133" s="7">
        <f t="shared" ref="D133:D196" si="36">+C133+B133</f>
        <v>0</v>
      </c>
      <c r="E133" s="2"/>
      <c r="F133" s="3">
        <f>Input!D135</f>
        <v>0</v>
      </c>
      <c r="G133" s="3">
        <f>Input!E135</f>
        <v>0</v>
      </c>
      <c r="H133" s="3" t="str">
        <f t="shared" ref="H133:H196" si="37">+F133&amp;G133</f>
        <v>00</v>
      </c>
      <c r="I133" s="7">
        <f>Input!G135</f>
        <v>0</v>
      </c>
      <c r="J133" s="7">
        <f t="shared" ref="J133:J196" si="38">VLOOKUP(G133,$A:$D,4,0)</f>
        <v>0</v>
      </c>
      <c r="K133" s="7">
        <f t="shared" ref="K133:K196" si="39">SUMIF($F$4:$F$201,F133,$J$4:$J$201)</f>
        <v>0</v>
      </c>
      <c r="L133" s="7" t="e">
        <f t="shared" ref="L133:L196" si="40">+I133*J133/K133</f>
        <v>#DIV/0!</v>
      </c>
      <c r="M133" s="2"/>
      <c r="N133" s="3">
        <f>Input!I135</f>
        <v>0</v>
      </c>
      <c r="O133" s="7">
        <f>Input!J135</f>
        <v>0</v>
      </c>
      <c r="P133" s="6">
        <f>Input!K135</f>
        <v>0</v>
      </c>
      <c r="Q133" s="2"/>
      <c r="R133" s="3">
        <f>Input!M135</f>
        <v>0</v>
      </c>
      <c r="S133" s="3">
        <f>Input!N135</f>
        <v>0</v>
      </c>
      <c r="T133" s="3">
        <f t="shared" ref="T133:T196" si="41">COUNTIF($S$4:$S$201,S133)</f>
        <v>187</v>
      </c>
      <c r="U133" s="3" t="str">
        <f t="shared" ref="U133:U196" si="42">+S133&amp;R133</f>
        <v>00</v>
      </c>
      <c r="V133" s="7">
        <f t="shared" ref="V133:V196" si="43">VLOOKUP(R133,N:P,2,0)</f>
        <v>0</v>
      </c>
      <c r="W133" s="6">
        <f t="shared" ref="W133:W196" si="44">VLOOKUP(R133,N:P,3,0)</f>
        <v>0</v>
      </c>
      <c r="X133" s="7">
        <f t="shared" si="33"/>
        <v>0</v>
      </c>
      <c r="Y133" s="7">
        <f t="shared" ref="Y133:Y196" si="45">SUMIF($R$4:$R$201,R133,$X$4:$X$201)</f>
        <v>0</v>
      </c>
      <c r="Z133" s="7">
        <f t="shared" ref="Z133:Z196" si="46">IF(V133&gt;0,V133*X133/MAX(V133,Y133),W133*X133)</f>
        <v>0</v>
      </c>
      <c r="AA133" s="7">
        <f t="shared" ref="AA133:AA196" si="47">SUMIF($S$4:$S$201,S133,$Z$4:$Z$201)</f>
        <v>0</v>
      </c>
      <c r="AB133" s="7">
        <f t="shared" ref="AB133:AB196" si="48">VLOOKUP(S133,A:B,2,0)</f>
        <v>0</v>
      </c>
      <c r="AC133" s="7">
        <f t="shared" ref="AC133:AC196" si="49">VLOOKUP(S133,A:C,3,0)</f>
        <v>0</v>
      </c>
      <c r="AD133" s="7" t="e">
        <f t="shared" si="34"/>
        <v>#DIV/0!</v>
      </c>
    </row>
    <row r="134" spans="1:30" x14ac:dyDescent="0.25">
      <c r="A134" s="3">
        <f>Input!A136</f>
        <v>0</v>
      </c>
      <c r="B134" s="7">
        <f>Input!B136</f>
        <v>0</v>
      </c>
      <c r="C134" s="7">
        <f t="shared" si="35"/>
        <v>0</v>
      </c>
      <c r="D134" s="7">
        <f t="shared" si="36"/>
        <v>0</v>
      </c>
      <c r="E134" s="2"/>
      <c r="F134" s="3">
        <f>Input!D136</f>
        <v>0</v>
      </c>
      <c r="G134" s="3">
        <f>Input!E136</f>
        <v>0</v>
      </c>
      <c r="H134" s="3" t="str">
        <f t="shared" si="37"/>
        <v>00</v>
      </c>
      <c r="I134" s="7">
        <f>Input!G136</f>
        <v>0</v>
      </c>
      <c r="J134" s="7">
        <f t="shared" si="38"/>
        <v>0</v>
      </c>
      <c r="K134" s="7">
        <f t="shared" si="39"/>
        <v>0</v>
      </c>
      <c r="L134" s="7" t="e">
        <f t="shared" si="40"/>
        <v>#DIV/0!</v>
      </c>
      <c r="M134" s="2"/>
      <c r="N134" s="3">
        <f>Input!I136</f>
        <v>0</v>
      </c>
      <c r="O134" s="7">
        <f>Input!J136</f>
        <v>0</v>
      </c>
      <c r="P134" s="6">
        <f>Input!K136</f>
        <v>0</v>
      </c>
      <c r="Q134" s="2"/>
      <c r="R134" s="3">
        <f>Input!M136</f>
        <v>0</v>
      </c>
      <c r="S134" s="3">
        <f>Input!N136</f>
        <v>0</v>
      </c>
      <c r="T134" s="3">
        <f t="shared" si="41"/>
        <v>187</v>
      </c>
      <c r="U134" s="3" t="str">
        <f t="shared" si="42"/>
        <v>00</v>
      </c>
      <c r="V134" s="7">
        <f t="shared" si="43"/>
        <v>0</v>
      </c>
      <c r="W134" s="6">
        <f t="shared" si="44"/>
        <v>0</v>
      </c>
      <c r="X134" s="7">
        <f t="shared" si="33"/>
        <v>0</v>
      </c>
      <c r="Y134" s="7">
        <f t="shared" si="45"/>
        <v>0</v>
      </c>
      <c r="Z134" s="7">
        <f t="shared" si="46"/>
        <v>0</v>
      </c>
      <c r="AA134" s="7">
        <f t="shared" si="47"/>
        <v>0</v>
      </c>
      <c r="AB134" s="7">
        <f t="shared" si="48"/>
        <v>0</v>
      </c>
      <c r="AC134" s="7">
        <f t="shared" si="49"/>
        <v>0</v>
      </c>
      <c r="AD134" s="7" t="e">
        <f t="shared" si="34"/>
        <v>#DIV/0!</v>
      </c>
    </row>
    <row r="135" spans="1:30" x14ac:dyDescent="0.25">
      <c r="A135" s="3">
        <f>Input!A137</f>
        <v>0</v>
      </c>
      <c r="B135" s="7">
        <f>Input!B137</f>
        <v>0</v>
      </c>
      <c r="C135" s="7">
        <f t="shared" si="35"/>
        <v>0</v>
      </c>
      <c r="D135" s="7">
        <f t="shared" si="36"/>
        <v>0</v>
      </c>
      <c r="E135" s="2"/>
      <c r="F135" s="3">
        <f>Input!D137</f>
        <v>0</v>
      </c>
      <c r="G135" s="3">
        <f>Input!E137</f>
        <v>0</v>
      </c>
      <c r="H135" s="3" t="str">
        <f t="shared" si="37"/>
        <v>00</v>
      </c>
      <c r="I135" s="7">
        <f>Input!G137</f>
        <v>0</v>
      </c>
      <c r="J135" s="7">
        <f t="shared" si="38"/>
        <v>0</v>
      </c>
      <c r="K135" s="7">
        <f t="shared" si="39"/>
        <v>0</v>
      </c>
      <c r="L135" s="7" t="e">
        <f t="shared" si="40"/>
        <v>#DIV/0!</v>
      </c>
      <c r="M135" s="2"/>
      <c r="N135" s="3">
        <f>Input!I137</f>
        <v>0</v>
      </c>
      <c r="O135" s="7">
        <f>Input!J137</f>
        <v>0</v>
      </c>
      <c r="P135" s="6">
        <f>Input!K137</f>
        <v>0</v>
      </c>
      <c r="Q135" s="2"/>
      <c r="R135" s="3">
        <f>Input!M137</f>
        <v>0</v>
      </c>
      <c r="S135" s="3">
        <f>Input!N137</f>
        <v>0</v>
      </c>
      <c r="T135" s="3">
        <f t="shared" si="41"/>
        <v>187</v>
      </c>
      <c r="U135" s="3" t="str">
        <f t="shared" si="42"/>
        <v>00</v>
      </c>
      <c r="V135" s="7">
        <f t="shared" si="43"/>
        <v>0</v>
      </c>
      <c r="W135" s="6">
        <f t="shared" si="44"/>
        <v>0</v>
      </c>
      <c r="X135" s="7">
        <f t="shared" ref="X135:X198" si="50">(VLOOKUP(S135,A:C,2,0)+VLOOKUP(S135,A:C,3,0))</f>
        <v>0</v>
      </c>
      <c r="Y135" s="7">
        <f t="shared" si="45"/>
        <v>0</v>
      </c>
      <c r="Z135" s="7">
        <f t="shared" si="46"/>
        <v>0</v>
      </c>
      <c r="AA135" s="7">
        <f t="shared" si="47"/>
        <v>0</v>
      </c>
      <c r="AB135" s="7">
        <f t="shared" si="48"/>
        <v>0</v>
      </c>
      <c r="AC135" s="7">
        <f t="shared" si="49"/>
        <v>0</v>
      </c>
      <c r="AD135" s="7" t="e">
        <f t="shared" si="34"/>
        <v>#DIV/0!</v>
      </c>
    </row>
    <row r="136" spans="1:30" x14ac:dyDescent="0.25">
      <c r="A136" s="3">
        <f>Input!A138</f>
        <v>0</v>
      </c>
      <c r="B136" s="7">
        <f>Input!B138</f>
        <v>0</v>
      </c>
      <c r="C136" s="7">
        <f t="shared" si="35"/>
        <v>0</v>
      </c>
      <c r="D136" s="7">
        <f t="shared" si="36"/>
        <v>0</v>
      </c>
      <c r="E136" s="2"/>
      <c r="F136" s="3">
        <f>Input!D138</f>
        <v>0</v>
      </c>
      <c r="G136" s="3">
        <f>Input!E138</f>
        <v>0</v>
      </c>
      <c r="H136" s="3" t="str">
        <f t="shared" si="37"/>
        <v>00</v>
      </c>
      <c r="I136" s="7">
        <f>Input!G138</f>
        <v>0</v>
      </c>
      <c r="J136" s="7">
        <f t="shared" si="38"/>
        <v>0</v>
      </c>
      <c r="K136" s="7">
        <f t="shared" si="39"/>
        <v>0</v>
      </c>
      <c r="L136" s="7" t="e">
        <f t="shared" si="40"/>
        <v>#DIV/0!</v>
      </c>
      <c r="M136" s="2"/>
      <c r="N136" s="3">
        <f>Input!I138</f>
        <v>0</v>
      </c>
      <c r="O136" s="7">
        <f>Input!J138</f>
        <v>0</v>
      </c>
      <c r="P136" s="6">
        <f>Input!K138</f>
        <v>0</v>
      </c>
      <c r="Q136" s="2"/>
      <c r="R136" s="3">
        <f>Input!M138</f>
        <v>0</v>
      </c>
      <c r="S136" s="3">
        <f>Input!N138</f>
        <v>0</v>
      </c>
      <c r="T136" s="3">
        <f t="shared" si="41"/>
        <v>187</v>
      </c>
      <c r="U136" s="3" t="str">
        <f t="shared" si="42"/>
        <v>00</v>
      </c>
      <c r="V136" s="7">
        <f t="shared" si="43"/>
        <v>0</v>
      </c>
      <c r="W136" s="6">
        <f t="shared" si="44"/>
        <v>0</v>
      </c>
      <c r="X136" s="7">
        <f t="shared" si="50"/>
        <v>0</v>
      </c>
      <c r="Y136" s="7">
        <f t="shared" si="45"/>
        <v>0</v>
      </c>
      <c r="Z136" s="7">
        <f t="shared" si="46"/>
        <v>0</v>
      </c>
      <c r="AA136" s="7">
        <f t="shared" si="47"/>
        <v>0</v>
      </c>
      <c r="AB136" s="7">
        <f t="shared" si="48"/>
        <v>0</v>
      </c>
      <c r="AC136" s="7">
        <f t="shared" si="49"/>
        <v>0</v>
      </c>
      <c r="AD136" s="7" t="e">
        <f t="shared" si="34"/>
        <v>#DIV/0!</v>
      </c>
    </row>
    <row r="137" spans="1:30" x14ac:dyDescent="0.25">
      <c r="A137" s="3">
        <f>Input!A139</f>
        <v>0</v>
      </c>
      <c r="B137" s="7">
        <f>Input!B139</f>
        <v>0</v>
      </c>
      <c r="C137" s="7">
        <f t="shared" si="35"/>
        <v>0</v>
      </c>
      <c r="D137" s="7">
        <f t="shared" si="36"/>
        <v>0</v>
      </c>
      <c r="E137" s="2"/>
      <c r="F137" s="3">
        <f>Input!D139</f>
        <v>0</v>
      </c>
      <c r="G137" s="3">
        <f>Input!E139</f>
        <v>0</v>
      </c>
      <c r="H137" s="3" t="str">
        <f t="shared" si="37"/>
        <v>00</v>
      </c>
      <c r="I137" s="7">
        <f>Input!G139</f>
        <v>0</v>
      </c>
      <c r="J137" s="7">
        <f t="shared" si="38"/>
        <v>0</v>
      </c>
      <c r="K137" s="7">
        <f t="shared" si="39"/>
        <v>0</v>
      </c>
      <c r="L137" s="7" t="e">
        <f t="shared" si="40"/>
        <v>#DIV/0!</v>
      </c>
      <c r="M137" s="2"/>
      <c r="N137" s="3">
        <f>Input!I139</f>
        <v>0</v>
      </c>
      <c r="O137" s="7">
        <f>Input!J139</f>
        <v>0</v>
      </c>
      <c r="P137" s="6">
        <f>Input!K139</f>
        <v>0</v>
      </c>
      <c r="Q137" s="2"/>
      <c r="R137" s="3">
        <f>Input!M139</f>
        <v>0</v>
      </c>
      <c r="S137" s="3">
        <f>Input!N139</f>
        <v>0</v>
      </c>
      <c r="T137" s="3">
        <f t="shared" si="41"/>
        <v>187</v>
      </c>
      <c r="U137" s="3" t="str">
        <f t="shared" si="42"/>
        <v>00</v>
      </c>
      <c r="V137" s="7">
        <f t="shared" si="43"/>
        <v>0</v>
      </c>
      <c r="W137" s="6">
        <f t="shared" si="44"/>
        <v>0</v>
      </c>
      <c r="X137" s="7">
        <f t="shared" si="50"/>
        <v>0</v>
      </c>
      <c r="Y137" s="7">
        <f t="shared" si="45"/>
        <v>0</v>
      </c>
      <c r="Z137" s="7">
        <f t="shared" si="46"/>
        <v>0</v>
      </c>
      <c r="AA137" s="7">
        <f t="shared" si="47"/>
        <v>0</v>
      </c>
      <c r="AB137" s="7">
        <f t="shared" si="48"/>
        <v>0</v>
      </c>
      <c r="AC137" s="7">
        <f t="shared" si="49"/>
        <v>0</v>
      </c>
      <c r="AD137" s="7" t="e">
        <f t="shared" si="34"/>
        <v>#DIV/0!</v>
      </c>
    </row>
    <row r="138" spans="1:30" x14ac:dyDescent="0.25">
      <c r="A138" s="3">
        <f>Input!A140</f>
        <v>0</v>
      </c>
      <c r="B138" s="7">
        <f>Input!B140</f>
        <v>0</v>
      </c>
      <c r="C138" s="7">
        <f t="shared" si="35"/>
        <v>0</v>
      </c>
      <c r="D138" s="7">
        <f t="shared" si="36"/>
        <v>0</v>
      </c>
      <c r="E138" s="2"/>
      <c r="F138" s="3">
        <f>Input!D140</f>
        <v>0</v>
      </c>
      <c r="G138" s="3">
        <f>Input!E140</f>
        <v>0</v>
      </c>
      <c r="H138" s="3" t="str">
        <f t="shared" si="37"/>
        <v>00</v>
      </c>
      <c r="I138" s="7">
        <f>Input!G140</f>
        <v>0</v>
      </c>
      <c r="J138" s="7">
        <f t="shared" si="38"/>
        <v>0</v>
      </c>
      <c r="K138" s="7">
        <f t="shared" si="39"/>
        <v>0</v>
      </c>
      <c r="L138" s="7" t="e">
        <f t="shared" si="40"/>
        <v>#DIV/0!</v>
      </c>
      <c r="M138" s="2"/>
      <c r="N138" s="3">
        <f>Input!I140</f>
        <v>0</v>
      </c>
      <c r="O138" s="7">
        <f>Input!J140</f>
        <v>0</v>
      </c>
      <c r="P138" s="6">
        <f>Input!K140</f>
        <v>0</v>
      </c>
      <c r="Q138" s="2"/>
      <c r="R138" s="3">
        <f>Input!M140</f>
        <v>0</v>
      </c>
      <c r="S138" s="3">
        <f>Input!N140</f>
        <v>0</v>
      </c>
      <c r="T138" s="3">
        <f t="shared" si="41"/>
        <v>187</v>
      </c>
      <c r="U138" s="3" t="str">
        <f t="shared" si="42"/>
        <v>00</v>
      </c>
      <c r="V138" s="7">
        <f t="shared" si="43"/>
        <v>0</v>
      </c>
      <c r="W138" s="6">
        <f t="shared" si="44"/>
        <v>0</v>
      </c>
      <c r="X138" s="7">
        <f t="shared" si="50"/>
        <v>0</v>
      </c>
      <c r="Y138" s="7">
        <f t="shared" si="45"/>
        <v>0</v>
      </c>
      <c r="Z138" s="7">
        <f t="shared" si="46"/>
        <v>0</v>
      </c>
      <c r="AA138" s="7">
        <f t="shared" si="47"/>
        <v>0</v>
      </c>
      <c r="AB138" s="7">
        <f t="shared" si="48"/>
        <v>0</v>
      </c>
      <c r="AC138" s="7">
        <f t="shared" si="49"/>
        <v>0</v>
      </c>
      <c r="AD138" s="7" t="e">
        <f t="shared" si="34"/>
        <v>#DIV/0!</v>
      </c>
    </row>
    <row r="139" spans="1:30" x14ac:dyDescent="0.25">
      <c r="A139" s="3">
        <f>Input!A141</f>
        <v>0</v>
      </c>
      <c r="B139" s="7">
        <f>Input!B141</f>
        <v>0</v>
      </c>
      <c r="C139" s="7">
        <f t="shared" si="35"/>
        <v>0</v>
      </c>
      <c r="D139" s="7">
        <f t="shared" si="36"/>
        <v>0</v>
      </c>
      <c r="E139" s="2"/>
      <c r="F139" s="3">
        <f>Input!D141</f>
        <v>0</v>
      </c>
      <c r="G139" s="3">
        <f>Input!E141</f>
        <v>0</v>
      </c>
      <c r="H139" s="3" t="str">
        <f t="shared" si="37"/>
        <v>00</v>
      </c>
      <c r="I139" s="7">
        <f>Input!G141</f>
        <v>0</v>
      </c>
      <c r="J139" s="7">
        <f t="shared" si="38"/>
        <v>0</v>
      </c>
      <c r="K139" s="7">
        <f t="shared" si="39"/>
        <v>0</v>
      </c>
      <c r="L139" s="7" t="e">
        <f t="shared" si="40"/>
        <v>#DIV/0!</v>
      </c>
      <c r="M139" s="2"/>
      <c r="N139" s="3">
        <f>Input!I141</f>
        <v>0</v>
      </c>
      <c r="O139" s="7">
        <f>Input!J141</f>
        <v>0</v>
      </c>
      <c r="P139" s="6">
        <f>Input!K141</f>
        <v>0</v>
      </c>
      <c r="Q139" s="2"/>
      <c r="R139" s="3">
        <f>Input!M141</f>
        <v>0</v>
      </c>
      <c r="S139" s="3">
        <f>Input!N141</f>
        <v>0</v>
      </c>
      <c r="T139" s="3">
        <f t="shared" si="41"/>
        <v>187</v>
      </c>
      <c r="U139" s="3" t="str">
        <f t="shared" si="42"/>
        <v>00</v>
      </c>
      <c r="V139" s="7">
        <f t="shared" si="43"/>
        <v>0</v>
      </c>
      <c r="W139" s="6">
        <f t="shared" si="44"/>
        <v>0</v>
      </c>
      <c r="X139" s="7">
        <f t="shared" si="50"/>
        <v>0</v>
      </c>
      <c r="Y139" s="7">
        <f t="shared" si="45"/>
        <v>0</v>
      </c>
      <c r="Z139" s="7">
        <f t="shared" si="46"/>
        <v>0</v>
      </c>
      <c r="AA139" s="7">
        <f t="shared" si="47"/>
        <v>0</v>
      </c>
      <c r="AB139" s="7">
        <f t="shared" si="48"/>
        <v>0</v>
      </c>
      <c r="AC139" s="7">
        <f t="shared" si="49"/>
        <v>0</v>
      </c>
      <c r="AD139" s="7" t="e">
        <f t="shared" si="34"/>
        <v>#DIV/0!</v>
      </c>
    </row>
    <row r="140" spans="1:30" x14ac:dyDescent="0.25">
      <c r="A140" s="3">
        <f>Input!A142</f>
        <v>0</v>
      </c>
      <c r="B140" s="7">
        <f>Input!B142</f>
        <v>0</v>
      </c>
      <c r="C140" s="7">
        <f t="shared" si="35"/>
        <v>0</v>
      </c>
      <c r="D140" s="7">
        <f t="shared" si="36"/>
        <v>0</v>
      </c>
      <c r="E140" s="2"/>
      <c r="F140" s="3">
        <f>Input!D142</f>
        <v>0</v>
      </c>
      <c r="G140" s="3">
        <f>Input!E142</f>
        <v>0</v>
      </c>
      <c r="H140" s="3" t="str">
        <f t="shared" si="37"/>
        <v>00</v>
      </c>
      <c r="I140" s="7">
        <f>Input!G142</f>
        <v>0</v>
      </c>
      <c r="J140" s="7">
        <f t="shared" si="38"/>
        <v>0</v>
      </c>
      <c r="K140" s="7">
        <f t="shared" si="39"/>
        <v>0</v>
      </c>
      <c r="L140" s="7" t="e">
        <f t="shared" si="40"/>
        <v>#DIV/0!</v>
      </c>
      <c r="M140" s="2"/>
      <c r="N140" s="3">
        <f>Input!I142</f>
        <v>0</v>
      </c>
      <c r="O140" s="7">
        <f>Input!J142</f>
        <v>0</v>
      </c>
      <c r="P140" s="6">
        <f>Input!K142</f>
        <v>0</v>
      </c>
      <c r="Q140" s="2"/>
      <c r="R140" s="3">
        <f>Input!M142</f>
        <v>0</v>
      </c>
      <c r="S140" s="3">
        <f>Input!N142</f>
        <v>0</v>
      </c>
      <c r="T140" s="3">
        <f t="shared" si="41"/>
        <v>187</v>
      </c>
      <c r="U140" s="3" t="str">
        <f t="shared" si="42"/>
        <v>00</v>
      </c>
      <c r="V140" s="7">
        <f t="shared" si="43"/>
        <v>0</v>
      </c>
      <c r="W140" s="6">
        <f t="shared" si="44"/>
        <v>0</v>
      </c>
      <c r="X140" s="7">
        <f t="shared" si="50"/>
        <v>0</v>
      </c>
      <c r="Y140" s="7">
        <f t="shared" si="45"/>
        <v>0</v>
      </c>
      <c r="Z140" s="7">
        <f t="shared" si="46"/>
        <v>0</v>
      </c>
      <c r="AA140" s="7">
        <f t="shared" si="47"/>
        <v>0</v>
      </c>
      <c r="AB140" s="7">
        <f t="shared" si="48"/>
        <v>0</v>
      </c>
      <c r="AC140" s="7">
        <f t="shared" si="49"/>
        <v>0</v>
      </c>
      <c r="AD140" s="7" t="e">
        <f t="shared" si="34"/>
        <v>#DIV/0!</v>
      </c>
    </row>
    <row r="141" spans="1:30" x14ac:dyDescent="0.25">
      <c r="A141" s="3">
        <f>Input!A143</f>
        <v>0</v>
      </c>
      <c r="B141" s="7">
        <f>Input!B143</f>
        <v>0</v>
      </c>
      <c r="C141" s="7">
        <f t="shared" si="35"/>
        <v>0</v>
      </c>
      <c r="D141" s="7">
        <f t="shared" si="36"/>
        <v>0</v>
      </c>
      <c r="E141" s="2"/>
      <c r="F141" s="3">
        <f>Input!D143</f>
        <v>0</v>
      </c>
      <c r="G141" s="3">
        <f>Input!E143</f>
        <v>0</v>
      </c>
      <c r="H141" s="3" t="str">
        <f t="shared" si="37"/>
        <v>00</v>
      </c>
      <c r="I141" s="7">
        <f>Input!G143</f>
        <v>0</v>
      </c>
      <c r="J141" s="7">
        <f t="shared" si="38"/>
        <v>0</v>
      </c>
      <c r="K141" s="7">
        <f t="shared" si="39"/>
        <v>0</v>
      </c>
      <c r="L141" s="7" t="e">
        <f t="shared" si="40"/>
        <v>#DIV/0!</v>
      </c>
      <c r="M141" s="2"/>
      <c r="N141" s="3">
        <f>Input!I143</f>
        <v>0</v>
      </c>
      <c r="O141" s="7">
        <f>Input!J143</f>
        <v>0</v>
      </c>
      <c r="P141" s="6">
        <f>Input!K143</f>
        <v>0</v>
      </c>
      <c r="Q141" s="2"/>
      <c r="R141" s="3">
        <f>Input!M143</f>
        <v>0</v>
      </c>
      <c r="S141" s="3">
        <f>Input!N143</f>
        <v>0</v>
      </c>
      <c r="T141" s="3">
        <f t="shared" si="41"/>
        <v>187</v>
      </c>
      <c r="U141" s="3" t="str">
        <f t="shared" si="42"/>
        <v>00</v>
      </c>
      <c r="V141" s="7">
        <f t="shared" si="43"/>
        <v>0</v>
      </c>
      <c r="W141" s="6">
        <f t="shared" si="44"/>
        <v>0</v>
      </c>
      <c r="X141" s="7">
        <f t="shared" si="50"/>
        <v>0</v>
      </c>
      <c r="Y141" s="7">
        <f t="shared" si="45"/>
        <v>0</v>
      </c>
      <c r="Z141" s="7">
        <f t="shared" si="46"/>
        <v>0</v>
      </c>
      <c r="AA141" s="7">
        <f t="shared" si="47"/>
        <v>0</v>
      </c>
      <c r="AB141" s="7">
        <f t="shared" si="48"/>
        <v>0</v>
      </c>
      <c r="AC141" s="7">
        <f t="shared" si="49"/>
        <v>0</v>
      </c>
      <c r="AD141" s="7" t="e">
        <f t="shared" si="34"/>
        <v>#DIV/0!</v>
      </c>
    </row>
    <row r="142" spans="1:30" x14ac:dyDescent="0.25">
      <c r="A142" s="3">
        <f>Input!A144</f>
        <v>0</v>
      </c>
      <c r="B142" s="7">
        <f>Input!B144</f>
        <v>0</v>
      </c>
      <c r="C142" s="7">
        <f t="shared" si="35"/>
        <v>0</v>
      </c>
      <c r="D142" s="7">
        <f t="shared" si="36"/>
        <v>0</v>
      </c>
      <c r="E142" s="2"/>
      <c r="F142" s="3">
        <f>Input!D144</f>
        <v>0</v>
      </c>
      <c r="G142" s="3">
        <f>Input!E144</f>
        <v>0</v>
      </c>
      <c r="H142" s="3" t="str">
        <f t="shared" si="37"/>
        <v>00</v>
      </c>
      <c r="I142" s="7">
        <f>Input!G144</f>
        <v>0</v>
      </c>
      <c r="J142" s="7">
        <f t="shared" si="38"/>
        <v>0</v>
      </c>
      <c r="K142" s="7">
        <f t="shared" si="39"/>
        <v>0</v>
      </c>
      <c r="L142" s="7" t="e">
        <f t="shared" si="40"/>
        <v>#DIV/0!</v>
      </c>
      <c r="M142" s="2"/>
      <c r="N142" s="3">
        <f>Input!I144</f>
        <v>0</v>
      </c>
      <c r="O142" s="7">
        <f>Input!J144</f>
        <v>0</v>
      </c>
      <c r="P142" s="6">
        <f>Input!K144</f>
        <v>0</v>
      </c>
      <c r="Q142" s="2"/>
      <c r="R142" s="3">
        <f>Input!M144</f>
        <v>0</v>
      </c>
      <c r="S142" s="3">
        <f>Input!N144</f>
        <v>0</v>
      </c>
      <c r="T142" s="3">
        <f t="shared" si="41"/>
        <v>187</v>
      </c>
      <c r="U142" s="3" t="str">
        <f t="shared" si="42"/>
        <v>00</v>
      </c>
      <c r="V142" s="7">
        <f t="shared" si="43"/>
        <v>0</v>
      </c>
      <c r="W142" s="6">
        <f t="shared" si="44"/>
        <v>0</v>
      </c>
      <c r="X142" s="7">
        <f t="shared" si="50"/>
        <v>0</v>
      </c>
      <c r="Y142" s="7">
        <f t="shared" si="45"/>
        <v>0</v>
      </c>
      <c r="Z142" s="7">
        <f t="shared" si="46"/>
        <v>0</v>
      </c>
      <c r="AA142" s="7">
        <f t="shared" si="47"/>
        <v>0</v>
      </c>
      <c r="AB142" s="7">
        <f t="shared" si="48"/>
        <v>0</v>
      </c>
      <c r="AC142" s="7">
        <f t="shared" si="49"/>
        <v>0</v>
      </c>
      <c r="AD142" s="7" t="e">
        <f t="shared" si="34"/>
        <v>#DIV/0!</v>
      </c>
    </row>
    <row r="143" spans="1:30" x14ac:dyDescent="0.25">
      <c r="A143" s="3">
        <f>Input!A145</f>
        <v>0</v>
      </c>
      <c r="B143" s="7">
        <f>Input!B145</f>
        <v>0</v>
      </c>
      <c r="C143" s="7">
        <f t="shared" si="35"/>
        <v>0</v>
      </c>
      <c r="D143" s="7">
        <f t="shared" si="36"/>
        <v>0</v>
      </c>
      <c r="E143" s="2"/>
      <c r="F143" s="3">
        <f>Input!D145</f>
        <v>0</v>
      </c>
      <c r="G143" s="3">
        <f>Input!E145</f>
        <v>0</v>
      </c>
      <c r="H143" s="3" t="str">
        <f t="shared" si="37"/>
        <v>00</v>
      </c>
      <c r="I143" s="7">
        <f>Input!G145</f>
        <v>0</v>
      </c>
      <c r="J143" s="7">
        <f t="shared" si="38"/>
        <v>0</v>
      </c>
      <c r="K143" s="7">
        <f t="shared" si="39"/>
        <v>0</v>
      </c>
      <c r="L143" s="7" t="e">
        <f t="shared" si="40"/>
        <v>#DIV/0!</v>
      </c>
      <c r="M143" s="2"/>
      <c r="N143" s="3">
        <f>Input!I145</f>
        <v>0</v>
      </c>
      <c r="O143" s="7">
        <f>Input!J145</f>
        <v>0</v>
      </c>
      <c r="P143" s="6">
        <f>Input!K145</f>
        <v>0</v>
      </c>
      <c r="Q143" s="2"/>
      <c r="R143" s="3">
        <f>Input!M145</f>
        <v>0</v>
      </c>
      <c r="S143" s="3">
        <f>Input!N145</f>
        <v>0</v>
      </c>
      <c r="T143" s="3">
        <f t="shared" si="41"/>
        <v>187</v>
      </c>
      <c r="U143" s="3" t="str">
        <f t="shared" si="42"/>
        <v>00</v>
      </c>
      <c r="V143" s="7">
        <f t="shared" si="43"/>
        <v>0</v>
      </c>
      <c r="W143" s="6">
        <f t="shared" si="44"/>
        <v>0</v>
      </c>
      <c r="X143" s="7">
        <f t="shared" si="50"/>
        <v>0</v>
      </c>
      <c r="Y143" s="7">
        <f t="shared" si="45"/>
        <v>0</v>
      </c>
      <c r="Z143" s="7">
        <f t="shared" si="46"/>
        <v>0</v>
      </c>
      <c r="AA143" s="7">
        <f t="shared" si="47"/>
        <v>0</v>
      </c>
      <c r="AB143" s="7">
        <f t="shared" si="48"/>
        <v>0</v>
      </c>
      <c r="AC143" s="7">
        <f t="shared" si="49"/>
        <v>0</v>
      </c>
      <c r="AD143" s="7" t="e">
        <f t="shared" si="34"/>
        <v>#DIV/0!</v>
      </c>
    </row>
    <row r="144" spans="1:30" x14ac:dyDescent="0.25">
      <c r="A144" s="3">
        <f>Input!A146</f>
        <v>0</v>
      </c>
      <c r="B144" s="7">
        <f>Input!B146</f>
        <v>0</v>
      </c>
      <c r="C144" s="7">
        <f t="shared" si="35"/>
        <v>0</v>
      </c>
      <c r="D144" s="7">
        <f t="shared" si="36"/>
        <v>0</v>
      </c>
      <c r="E144" s="2"/>
      <c r="F144" s="3">
        <f>Input!D146</f>
        <v>0</v>
      </c>
      <c r="G144" s="3">
        <f>Input!E146</f>
        <v>0</v>
      </c>
      <c r="H144" s="3" t="str">
        <f t="shared" si="37"/>
        <v>00</v>
      </c>
      <c r="I144" s="7">
        <f>Input!G146</f>
        <v>0</v>
      </c>
      <c r="J144" s="7">
        <f t="shared" si="38"/>
        <v>0</v>
      </c>
      <c r="K144" s="7">
        <f t="shared" si="39"/>
        <v>0</v>
      </c>
      <c r="L144" s="7" t="e">
        <f t="shared" si="40"/>
        <v>#DIV/0!</v>
      </c>
      <c r="M144" s="2"/>
      <c r="N144" s="3">
        <f>Input!I146</f>
        <v>0</v>
      </c>
      <c r="O144" s="7">
        <f>Input!J146</f>
        <v>0</v>
      </c>
      <c r="P144" s="6">
        <f>Input!K146</f>
        <v>0</v>
      </c>
      <c r="Q144" s="2"/>
      <c r="R144" s="3">
        <f>Input!M146</f>
        <v>0</v>
      </c>
      <c r="S144" s="3">
        <f>Input!N146</f>
        <v>0</v>
      </c>
      <c r="T144" s="3">
        <f t="shared" si="41"/>
        <v>187</v>
      </c>
      <c r="U144" s="3" t="str">
        <f t="shared" si="42"/>
        <v>00</v>
      </c>
      <c r="V144" s="7">
        <f t="shared" si="43"/>
        <v>0</v>
      </c>
      <c r="W144" s="6">
        <f t="shared" si="44"/>
        <v>0</v>
      </c>
      <c r="X144" s="7">
        <f t="shared" si="50"/>
        <v>0</v>
      </c>
      <c r="Y144" s="7">
        <f t="shared" si="45"/>
        <v>0</v>
      </c>
      <c r="Z144" s="7">
        <f t="shared" si="46"/>
        <v>0</v>
      </c>
      <c r="AA144" s="7">
        <f t="shared" si="47"/>
        <v>0</v>
      </c>
      <c r="AB144" s="7">
        <f t="shared" si="48"/>
        <v>0</v>
      </c>
      <c r="AC144" s="7">
        <f t="shared" si="49"/>
        <v>0</v>
      </c>
      <c r="AD144" s="7" t="e">
        <f t="shared" si="34"/>
        <v>#DIV/0!</v>
      </c>
    </row>
    <row r="145" spans="1:30" x14ac:dyDescent="0.25">
      <c r="A145" s="3">
        <f>Input!A147</f>
        <v>0</v>
      </c>
      <c r="B145" s="7">
        <f>Input!B147</f>
        <v>0</v>
      </c>
      <c r="C145" s="7">
        <f t="shared" si="35"/>
        <v>0</v>
      </c>
      <c r="D145" s="7">
        <f t="shared" si="36"/>
        <v>0</v>
      </c>
      <c r="E145" s="2"/>
      <c r="F145" s="3">
        <f>Input!D147</f>
        <v>0</v>
      </c>
      <c r="G145" s="3">
        <f>Input!E147</f>
        <v>0</v>
      </c>
      <c r="H145" s="3" t="str">
        <f t="shared" si="37"/>
        <v>00</v>
      </c>
      <c r="I145" s="7">
        <f>Input!G147</f>
        <v>0</v>
      </c>
      <c r="J145" s="7">
        <f t="shared" si="38"/>
        <v>0</v>
      </c>
      <c r="K145" s="7">
        <f t="shared" si="39"/>
        <v>0</v>
      </c>
      <c r="L145" s="7" t="e">
        <f t="shared" si="40"/>
        <v>#DIV/0!</v>
      </c>
      <c r="M145" s="2"/>
      <c r="N145" s="3">
        <f>Input!I147</f>
        <v>0</v>
      </c>
      <c r="O145" s="7">
        <f>Input!J147</f>
        <v>0</v>
      </c>
      <c r="P145" s="6">
        <f>Input!K147</f>
        <v>0</v>
      </c>
      <c r="Q145" s="2"/>
      <c r="R145" s="3">
        <f>Input!M147</f>
        <v>0</v>
      </c>
      <c r="S145" s="3">
        <f>Input!N147</f>
        <v>0</v>
      </c>
      <c r="T145" s="3">
        <f t="shared" si="41"/>
        <v>187</v>
      </c>
      <c r="U145" s="3" t="str">
        <f t="shared" si="42"/>
        <v>00</v>
      </c>
      <c r="V145" s="7">
        <f t="shared" si="43"/>
        <v>0</v>
      </c>
      <c r="W145" s="6">
        <f t="shared" si="44"/>
        <v>0</v>
      </c>
      <c r="X145" s="7">
        <f t="shared" si="50"/>
        <v>0</v>
      </c>
      <c r="Y145" s="7">
        <f t="shared" si="45"/>
        <v>0</v>
      </c>
      <c r="Z145" s="7">
        <f t="shared" si="46"/>
        <v>0</v>
      </c>
      <c r="AA145" s="7">
        <f t="shared" si="47"/>
        <v>0</v>
      </c>
      <c r="AB145" s="7">
        <f t="shared" si="48"/>
        <v>0</v>
      </c>
      <c r="AC145" s="7">
        <f t="shared" si="49"/>
        <v>0</v>
      </c>
      <c r="AD145" s="7" t="e">
        <f t="shared" si="34"/>
        <v>#DIV/0!</v>
      </c>
    </row>
    <row r="146" spans="1:30" x14ac:dyDescent="0.25">
      <c r="A146" s="3">
        <f>Input!A148</f>
        <v>0</v>
      </c>
      <c r="B146" s="7">
        <f>Input!B148</f>
        <v>0</v>
      </c>
      <c r="C146" s="7">
        <f t="shared" si="35"/>
        <v>0</v>
      </c>
      <c r="D146" s="7">
        <f t="shared" si="36"/>
        <v>0</v>
      </c>
      <c r="E146" s="2"/>
      <c r="F146" s="3">
        <f>Input!D148</f>
        <v>0</v>
      </c>
      <c r="G146" s="3">
        <f>Input!E148</f>
        <v>0</v>
      </c>
      <c r="H146" s="3" t="str">
        <f t="shared" si="37"/>
        <v>00</v>
      </c>
      <c r="I146" s="7">
        <f>Input!G148</f>
        <v>0</v>
      </c>
      <c r="J146" s="7">
        <f t="shared" si="38"/>
        <v>0</v>
      </c>
      <c r="K146" s="7">
        <f t="shared" si="39"/>
        <v>0</v>
      </c>
      <c r="L146" s="7" t="e">
        <f t="shared" si="40"/>
        <v>#DIV/0!</v>
      </c>
      <c r="M146" s="2"/>
      <c r="N146" s="3">
        <f>Input!I148</f>
        <v>0</v>
      </c>
      <c r="O146" s="7">
        <f>Input!J148</f>
        <v>0</v>
      </c>
      <c r="P146" s="6">
        <f>Input!K148</f>
        <v>0</v>
      </c>
      <c r="Q146" s="2"/>
      <c r="R146" s="3">
        <f>Input!M148</f>
        <v>0</v>
      </c>
      <c r="S146" s="3">
        <f>Input!N148</f>
        <v>0</v>
      </c>
      <c r="T146" s="3">
        <f t="shared" si="41"/>
        <v>187</v>
      </c>
      <c r="U146" s="3" t="str">
        <f t="shared" si="42"/>
        <v>00</v>
      </c>
      <c r="V146" s="7">
        <f t="shared" si="43"/>
        <v>0</v>
      </c>
      <c r="W146" s="6">
        <f t="shared" si="44"/>
        <v>0</v>
      </c>
      <c r="X146" s="7">
        <f t="shared" si="50"/>
        <v>0</v>
      </c>
      <c r="Y146" s="7">
        <f t="shared" si="45"/>
        <v>0</v>
      </c>
      <c r="Z146" s="7">
        <f t="shared" si="46"/>
        <v>0</v>
      </c>
      <c r="AA146" s="7">
        <f t="shared" si="47"/>
        <v>0</v>
      </c>
      <c r="AB146" s="7">
        <f t="shared" si="48"/>
        <v>0</v>
      </c>
      <c r="AC146" s="7">
        <f t="shared" si="49"/>
        <v>0</v>
      </c>
      <c r="AD146" s="7" t="e">
        <f t="shared" si="34"/>
        <v>#DIV/0!</v>
      </c>
    </row>
    <row r="147" spans="1:30" x14ac:dyDescent="0.25">
      <c r="A147" s="3">
        <f>Input!A149</f>
        <v>0</v>
      </c>
      <c r="B147" s="7">
        <f>Input!B149</f>
        <v>0</v>
      </c>
      <c r="C147" s="7">
        <f t="shared" si="35"/>
        <v>0</v>
      </c>
      <c r="D147" s="7">
        <f t="shared" si="36"/>
        <v>0</v>
      </c>
      <c r="E147" s="2"/>
      <c r="F147" s="3">
        <f>Input!D149</f>
        <v>0</v>
      </c>
      <c r="G147" s="3">
        <f>Input!E149</f>
        <v>0</v>
      </c>
      <c r="H147" s="3" t="str">
        <f t="shared" si="37"/>
        <v>00</v>
      </c>
      <c r="I147" s="7">
        <f>Input!G149</f>
        <v>0</v>
      </c>
      <c r="J147" s="7">
        <f t="shared" si="38"/>
        <v>0</v>
      </c>
      <c r="K147" s="7">
        <f t="shared" si="39"/>
        <v>0</v>
      </c>
      <c r="L147" s="7" t="e">
        <f t="shared" si="40"/>
        <v>#DIV/0!</v>
      </c>
      <c r="M147" s="2"/>
      <c r="N147" s="3">
        <f>Input!I149</f>
        <v>0</v>
      </c>
      <c r="O147" s="7">
        <f>Input!J149</f>
        <v>0</v>
      </c>
      <c r="P147" s="6">
        <f>Input!K149</f>
        <v>0</v>
      </c>
      <c r="Q147" s="2"/>
      <c r="R147" s="3">
        <f>Input!M149</f>
        <v>0</v>
      </c>
      <c r="S147" s="3">
        <f>Input!N149</f>
        <v>0</v>
      </c>
      <c r="T147" s="3">
        <f t="shared" si="41"/>
        <v>187</v>
      </c>
      <c r="U147" s="3" t="str">
        <f t="shared" si="42"/>
        <v>00</v>
      </c>
      <c r="V147" s="7">
        <f t="shared" si="43"/>
        <v>0</v>
      </c>
      <c r="W147" s="6">
        <f t="shared" si="44"/>
        <v>0</v>
      </c>
      <c r="X147" s="7">
        <f t="shared" si="50"/>
        <v>0</v>
      </c>
      <c r="Y147" s="7">
        <f t="shared" si="45"/>
        <v>0</v>
      </c>
      <c r="Z147" s="7">
        <f t="shared" si="46"/>
        <v>0</v>
      </c>
      <c r="AA147" s="7">
        <f t="shared" si="47"/>
        <v>0</v>
      </c>
      <c r="AB147" s="7">
        <f t="shared" si="48"/>
        <v>0</v>
      </c>
      <c r="AC147" s="7">
        <f t="shared" si="49"/>
        <v>0</v>
      </c>
      <c r="AD147" s="7" t="e">
        <f t="shared" si="34"/>
        <v>#DIV/0!</v>
      </c>
    </row>
    <row r="148" spans="1:30" x14ac:dyDescent="0.25">
      <c r="A148" s="3">
        <f>Input!A150</f>
        <v>0</v>
      </c>
      <c r="B148" s="7">
        <f>Input!B150</f>
        <v>0</v>
      </c>
      <c r="C148" s="7">
        <f t="shared" si="35"/>
        <v>0</v>
      </c>
      <c r="D148" s="7">
        <f t="shared" si="36"/>
        <v>0</v>
      </c>
      <c r="E148" s="2"/>
      <c r="F148" s="3">
        <f>Input!D150</f>
        <v>0</v>
      </c>
      <c r="G148" s="3">
        <f>Input!E150</f>
        <v>0</v>
      </c>
      <c r="H148" s="3" t="str">
        <f t="shared" si="37"/>
        <v>00</v>
      </c>
      <c r="I148" s="7">
        <f>Input!G150</f>
        <v>0</v>
      </c>
      <c r="J148" s="7">
        <f t="shared" si="38"/>
        <v>0</v>
      </c>
      <c r="K148" s="7">
        <f t="shared" si="39"/>
        <v>0</v>
      </c>
      <c r="L148" s="7" t="e">
        <f t="shared" si="40"/>
        <v>#DIV/0!</v>
      </c>
      <c r="M148" s="2"/>
      <c r="N148" s="3">
        <f>Input!I150</f>
        <v>0</v>
      </c>
      <c r="O148" s="7">
        <f>Input!J150</f>
        <v>0</v>
      </c>
      <c r="P148" s="6">
        <f>Input!K150</f>
        <v>0</v>
      </c>
      <c r="Q148" s="2"/>
      <c r="R148" s="3">
        <f>Input!M150</f>
        <v>0</v>
      </c>
      <c r="S148" s="3">
        <f>Input!N150</f>
        <v>0</v>
      </c>
      <c r="T148" s="3">
        <f t="shared" si="41"/>
        <v>187</v>
      </c>
      <c r="U148" s="3" t="str">
        <f t="shared" si="42"/>
        <v>00</v>
      </c>
      <c r="V148" s="7">
        <f t="shared" si="43"/>
        <v>0</v>
      </c>
      <c r="W148" s="6">
        <f t="shared" si="44"/>
        <v>0</v>
      </c>
      <c r="X148" s="7">
        <f t="shared" si="50"/>
        <v>0</v>
      </c>
      <c r="Y148" s="7">
        <f t="shared" si="45"/>
        <v>0</v>
      </c>
      <c r="Z148" s="7">
        <f t="shared" si="46"/>
        <v>0</v>
      </c>
      <c r="AA148" s="7">
        <f t="shared" si="47"/>
        <v>0</v>
      </c>
      <c r="AB148" s="7">
        <f t="shared" si="48"/>
        <v>0</v>
      </c>
      <c r="AC148" s="7">
        <f t="shared" si="49"/>
        <v>0</v>
      </c>
      <c r="AD148" s="7" t="e">
        <f t="shared" si="34"/>
        <v>#DIV/0!</v>
      </c>
    </row>
    <row r="149" spans="1:30" x14ac:dyDescent="0.25">
      <c r="A149" s="3">
        <f>Input!A151</f>
        <v>0</v>
      </c>
      <c r="B149" s="7">
        <f>Input!B151</f>
        <v>0</v>
      </c>
      <c r="C149" s="7">
        <f t="shared" si="35"/>
        <v>0</v>
      </c>
      <c r="D149" s="7">
        <f t="shared" si="36"/>
        <v>0</v>
      </c>
      <c r="E149" s="2"/>
      <c r="F149" s="3">
        <f>Input!D151</f>
        <v>0</v>
      </c>
      <c r="G149" s="3">
        <f>Input!E151</f>
        <v>0</v>
      </c>
      <c r="H149" s="3" t="str">
        <f t="shared" si="37"/>
        <v>00</v>
      </c>
      <c r="I149" s="7">
        <f>Input!G151</f>
        <v>0</v>
      </c>
      <c r="J149" s="7">
        <f t="shared" si="38"/>
        <v>0</v>
      </c>
      <c r="K149" s="7">
        <f t="shared" si="39"/>
        <v>0</v>
      </c>
      <c r="L149" s="7" t="e">
        <f t="shared" si="40"/>
        <v>#DIV/0!</v>
      </c>
      <c r="M149" s="2"/>
      <c r="N149" s="3">
        <f>Input!I151</f>
        <v>0</v>
      </c>
      <c r="O149" s="7">
        <f>Input!J151</f>
        <v>0</v>
      </c>
      <c r="P149" s="6">
        <f>Input!K151</f>
        <v>0</v>
      </c>
      <c r="Q149" s="2"/>
      <c r="R149" s="3">
        <f>Input!M151</f>
        <v>0</v>
      </c>
      <c r="S149" s="3">
        <f>Input!N151</f>
        <v>0</v>
      </c>
      <c r="T149" s="3">
        <f t="shared" si="41"/>
        <v>187</v>
      </c>
      <c r="U149" s="3" t="str">
        <f t="shared" si="42"/>
        <v>00</v>
      </c>
      <c r="V149" s="7">
        <f t="shared" si="43"/>
        <v>0</v>
      </c>
      <c r="W149" s="6">
        <f t="shared" si="44"/>
        <v>0</v>
      </c>
      <c r="X149" s="7">
        <f t="shared" si="50"/>
        <v>0</v>
      </c>
      <c r="Y149" s="7">
        <f t="shared" si="45"/>
        <v>0</v>
      </c>
      <c r="Z149" s="7">
        <f t="shared" si="46"/>
        <v>0</v>
      </c>
      <c r="AA149" s="7">
        <f t="shared" si="47"/>
        <v>0</v>
      </c>
      <c r="AB149" s="7">
        <f t="shared" si="48"/>
        <v>0</v>
      </c>
      <c r="AC149" s="7">
        <f t="shared" si="49"/>
        <v>0</v>
      </c>
      <c r="AD149" s="7" t="e">
        <f t="shared" si="34"/>
        <v>#DIV/0!</v>
      </c>
    </row>
    <row r="150" spans="1:30" x14ac:dyDescent="0.25">
      <c r="A150" s="3">
        <f>Input!A152</f>
        <v>0</v>
      </c>
      <c r="B150" s="7">
        <f>Input!B152</f>
        <v>0</v>
      </c>
      <c r="C150" s="7">
        <f t="shared" si="35"/>
        <v>0</v>
      </c>
      <c r="D150" s="7">
        <f t="shared" si="36"/>
        <v>0</v>
      </c>
      <c r="E150" s="2"/>
      <c r="F150" s="3">
        <f>Input!D152</f>
        <v>0</v>
      </c>
      <c r="G150" s="3">
        <f>Input!E152</f>
        <v>0</v>
      </c>
      <c r="H150" s="3" t="str">
        <f t="shared" si="37"/>
        <v>00</v>
      </c>
      <c r="I150" s="7">
        <f>Input!G152</f>
        <v>0</v>
      </c>
      <c r="J150" s="7">
        <f t="shared" si="38"/>
        <v>0</v>
      </c>
      <c r="K150" s="7">
        <f t="shared" si="39"/>
        <v>0</v>
      </c>
      <c r="L150" s="7" t="e">
        <f t="shared" si="40"/>
        <v>#DIV/0!</v>
      </c>
      <c r="M150" s="2"/>
      <c r="N150" s="3">
        <f>Input!I152</f>
        <v>0</v>
      </c>
      <c r="O150" s="7">
        <f>Input!J152</f>
        <v>0</v>
      </c>
      <c r="P150" s="6">
        <f>Input!K152</f>
        <v>0</v>
      </c>
      <c r="Q150" s="2"/>
      <c r="R150" s="3">
        <f>Input!M152</f>
        <v>0</v>
      </c>
      <c r="S150" s="3">
        <f>Input!N152</f>
        <v>0</v>
      </c>
      <c r="T150" s="3">
        <f t="shared" si="41"/>
        <v>187</v>
      </c>
      <c r="U150" s="3" t="str">
        <f t="shared" si="42"/>
        <v>00</v>
      </c>
      <c r="V150" s="7">
        <f t="shared" si="43"/>
        <v>0</v>
      </c>
      <c r="W150" s="6">
        <f t="shared" si="44"/>
        <v>0</v>
      </c>
      <c r="X150" s="7">
        <f t="shared" si="50"/>
        <v>0</v>
      </c>
      <c r="Y150" s="7">
        <f t="shared" si="45"/>
        <v>0</v>
      </c>
      <c r="Z150" s="7">
        <f t="shared" si="46"/>
        <v>0</v>
      </c>
      <c r="AA150" s="7">
        <f t="shared" si="47"/>
        <v>0</v>
      </c>
      <c r="AB150" s="7">
        <f t="shared" si="48"/>
        <v>0</v>
      </c>
      <c r="AC150" s="7">
        <f t="shared" si="49"/>
        <v>0</v>
      </c>
      <c r="AD150" s="7" t="e">
        <f t="shared" si="34"/>
        <v>#DIV/0!</v>
      </c>
    </row>
    <row r="151" spans="1:30" x14ac:dyDescent="0.25">
      <c r="A151" s="3">
        <f>Input!A153</f>
        <v>0</v>
      </c>
      <c r="B151" s="7">
        <f>Input!B153</f>
        <v>0</v>
      </c>
      <c r="C151" s="7">
        <f t="shared" si="35"/>
        <v>0</v>
      </c>
      <c r="D151" s="7">
        <f t="shared" si="36"/>
        <v>0</v>
      </c>
      <c r="E151" s="2"/>
      <c r="F151" s="3">
        <f>Input!D153</f>
        <v>0</v>
      </c>
      <c r="G151" s="3">
        <f>Input!E153</f>
        <v>0</v>
      </c>
      <c r="H151" s="3" t="str">
        <f t="shared" si="37"/>
        <v>00</v>
      </c>
      <c r="I151" s="7">
        <f>Input!G153</f>
        <v>0</v>
      </c>
      <c r="J151" s="7">
        <f t="shared" si="38"/>
        <v>0</v>
      </c>
      <c r="K151" s="7">
        <f t="shared" si="39"/>
        <v>0</v>
      </c>
      <c r="L151" s="7" t="e">
        <f t="shared" si="40"/>
        <v>#DIV/0!</v>
      </c>
      <c r="M151" s="2"/>
      <c r="N151" s="3">
        <f>Input!I153</f>
        <v>0</v>
      </c>
      <c r="O151" s="7">
        <f>Input!J153</f>
        <v>0</v>
      </c>
      <c r="P151" s="6">
        <f>Input!K153</f>
        <v>0</v>
      </c>
      <c r="Q151" s="2"/>
      <c r="R151" s="3">
        <f>Input!M153</f>
        <v>0</v>
      </c>
      <c r="S151" s="3">
        <f>Input!N153</f>
        <v>0</v>
      </c>
      <c r="T151" s="3">
        <f t="shared" si="41"/>
        <v>187</v>
      </c>
      <c r="U151" s="3" t="str">
        <f t="shared" si="42"/>
        <v>00</v>
      </c>
      <c r="V151" s="7">
        <f t="shared" si="43"/>
        <v>0</v>
      </c>
      <c r="W151" s="6">
        <f t="shared" si="44"/>
        <v>0</v>
      </c>
      <c r="X151" s="7">
        <f t="shared" si="50"/>
        <v>0</v>
      </c>
      <c r="Y151" s="7">
        <f t="shared" si="45"/>
        <v>0</v>
      </c>
      <c r="Z151" s="7">
        <f t="shared" si="46"/>
        <v>0</v>
      </c>
      <c r="AA151" s="7">
        <f t="shared" si="47"/>
        <v>0</v>
      </c>
      <c r="AB151" s="7">
        <f t="shared" si="48"/>
        <v>0</v>
      </c>
      <c r="AC151" s="7">
        <f t="shared" si="49"/>
        <v>0</v>
      </c>
      <c r="AD151" s="7" t="e">
        <f t="shared" si="34"/>
        <v>#DIV/0!</v>
      </c>
    </row>
    <row r="152" spans="1:30" x14ac:dyDescent="0.25">
      <c r="A152" s="3">
        <f>Input!A154</f>
        <v>0</v>
      </c>
      <c r="B152" s="7">
        <f>Input!B154</f>
        <v>0</v>
      </c>
      <c r="C152" s="7">
        <f t="shared" si="35"/>
        <v>0</v>
      </c>
      <c r="D152" s="7">
        <f t="shared" si="36"/>
        <v>0</v>
      </c>
      <c r="E152" s="2"/>
      <c r="F152" s="3">
        <f>Input!D154</f>
        <v>0</v>
      </c>
      <c r="G152" s="3">
        <f>Input!E154</f>
        <v>0</v>
      </c>
      <c r="H152" s="3" t="str">
        <f t="shared" si="37"/>
        <v>00</v>
      </c>
      <c r="I152" s="7">
        <f>Input!G154</f>
        <v>0</v>
      </c>
      <c r="J152" s="7">
        <f t="shared" si="38"/>
        <v>0</v>
      </c>
      <c r="K152" s="7">
        <f t="shared" si="39"/>
        <v>0</v>
      </c>
      <c r="L152" s="7" t="e">
        <f t="shared" si="40"/>
        <v>#DIV/0!</v>
      </c>
      <c r="M152" s="2"/>
      <c r="N152" s="3">
        <f>Input!I154</f>
        <v>0</v>
      </c>
      <c r="O152" s="7">
        <f>Input!J154</f>
        <v>0</v>
      </c>
      <c r="P152" s="6">
        <f>Input!K154</f>
        <v>0</v>
      </c>
      <c r="Q152" s="2"/>
      <c r="R152" s="3">
        <f>Input!M154</f>
        <v>0</v>
      </c>
      <c r="S152" s="3">
        <f>Input!N154</f>
        <v>0</v>
      </c>
      <c r="T152" s="3">
        <f t="shared" si="41"/>
        <v>187</v>
      </c>
      <c r="U152" s="3" t="str">
        <f t="shared" si="42"/>
        <v>00</v>
      </c>
      <c r="V152" s="7">
        <f t="shared" si="43"/>
        <v>0</v>
      </c>
      <c r="W152" s="6">
        <f t="shared" si="44"/>
        <v>0</v>
      </c>
      <c r="X152" s="7">
        <f t="shared" si="50"/>
        <v>0</v>
      </c>
      <c r="Y152" s="7">
        <f t="shared" si="45"/>
        <v>0</v>
      </c>
      <c r="Z152" s="7">
        <f t="shared" si="46"/>
        <v>0</v>
      </c>
      <c r="AA152" s="7">
        <f t="shared" si="47"/>
        <v>0</v>
      </c>
      <c r="AB152" s="7">
        <f t="shared" si="48"/>
        <v>0</v>
      </c>
      <c r="AC152" s="7">
        <f t="shared" si="49"/>
        <v>0</v>
      </c>
      <c r="AD152" s="7" t="e">
        <f t="shared" si="34"/>
        <v>#DIV/0!</v>
      </c>
    </row>
    <row r="153" spans="1:30" x14ac:dyDescent="0.25">
      <c r="A153" s="3">
        <f>Input!A155</f>
        <v>0</v>
      </c>
      <c r="B153" s="7">
        <f>Input!B155</f>
        <v>0</v>
      </c>
      <c r="C153" s="7">
        <f t="shared" si="35"/>
        <v>0</v>
      </c>
      <c r="D153" s="7">
        <f t="shared" si="36"/>
        <v>0</v>
      </c>
      <c r="E153" s="2"/>
      <c r="F153" s="3">
        <f>Input!D155</f>
        <v>0</v>
      </c>
      <c r="G153" s="3">
        <f>Input!E155</f>
        <v>0</v>
      </c>
      <c r="H153" s="3" t="str">
        <f t="shared" si="37"/>
        <v>00</v>
      </c>
      <c r="I153" s="7">
        <f>Input!G155</f>
        <v>0</v>
      </c>
      <c r="J153" s="7">
        <f t="shared" si="38"/>
        <v>0</v>
      </c>
      <c r="K153" s="7">
        <f t="shared" si="39"/>
        <v>0</v>
      </c>
      <c r="L153" s="7" t="e">
        <f t="shared" si="40"/>
        <v>#DIV/0!</v>
      </c>
      <c r="M153" s="2"/>
      <c r="N153" s="3">
        <f>Input!I155</f>
        <v>0</v>
      </c>
      <c r="O153" s="7">
        <f>Input!J155</f>
        <v>0</v>
      </c>
      <c r="P153" s="6">
        <f>Input!K155</f>
        <v>0</v>
      </c>
      <c r="Q153" s="2"/>
      <c r="R153" s="3">
        <f>Input!M155</f>
        <v>0</v>
      </c>
      <c r="S153" s="3">
        <f>Input!N155</f>
        <v>0</v>
      </c>
      <c r="T153" s="3">
        <f t="shared" si="41"/>
        <v>187</v>
      </c>
      <c r="U153" s="3" t="str">
        <f t="shared" si="42"/>
        <v>00</v>
      </c>
      <c r="V153" s="7">
        <f t="shared" si="43"/>
        <v>0</v>
      </c>
      <c r="W153" s="6">
        <f t="shared" si="44"/>
        <v>0</v>
      </c>
      <c r="X153" s="7">
        <f t="shared" si="50"/>
        <v>0</v>
      </c>
      <c r="Y153" s="7">
        <f t="shared" si="45"/>
        <v>0</v>
      </c>
      <c r="Z153" s="7">
        <f t="shared" si="46"/>
        <v>0</v>
      </c>
      <c r="AA153" s="7">
        <f t="shared" si="47"/>
        <v>0</v>
      </c>
      <c r="AB153" s="7">
        <f t="shared" si="48"/>
        <v>0</v>
      </c>
      <c r="AC153" s="7">
        <f t="shared" si="49"/>
        <v>0</v>
      </c>
      <c r="AD153" s="7" t="e">
        <f t="shared" si="34"/>
        <v>#DIV/0!</v>
      </c>
    </row>
    <row r="154" spans="1:30" x14ac:dyDescent="0.25">
      <c r="A154" s="3">
        <f>Input!A156</f>
        <v>0</v>
      </c>
      <c r="B154" s="7">
        <f>Input!B156</f>
        <v>0</v>
      </c>
      <c r="C154" s="7">
        <f t="shared" si="35"/>
        <v>0</v>
      </c>
      <c r="D154" s="7">
        <f t="shared" si="36"/>
        <v>0</v>
      </c>
      <c r="E154" s="2"/>
      <c r="F154" s="3">
        <f>Input!D156</f>
        <v>0</v>
      </c>
      <c r="G154" s="3">
        <f>Input!E156</f>
        <v>0</v>
      </c>
      <c r="H154" s="3" t="str">
        <f t="shared" si="37"/>
        <v>00</v>
      </c>
      <c r="I154" s="7">
        <f>Input!G156</f>
        <v>0</v>
      </c>
      <c r="J154" s="7">
        <f t="shared" si="38"/>
        <v>0</v>
      </c>
      <c r="K154" s="7">
        <f t="shared" si="39"/>
        <v>0</v>
      </c>
      <c r="L154" s="7" t="e">
        <f t="shared" si="40"/>
        <v>#DIV/0!</v>
      </c>
      <c r="M154" s="2"/>
      <c r="N154" s="3">
        <f>Input!I156</f>
        <v>0</v>
      </c>
      <c r="O154" s="7">
        <f>Input!J156</f>
        <v>0</v>
      </c>
      <c r="P154" s="6">
        <f>Input!K156</f>
        <v>0</v>
      </c>
      <c r="Q154" s="2"/>
      <c r="R154" s="3">
        <f>Input!M156</f>
        <v>0</v>
      </c>
      <c r="S154" s="3">
        <f>Input!N156</f>
        <v>0</v>
      </c>
      <c r="T154" s="3">
        <f t="shared" si="41"/>
        <v>187</v>
      </c>
      <c r="U154" s="3" t="str">
        <f t="shared" si="42"/>
        <v>00</v>
      </c>
      <c r="V154" s="7">
        <f t="shared" si="43"/>
        <v>0</v>
      </c>
      <c r="W154" s="6">
        <f t="shared" si="44"/>
        <v>0</v>
      </c>
      <c r="X154" s="7">
        <f t="shared" si="50"/>
        <v>0</v>
      </c>
      <c r="Y154" s="7">
        <f t="shared" si="45"/>
        <v>0</v>
      </c>
      <c r="Z154" s="7">
        <f t="shared" si="46"/>
        <v>0</v>
      </c>
      <c r="AA154" s="7">
        <f t="shared" si="47"/>
        <v>0</v>
      </c>
      <c r="AB154" s="7">
        <f t="shared" si="48"/>
        <v>0</v>
      </c>
      <c r="AC154" s="7">
        <f t="shared" si="49"/>
        <v>0</v>
      </c>
      <c r="AD154" s="7" t="e">
        <f t="shared" si="34"/>
        <v>#DIV/0!</v>
      </c>
    </row>
    <row r="155" spans="1:30" x14ac:dyDescent="0.25">
      <c r="A155" s="3">
        <f>Input!A157</f>
        <v>0</v>
      </c>
      <c r="B155" s="7">
        <f>Input!B157</f>
        <v>0</v>
      </c>
      <c r="C155" s="7">
        <f t="shared" si="35"/>
        <v>0</v>
      </c>
      <c r="D155" s="7">
        <f t="shared" si="36"/>
        <v>0</v>
      </c>
      <c r="E155" s="2"/>
      <c r="F155" s="3">
        <f>Input!D157</f>
        <v>0</v>
      </c>
      <c r="G155" s="3">
        <f>Input!E157</f>
        <v>0</v>
      </c>
      <c r="H155" s="3" t="str">
        <f t="shared" si="37"/>
        <v>00</v>
      </c>
      <c r="I155" s="7">
        <f>Input!G157</f>
        <v>0</v>
      </c>
      <c r="J155" s="7">
        <f t="shared" si="38"/>
        <v>0</v>
      </c>
      <c r="K155" s="7">
        <f t="shared" si="39"/>
        <v>0</v>
      </c>
      <c r="L155" s="7" t="e">
        <f t="shared" si="40"/>
        <v>#DIV/0!</v>
      </c>
      <c r="M155" s="2"/>
      <c r="N155" s="3">
        <f>Input!I157</f>
        <v>0</v>
      </c>
      <c r="O155" s="7">
        <f>Input!J157</f>
        <v>0</v>
      </c>
      <c r="P155" s="6">
        <f>Input!K157</f>
        <v>0</v>
      </c>
      <c r="Q155" s="2"/>
      <c r="R155" s="3">
        <f>Input!M157</f>
        <v>0</v>
      </c>
      <c r="S155" s="3">
        <f>Input!N157</f>
        <v>0</v>
      </c>
      <c r="T155" s="3">
        <f t="shared" si="41"/>
        <v>187</v>
      </c>
      <c r="U155" s="3" t="str">
        <f t="shared" si="42"/>
        <v>00</v>
      </c>
      <c r="V155" s="7">
        <f t="shared" si="43"/>
        <v>0</v>
      </c>
      <c r="W155" s="6">
        <f t="shared" si="44"/>
        <v>0</v>
      </c>
      <c r="X155" s="7">
        <f t="shared" si="50"/>
        <v>0</v>
      </c>
      <c r="Y155" s="7">
        <f t="shared" si="45"/>
        <v>0</v>
      </c>
      <c r="Z155" s="7">
        <f t="shared" si="46"/>
        <v>0</v>
      </c>
      <c r="AA155" s="7">
        <f t="shared" si="47"/>
        <v>0</v>
      </c>
      <c r="AB155" s="7">
        <f t="shared" si="48"/>
        <v>0</v>
      </c>
      <c r="AC155" s="7">
        <f t="shared" si="49"/>
        <v>0</v>
      </c>
      <c r="AD155" s="7" t="e">
        <f t="shared" si="34"/>
        <v>#DIV/0!</v>
      </c>
    </row>
    <row r="156" spans="1:30" x14ac:dyDescent="0.25">
      <c r="A156" s="3">
        <f>Input!A158</f>
        <v>0</v>
      </c>
      <c r="B156" s="7">
        <f>Input!B158</f>
        <v>0</v>
      </c>
      <c r="C156" s="7">
        <f t="shared" si="35"/>
        <v>0</v>
      </c>
      <c r="D156" s="7">
        <f t="shared" si="36"/>
        <v>0</v>
      </c>
      <c r="E156" s="2"/>
      <c r="F156" s="3">
        <f>Input!D158</f>
        <v>0</v>
      </c>
      <c r="G156" s="3">
        <f>Input!E158</f>
        <v>0</v>
      </c>
      <c r="H156" s="3" t="str">
        <f t="shared" si="37"/>
        <v>00</v>
      </c>
      <c r="I156" s="7">
        <f>Input!G158</f>
        <v>0</v>
      </c>
      <c r="J156" s="7">
        <f t="shared" si="38"/>
        <v>0</v>
      </c>
      <c r="K156" s="7">
        <f t="shared" si="39"/>
        <v>0</v>
      </c>
      <c r="L156" s="7" t="e">
        <f t="shared" si="40"/>
        <v>#DIV/0!</v>
      </c>
      <c r="M156" s="2"/>
      <c r="N156" s="3">
        <f>Input!I158</f>
        <v>0</v>
      </c>
      <c r="O156" s="7">
        <f>Input!J158</f>
        <v>0</v>
      </c>
      <c r="P156" s="6">
        <f>Input!K158</f>
        <v>0</v>
      </c>
      <c r="Q156" s="2"/>
      <c r="R156" s="3">
        <f>Input!M158</f>
        <v>0</v>
      </c>
      <c r="S156" s="3">
        <f>Input!N158</f>
        <v>0</v>
      </c>
      <c r="T156" s="3">
        <f t="shared" si="41"/>
        <v>187</v>
      </c>
      <c r="U156" s="3" t="str">
        <f t="shared" si="42"/>
        <v>00</v>
      </c>
      <c r="V156" s="7">
        <f t="shared" si="43"/>
        <v>0</v>
      </c>
      <c r="W156" s="6">
        <f t="shared" si="44"/>
        <v>0</v>
      </c>
      <c r="X156" s="7">
        <f t="shared" si="50"/>
        <v>0</v>
      </c>
      <c r="Y156" s="7">
        <f t="shared" si="45"/>
        <v>0</v>
      </c>
      <c r="Z156" s="7">
        <f t="shared" si="46"/>
        <v>0</v>
      </c>
      <c r="AA156" s="7">
        <f t="shared" si="47"/>
        <v>0</v>
      </c>
      <c r="AB156" s="7">
        <f t="shared" si="48"/>
        <v>0</v>
      </c>
      <c r="AC156" s="7">
        <f t="shared" si="49"/>
        <v>0</v>
      </c>
      <c r="AD156" s="7" t="e">
        <f t="shared" si="34"/>
        <v>#DIV/0!</v>
      </c>
    </row>
    <row r="157" spans="1:30" x14ac:dyDescent="0.25">
      <c r="A157" s="3">
        <f>Input!A159</f>
        <v>0</v>
      </c>
      <c r="B157" s="7">
        <f>Input!B159</f>
        <v>0</v>
      </c>
      <c r="C157" s="7">
        <f t="shared" si="35"/>
        <v>0</v>
      </c>
      <c r="D157" s="7">
        <f t="shared" si="36"/>
        <v>0</v>
      </c>
      <c r="E157" s="2"/>
      <c r="F157" s="3">
        <f>Input!D159</f>
        <v>0</v>
      </c>
      <c r="G157" s="3">
        <f>Input!E159</f>
        <v>0</v>
      </c>
      <c r="H157" s="3" t="str">
        <f t="shared" si="37"/>
        <v>00</v>
      </c>
      <c r="I157" s="7">
        <f>Input!G159</f>
        <v>0</v>
      </c>
      <c r="J157" s="7">
        <f t="shared" si="38"/>
        <v>0</v>
      </c>
      <c r="K157" s="7">
        <f t="shared" si="39"/>
        <v>0</v>
      </c>
      <c r="L157" s="7" t="e">
        <f t="shared" si="40"/>
        <v>#DIV/0!</v>
      </c>
      <c r="M157" s="2"/>
      <c r="N157" s="3">
        <f>Input!I159</f>
        <v>0</v>
      </c>
      <c r="O157" s="7">
        <f>Input!J159</f>
        <v>0</v>
      </c>
      <c r="P157" s="6">
        <f>Input!K159</f>
        <v>0</v>
      </c>
      <c r="Q157" s="2"/>
      <c r="R157" s="3">
        <f>Input!M159</f>
        <v>0</v>
      </c>
      <c r="S157" s="3">
        <f>Input!N159</f>
        <v>0</v>
      </c>
      <c r="T157" s="3">
        <f t="shared" si="41"/>
        <v>187</v>
      </c>
      <c r="U157" s="3" t="str">
        <f t="shared" si="42"/>
        <v>00</v>
      </c>
      <c r="V157" s="7">
        <f t="shared" si="43"/>
        <v>0</v>
      </c>
      <c r="W157" s="6">
        <f t="shared" si="44"/>
        <v>0</v>
      </c>
      <c r="X157" s="7">
        <f t="shared" si="50"/>
        <v>0</v>
      </c>
      <c r="Y157" s="7">
        <f t="shared" si="45"/>
        <v>0</v>
      </c>
      <c r="Z157" s="7">
        <f t="shared" si="46"/>
        <v>0</v>
      </c>
      <c r="AA157" s="7">
        <f t="shared" si="47"/>
        <v>0</v>
      </c>
      <c r="AB157" s="7">
        <f t="shared" si="48"/>
        <v>0</v>
      </c>
      <c r="AC157" s="7">
        <f t="shared" si="49"/>
        <v>0</v>
      </c>
      <c r="AD157" s="7" t="e">
        <f t="shared" si="34"/>
        <v>#DIV/0!</v>
      </c>
    </row>
    <row r="158" spans="1:30" x14ac:dyDescent="0.25">
      <c r="A158" s="3">
        <f>Input!A160</f>
        <v>0</v>
      </c>
      <c r="B158" s="7">
        <f>Input!B160</f>
        <v>0</v>
      </c>
      <c r="C158" s="7">
        <f t="shared" si="35"/>
        <v>0</v>
      </c>
      <c r="D158" s="7">
        <f t="shared" si="36"/>
        <v>0</v>
      </c>
      <c r="E158" s="2"/>
      <c r="F158" s="3">
        <f>Input!D160</f>
        <v>0</v>
      </c>
      <c r="G158" s="3">
        <f>Input!E160</f>
        <v>0</v>
      </c>
      <c r="H158" s="3" t="str">
        <f t="shared" si="37"/>
        <v>00</v>
      </c>
      <c r="I158" s="7">
        <f>Input!G160</f>
        <v>0</v>
      </c>
      <c r="J158" s="7">
        <f t="shared" si="38"/>
        <v>0</v>
      </c>
      <c r="K158" s="7">
        <f t="shared" si="39"/>
        <v>0</v>
      </c>
      <c r="L158" s="7" t="e">
        <f t="shared" si="40"/>
        <v>#DIV/0!</v>
      </c>
      <c r="M158" s="2"/>
      <c r="N158" s="3">
        <f>Input!I160</f>
        <v>0</v>
      </c>
      <c r="O158" s="7">
        <f>Input!J160</f>
        <v>0</v>
      </c>
      <c r="P158" s="6">
        <f>Input!K160</f>
        <v>0</v>
      </c>
      <c r="Q158" s="2"/>
      <c r="R158" s="3">
        <f>Input!M160</f>
        <v>0</v>
      </c>
      <c r="S158" s="3">
        <f>Input!N160</f>
        <v>0</v>
      </c>
      <c r="T158" s="3">
        <f t="shared" si="41"/>
        <v>187</v>
      </c>
      <c r="U158" s="3" t="str">
        <f t="shared" si="42"/>
        <v>00</v>
      </c>
      <c r="V158" s="7">
        <f t="shared" si="43"/>
        <v>0</v>
      </c>
      <c r="W158" s="6">
        <f t="shared" si="44"/>
        <v>0</v>
      </c>
      <c r="X158" s="7">
        <f t="shared" si="50"/>
        <v>0</v>
      </c>
      <c r="Y158" s="7">
        <f t="shared" si="45"/>
        <v>0</v>
      </c>
      <c r="Z158" s="7">
        <f t="shared" si="46"/>
        <v>0</v>
      </c>
      <c r="AA158" s="7">
        <f t="shared" si="47"/>
        <v>0</v>
      </c>
      <c r="AB158" s="7">
        <f t="shared" si="48"/>
        <v>0</v>
      </c>
      <c r="AC158" s="7">
        <f t="shared" si="49"/>
        <v>0</v>
      </c>
      <c r="AD158" s="7" t="e">
        <f t="shared" si="34"/>
        <v>#DIV/0!</v>
      </c>
    </row>
    <row r="159" spans="1:30" x14ac:dyDescent="0.25">
      <c r="A159" s="3">
        <f>Input!A161</f>
        <v>0</v>
      </c>
      <c r="B159" s="7">
        <f>Input!B161</f>
        <v>0</v>
      </c>
      <c r="C159" s="7">
        <f t="shared" si="35"/>
        <v>0</v>
      </c>
      <c r="D159" s="7">
        <f t="shared" si="36"/>
        <v>0</v>
      </c>
      <c r="E159" s="2"/>
      <c r="F159" s="3">
        <f>Input!D161</f>
        <v>0</v>
      </c>
      <c r="G159" s="3">
        <f>Input!E161</f>
        <v>0</v>
      </c>
      <c r="H159" s="3" t="str">
        <f t="shared" si="37"/>
        <v>00</v>
      </c>
      <c r="I159" s="7">
        <f>Input!G161</f>
        <v>0</v>
      </c>
      <c r="J159" s="7">
        <f t="shared" si="38"/>
        <v>0</v>
      </c>
      <c r="K159" s="7">
        <f t="shared" si="39"/>
        <v>0</v>
      </c>
      <c r="L159" s="7" t="e">
        <f t="shared" si="40"/>
        <v>#DIV/0!</v>
      </c>
      <c r="M159" s="2"/>
      <c r="N159" s="3">
        <f>Input!I161</f>
        <v>0</v>
      </c>
      <c r="O159" s="7">
        <f>Input!J161</f>
        <v>0</v>
      </c>
      <c r="P159" s="6">
        <f>Input!K161</f>
        <v>0</v>
      </c>
      <c r="Q159" s="2"/>
      <c r="R159" s="3">
        <f>Input!M161</f>
        <v>0</v>
      </c>
      <c r="S159" s="3">
        <f>Input!N161</f>
        <v>0</v>
      </c>
      <c r="T159" s="3">
        <f t="shared" si="41"/>
        <v>187</v>
      </c>
      <c r="U159" s="3" t="str">
        <f t="shared" si="42"/>
        <v>00</v>
      </c>
      <c r="V159" s="7">
        <f t="shared" si="43"/>
        <v>0</v>
      </c>
      <c r="W159" s="6">
        <f t="shared" si="44"/>
        <v>0</v>
      </c>
      <c r="X159" s="7">
        <f t="shared" si="50"/>
        <v>0</v>
      </c>
      <c r="Y159" s="7">
        <f t="shared" si="45"/>
        <v>0</v>
      </c>
      <c r="Z159" s="7">
        <f t="shared" si="46"/>
        <v>0</v>
      </c>
      <c r="AA159" s="7">
        <f t="shared" si="47"/>
        <v>0</v>
      </c>
      <c r="AB159" s="7">
        <f t="shared" si="48"/>
        <v>0</v>
      </c>
      <c r="AC159" s="7">
        <f t="shared" si="49"/>
        <v>0</v>
      </c>
      <c r="AD159" s="7" t="e">
        <f t="shared" si="34"/>
        <v>#DIV/0!</v>
      </c>
    </row>
    <row r="160" spans="1:30" x14ac:dyDescent="0.25">
      <c r="A160" s="3">
        <f>Input!A162</f>
        <v>0</v>
      </c>
      <c r="B160" s="7">
        <f>Input!B162</f>
        <v>0</v>
      </c>
      <c r="C160" s="7">
        <f t="shared" si="35"/>
        <v>0</v>
      </c>
      <c r="D160" s="7">
        <f t="shared" si="36"/>
        <v>0</v>
      </c>
      <c r="E160" s="2"/>
      <c r="F160" s="3">
        <f>Input!D162</f>
        <v>0</v>
      </c>
      <c r="G160" s="3">
        <f>Input!E162</f>
        <v>0</v>
      </c>
      <c r="H160" s="3" t="str">
        <f t="shared" si="37"/>
        <v>00</v>
      </c>
      <c r="I160" s="7">
        <f>Input!G162</f>
        <v>0</v>
      </c>
      <c r="J160" s="7">
        <f t="shared" si="38"/>
        <v>0</v>
      </c>
      <c r="K160" s="7">
        <f t="shared" si="39"/>
        <v>0</v>
      </c>
      <c r="L160" s="7" t="e">
        <f t="shared" si="40"/>
        <v>#DIV/0!</v>
      </c>
      <c r="M160" s="2"/>
      <c r="N160" s="3">
        <f>Input!I162</f>
        <v>0</v>
      </c>
      <c r="O160" s="7">
        <f>Input!J162</f>
        <v>0</v>
      </c>
      <c r="P160" s="6">
        <f>Input!K162</f>
        <v>0</v>
      </c>
      <c r="Q160" s="2"/>
      <c r="R160" s="3">
        <f>Input!M162</f>
        <v>0</v>
      </c>
      <c r="S160" s="3">
        <f>Input!N162</f>
        <v>0</v>
      </c>
      <c r="T160" s="3">
        <f t="shared" si="41"/>
        <v>187</v>
      </c>
      <c r="U160" s="3" t="str">
        <f t="shared" si="42"/>
        <v>00</v>
      </c>
      <c r="V160" s="7">
        <f t="shared" si="43"/>
        <v>0</v>
      </c>
      <c r="W160" s="6">
        <f t="shared" si="44"/>
        <v>0</v>
      </c>
      <c r="X160" s="7">
        <f t="shared" si="50"/>
        <v>0</v>
      </c>
      <c r="Y160" s="7">
        <f t="shared" si="45"/>
        <v>0</v>
      </c>
      <c r="Z160" s="7">
        <f t="shared" si="46"/>
        <v>0</v>
      </c>
      <c r="AA160" s="7">
        <f t="shared" si="47"/>
        <v>0</v>
      </c>
      <c r="AB160" s="7">
        <f t="shared" si="48"/>
        <v>0</v>
      </c>
      <c r="AC160" s="7">
        <f t="shared" si="49"/>
        <v>0</v>
      </c>
      <c r="AD160" s="7" t="e">
        <f t="shared" si="34"/>
        <v>#DIV/0!</v>
      </c>
    </row>
    <row r="161" spans="1:30" x14ac:dyDescent="0.25">
      <c r="A161" s="3">
        <f>Input!A163</f>
        <v>0</v>
      </c>
      <c r="B161" s="7">
        <f>Input!B163</f>
        <v>0</v>
      </c>
      <c r="C161" s="7">
        <f t="shared" si="35"/>
        <v>0</v>
      </c>
      <c r="D161" s="7">
        <f t="shared" si="36"/>
        <v>0</v>
      </c>
      <c r="E161" s="2"/>
      <c r="F161" s="3">
        <f>Input!D163</f>
        <v>0</v>
      </c>
      <c r="G161" s="3">
        <f>Input!E163</f>
        <v>0</v>
      </c>
      <c r="H161" s="3" t="str">
        <f t="shared" si="37"/>
        <v>00</v>
      </c>
      <c r="I161" s="7">
        <f>Input!G163</f>
        <v>0</v>
      </c>
      <c r="J161" s="7">
        <f t="shared" si="38"/>
        <v>0</v>
      </c>
      <c r="K161" s="7">
        <f t="shared" si="39"/>
        <v>0</v>
      </c>
      <c r="L161" s="7" t="e">
        <f t="shared" si="40"/>
        <v>#DIV/0!</v>
      </c>
      <c r="M161" s="2"/>
      <c r="N161" s="3">
        <f>Input!I163</f>
        <v>0</v>
      </c>
      <c r="O161" s="7">
        <f>Input!J163</f>
        <v>0</v>
      </c>
      <c r="P161" s="6">
        <f>Input!K163</f>
        <v>0</v>
      </c>
      <c r="Q161" s="2"/>
      <c r="R161" s="3">
        <f>Input!M163</f>
        <v>0</v>
      </c>
      <c r="S161" s="3">
        <f>Input!N163</f>
        <v>0</v>
      </c>
      <c r="T161" s="3">
        <f t="shared" si="41"/>
        <v>187</v>
      </c>
      <c r="U161" s="3" t="str">
        <f t="shared" si="42"/>
        <v>00</v>
      </c>
      <c r="V161" s="7">
        <f t="shared" si="43"/>
        <v>0</v>
      </c>
      <c r="W161" s="6">
        <f t="shared" si="44"/>
        <v>0</v>
      </c>
      <c r="X161" s="7">
        <f t="shared" si="50"/>
        <v>0</v>
      </c>
      <c r="Y161" s="7">
        <f t="shared" si="45"/>
        <v>0</v>
      </c>
      <c r="Z161" s="7">
        <f t="shared" si="46"/>
        <v>0</v>
      </c>
      <c r="AA161" s="7">
        <f t="shared" si="47"/>
        <v>0</v>
      </c>
      <c r="AB161" s="7">
        <f t="shared" si="48"/>
        <v>0</v>
      </c>
      <c r="AC161" s="7">
        <f t="shared" si="49"/>
        <v>0</v>
      </c>
      <c r="AD161" s="7" t="e">
        <f t="shared" si="34"/>
        <v>#DIV/0!</v>
      </c>
    </row>
    <row r="162" spans="1:30" x14ac:dyDescent="0.25">
      <c r="A162" s="3">
        <f>Input!A164</f>
        <v>0</v>
      </c>
      <c r="B162" s="7">
        <f>Input!B164</f>
        <v>0</v>
      </c>
      <c r="C162" s="7">
        <f t="shared" si="35"/>
        <v>0</v>
      </c>
      <c r="D162" s="7">
        <f t="shared" si="36"/>
        <v>0</v>
      </c>
      <c r="E162" s="2"/>
      <c r="F162" s="3">
        <f>Input!D164</f>
        <v>0</v>
      </c>
      <c r="G162" s="3">
        <f>Input!E164</f>
        <v>0</v>
      </c>
      <c r="H162" s="3" t="str">
        <f t="shared" si="37"/>
        <v>00</v>
      </c>
      <c r="I162" s="7">
        <f>Input!G164</f>
        <v>0</v>
      </c>
      <c r="J162" s="7">
        <f t="shared" si="38"/>
        <v>0</v>
      </c>
      <c r="K162" s="7">
        <f t="shared" si="39"/>
        <v>0</v>
      </c>
      <c r="L162" s="7" t="e">
        <f t="shared" si="40"/>
        <v>#DIV/0!</v>
      </c>
      <c r="M162" s="2"/>
      <c r="N162" s="3">
        <f>Input!I164</f>
        <v>0</v>
      </c>
      <c r="O162" s="7">
        <f>Input!J164</f>
        <v>0</v>
      </c>
      <c r="P162" s="6">
        <f>Input!K164</f>
        <v>0</v>
      </c>
      <c r="Q162" s="2"/>
      <c r="R162" s="3">
        <f>Input!M164</f>
        <v>0</v>
      </c>
      <c r="S162" s="3">
        <f>Input!N164</f>
        <v>0</v>
      </c>
      <c r="T162" s="3">
        <f t="shared" si="41"/>
        <v>187</v>
      </c>
      <c r="U162" s="3" t="str">
        <f t="shared" si="42"/>
        <v>00</v>
      </c>
      <c r="V162" s="7">
        <f t="shared" si="43"/>
        <v>0</v>
      </c>
      <c r="W162" s="6">
        <f t="shared" si="44"/>
        <v>0</v>
      </c>
      <c r="X162" s="7">
        <f t="shared" si="50"/>
        <v>0</v>
      </c>
      <c r="Y162" s="7">
        <f t="shared" si="45"/>
        <v>0</v>
      </c>
      <c r="Z162" s="7">
        <f t="shared" si="46"/>
        <v>0</v>
      </c>
      <c r="AA162" s="7">
        <f t="shared" si="47"/>
        <v>0</v>
      </c>
      <c r="AB162" s="7">
        <f t="shared" si="48"/>
        <v>0</v>
      </c>
      <c r="AC162" s="7">
        <f t="shared" si="49"/>
        <v>0</v>
      </c>
      <c r="AD162" s="7" t="e">
        <f t="shared" si="34"/>
        <v>#DIV/0!</v>
      </c>
    </row>
    <row r="163" spans="1:30" x14ac:dyDescent="0.25">
      <c r="A163" s="3">
        <f>Input!A165</f>
        <v>0</v>
      </c>
      <c r="B163" s="7">
        <f>Input!B165</f>
        <v>0</v>
      </c>
      <c r="C163" s="7">
        <f t="shared" si="35"/>
        <v>0</v>
      </c>
      <c r="D163" s="7">
        <f t="shared" si="36"/>
        <v>0</v>
      </c>
      <c r="E163" s="2"/>
      <c r="F163" s="3">
        <f>Input!D165</f>
        <v>0</v>
      </c>
      <c r="G163" s="3">
        <f>Input!E165</f>
        <v>0</v>
      </c>
      <c r="H163" s="3" t="str">
        <f t="shared" si="37"/>
        <v>00</v>
      </c>
      <c r="I163" s="7">
        <f>Input!G165</f>
        <v>0</v>
      </c>
      <c r="J163" s="7">
        <f t="shared" si="38"/>
        <v>0</v>
      </c>
      <c r="K163" s="7">
        <f t="shared" si="39"/>
        <v>0</v>
      </c>
      <c r="L163" s="7" t="e">
        <f t="shared" si="40"/>
        <v>#DIV/0!</v>
      </c>
      <c r="M163" s="2"/>
      <c r="N163" s="3">
        <f>Input!I165</f>
        <v>0</v>
      </c>
      <c r="O163" s="7">
        <f>Input!J165</f>
        <v>0</v>
      </c>
      <c r="P163" s="6">
        <f>Input!K165</f>
        <v>0</v>
      </c>
      <c r="Q163" s="2"/>
      <c r="R163" s="3">
        <f>Input!M165</f>
        <v>0</v>
      </c>
      <c r="S163" s="3">
        <f>Input!N165</f>
        <v>0</v>
      </c>
      <c r="T163" s="3">
        <f t="shared" si="41"/>
        <v>187</v>
      </c>
      <c r="U163" s="3" t="str">
        <f t="shared" si="42"/>
        <v>00</v>
      </c>
      <c r="V163" s="7">
        <f t="shared" si="43"/>
        <v>0</v>
      </c>
      <c r="W163" s="6">
        <f t="shared" si="44"/>
        <v>0</v>
      </c>
      <c r="X163" s="7">
        <f t="shared" si="50"/>
        <v>0</v>
      </c>
      <c r="Y163" s="7">
        <f t="shared" si="45"/>
        <v>0</v>
      </c>
      <c r="Z163" s="7">
        <f t="shared" si="46"/>
        <v>0</v>
      </c>
      <c r="AA163" s="7">
        <f t="shared" si="47"/>
        <v>0</v>
      </c>
      <c r="AB163" s="7">
        <f t="shared" si="48"/>
        <v>0</v>
      </c>
      <c r="AC163" s="7">
        <f t="shared" si="49"/>
        <v>0</v>
      </c>
      <c r="AD163" s="7" t="e">
        <f t="shared" si="34"/>
        <v>#DIV/0!</v>
      </c>
    </row>
    <row r="164" spans="1:30" x14ac:dyDescent="0.25">
      <c r="A164" s="3">
        <f>Input!A166</f>
        <v>0</v>
      </c>
      <c r="B164" s="7">
        <f>Input!B166</f>
        <v>0</v>
      </c>
      <c r="C164" s="7">
        <f t="shared" si="35"/>
        <v>0</v>
      </c>
      <c r="D164" s="7">
        <f t="shared" si="36"/>
        <v>0</v>
      </c>
      <c r="E164" s="2"/>
      <c r="F164" s="3">
        <f>Input!D166</f>
        <v>0</v>
      </c>
      <c r="G164" s="3">
        <f>Input!E166</f>
        <v>0</v>
      </c>
      <c r="H164" s="3" t="str">
        <f t="shared" si="37"/>
        <v>00</v>
      </c>
      <c r="I164" s="7">
        <f>Input!G166</f>
        <v>0</v>
      </c>
      <c r="J164" s="7">
        <f t="shared" si="38"/>
        <v>0</v>
      </c>
      <c r="K164" s="7">
        <f t="shared" si="39"/>
        <v>0</v>
      </c>
      <c r="L164" s="7" t="e">
        <f t="shared" si="40"/>
        <v>#DIV/0!</v>
      </c>
      <c r="M164" s="2"/>
      <c r="N164" s="3">
        <f>Input!I166</f>
        <v>0</v>
      </c>
      <c r="O164" s="7">
        <f>Input!J166</f>
        <v>0</v>
      </c>
      <c r="P164" s="6">
        <f>Input!K166</f>
        <v>0</v>
      </c>
      <c r="Q164" s="2"/>
      <c r="R164" s="3">
        <f>Input!M166</f>
        <v>0</v>
      </c>
      <c r="S164" s="3">
        <f>Input!N166</f>
        <v>0</v>
      </c>
      <c r="T164" s="3">
        <f t="shared" si="41"/>
        <v>187</v>
      </c>
      <c r="U164" s="3" t="str">
        <f t="shared" si="42"/>
        <v>00</v>
      </c>
      <c r="V164" s="7">
        <f t="shared" si="43"/>
        <v>0</v>
      </c>
      <c r="W164" s="6">
        <f t="shared" si="44"/>
        <v>0</v>
      </c>
      <c r="X164" s="7">
        <f t="shared" si="50"/>
        <v>0</v>
      </c>
      <c r="Y164" s="7">
        <f t="shared" si="45"/>
        <v>0</v>
      </c>
      <c r="Z164" s="7">
        <f t="shared" si="46"/>
        <v>0</v>
      </c>
      <c r="AA164" s="7">
        <f t="shared" si="47"/>
        <v>0</v>
      </c>
      <c r="AB164" s="7">
        <f t="shared" si="48"/>
        <v>0</v>
      </c>
      <c r="AC164" s="7">
        <f t="shared" si="49"/>
        <v>0</v>
      </c>
      <c r="AD164" s="7" t="e">
        <f t="shared" si="34"/>
        <v>#DIV/0!</v>
      </c>
    </row>
    <row r="165" spans="1:30" x14ac:dyDescent="0.25">
      <c r="A165" s="3">
        <f>Input!A167</f>
        <v>0</v>
      </c>
      <c r="B165" s="7">
        <f>Input!B167</f>
        <v>0</v>
      </c>
      <c r="C165" s="7">
        <f t="shared" si="35"/>
        <v>0</v>
      </c>
      <c r="D165" s="7">
        <f t="shared" si="36"/>
        <v>0</v>
      </c>
      <c r="E165" s="2"/>
      <c r="F165" s="3">
        <f>Input!D167</f>
        <v>0</v>
      </c>
      <c r="G165" s="3">
        <f>Input!E167</f>
        <v>0</v>
      </c>
      <c r="H165" s="3" t="str">
        <f t="shared" si="37"/>
        <v>00</v>
      </c>
      <c r="I165" s="7">
        <f>Input!G167</f>
        <v>0</v>
      </c>
      <c r="J165" s="7">
        <f t="shared" si="38"/>
        <v>0</v>
      </c>
      <c r="K165" s="7">
        <f t="shared" si="39"/>
        <v>0</v>
      </c>
      <c r="L165" s="7" t="e">
        <f t="shared" si="40"/>
        <v>#DIV/0!</v>
      </c>
      <c r="M165" s="2"/>
      <c r="N165" s="3">
        <f>Input!I167</f>
        <v>0</v>
      </c>
      <c r="O165" s="7">
        <f>Input!J167</f>
        <v>0</v>
      </c>
      <c r="P165" s="6">
        <f>Input!K167</f>
        <v>0</v>
      </c>
      <c r="Q165" s="2"/>
      <c r="R165" s="3">
        <f>Input!M167</f>
        <v>0</v>
      </c>
      <c r="S165" s="3">
        <f>Input!N167</f>
        <v>0</v>
      </c>
      <c r="T165" s="3">
        <f t="shared" si="41"/>
        <v>187</v>
      </c>
      <c r="U165" s="3" t="str">
        <f t="shared" si="42"/>
        <v>00</v>
      </c>
      <c r="V165" s="7">
        <f t="shared" si="43"/>
        <v>0</v>
      </c>
      <c r="W165" s="6">
        <f t="shared" si="44"/>
        <v>0</v>
      </c>
      <c r="X165" s="7">
        <f t="shared" si="50"/>
        <v>0</v>
      </c>
      <c r="Y165" s="7">
        <f t="shared" si="45"/>
        <v>0</v>
      </c>
      <c r="Z165" s="7">
        <f t="shared" si="46"/>
        <v>0</v>
      </c>
      <c r="AA165" s="7">
        <f t="shared" si="47"/>
        <v>0</v>
      </c>
      <c r="AB165" s="7">
        <f t="shared" si="48"/>
        <v>0</v>
      </c>
      <c r="AC165" s="7">
        <f t="shared" si="49"/>
        <v>0</v>
      </c>
      <c r="AD165" s="7" t="e">
        <f t="shared" si="34"/>
        <v>#DIV/0!</v>
      </c>
    </row>
    <row r="166" spans="1:30" x14ac:dyDescent="0.25">
      <c r="A166" s="3">
        <f>Input!A168</f>
        <v>0</v>
      </c>
      <c r="B166" s="7">
        <f>Input!B168</f>
        <v>0</v>
      </c>
      <c r="C166" s="7">
        <f t="shared" si="35"/>
        <v>0</v>
      </c>
      <c r="D166" s="7">
        <f t="shared" si="36"/>
        <v>0</v>
      </c>
      <c r="E166" s="2"/>
      <c r="F166" s="3">
        <f>Input!D168</f>
        <v>0</v>
      </c>
      <c r="G166" s="3">
        <f>Input!E168</f>
        <v>0</v>
      </c>
      <c r="H166" s="3" t="str">
        <f t="shared" si="37"/>
        <v>00</v>
      </c>
      <c r="I166" s="7">
        <f>Input!G168</f>
        <v>0</v>
      </c>
      <c r="J166" s="7">
        <f t="shared" si="38"/>
        <v>0</v>
      </c>
      <c r="K166" s="7">
        <f t="shared" si="39"/>
        <v>0</v>
      </c>
      <c r="L166" s="7" t="e">
        <f t="shared" si="40"/>
        <v>#DIV/0!</v>
      </c>
      <c r="M166" s="2"/>
      <c r="N166" s="3">
        <f>Input!I168</f>
        <v>0</v>
      </c>
      <c r="O166" s="7">
        <f>Input!J168</f>
        <v>0</v>
      </c>
      <c r="P166" s="6">
        <f>Input!K168</f>
        <v>0</v>
      </c>
      <c r="Q166" s="2"/>
      <c r="R166" s="3">
        <f>Input!M168</f>
        <v>0</v>
      </c>
      <c r="S166" s="3">
        <f>Input!N168</f>
        <v>0</v>
      </c>
      <c r="T166" s="3">
        <f t="shared" si="41"/>
        <v>187</v>
      </c>
      <c r="U166" s="3" t="str">
        <f t="shared" si="42"/>
        <v>00</v>
      </c>
      <c r="V166" s="7">
        <f t="shared" si="43"/>
        <v>0</v>
      </c>
      <c r="W166" s="6">
        <f t="shared" si="44"/>
        <v>0</v>
      </c>
      <c r="X166" s="7">
        <f t="shared" si="50"/>
        <v>0</v>
      </c>
      <c r="Y166" s="7">
        <f t="shared" si="45"/>
        <v>0</v>
      </c>
      <c r="Z166" s="7">
        <f t="shared" si="46"/>
        <v>0</v>
      </c>
      <c r="AA166" s="7">
        <f t="shared" si="47"/>
        <v>0</v>
      </c>
      <c r="AB166" s="7">
        <f t="shared" si="48"/>
        <v>0</v>
      </c>
      <c r="AC166" s="7">
        <f t="shared" si="49"/>
        <v>0</v>
      </c>
      <c r="AD166" s="7" t="e">
        <f t="shared" si="34"/>
        <v>#DIV/0!</v>
      </c>
    </row>
    <row r="167" spans="1:30" x14ac:dyDescent="0.25">
      <c r="A167" s="3">
        <f>Input!A169</f>
        <v>0</v>
      </c>
      <c r="B167" s="7">
        <f>Input!B169</f>
        <v>0</v>
      </c>
      <c r="C167" s="7">
        <f t="shared" si="35"/>
        <v>0</v>
      </c>
      <c r="D167" s="7">
        <f t="shared" si="36"/>
        <v>0</v>
      </c>
      <c r="E167" s="2"/>
      <c r="F167" s="3">
        <f>Input!D169</f>
        <v>0</v>
      </c>
      <c r="G167" s="3">
        <f>Input!E169</f>
        <v>0</v>
      </c>
      <c r="H167" s="3" t="str">
        <f t="shared" si="37"/>
        <v>00</v>
      </c>
      <c r="I167" s="7">
        <f>Input!G169</f>
        <v>0</v>
      </c>
      <c r="J167" s="7">
        <f t="shared" si="38"/>
        <v>0</v>
      </c>
      <c r="K167" s="7">
        <f t="shared" si="39"/>
        <v>0</v>
      </c>
      <c r="L167" s="7" t="e">
        <f t="shared" si="40"/>
        <v>#DIV/0!</v>
      </c>
      <c r="M167" s="2"/>
      <c r="N167" s="3">
        <f>Input!I169</f>
        <v>0</v>
      </c>
      <c r="O167" s="7">
        <f>Input!J169</f>
        <v>0</v>
      </c>
      <c r="P167" s="6">
        <f>Input!K169</f>
        <v>0</v>
      </c>
      <c r="Q167" s="2"/>
      <c r="R167" s="3">
        <f>Input!M169</f>
        <v>0</v>
      </c>
      <c r="S167" s="3">
        <f>Input!N169</f>
        <v>0</v>
      </c>
      <c r="T167" s="3">
        <f t="shared" si="41"/>
        <v>187</v>
      </c>
      <c r="U167" s="3" t="str">
        <f t="shared" si="42"/>
        <v>00</v>
      </c>
      <c r="V167" s="7">
        <f t="shared" si="43"/>
        <v>0</v>
      </c>
      <c r="W167" s="6">
        <f t="shared" si="44"/>
        <v>0</v>
      </c>
      <c r="X167" s="7">
        <f t="shared" si="50"/>
        <v>0</v>
      </c>
      <c r="Y167" s="7">
        <f t="shared" si="45"/>
        <v>0</v>
      </c>
      <c r="Z167" s="7">
        <f t="shared" si="46"/>
        <v>0</v>
      </c>
      <c r="AA167" s="7">
        <f t="shared" si="47"/>
        <v>0</v>
      </c>
      <c r="AB167" s="7">
        <f t="shared" si="48"/>
        <v>0</v>
      </c>
      <c r="AC167" s="7">
        <f t="shared" si="49"/>
        <v>0</v>
      </c>
      <c r="AD167" s="7" t="e">
        <f t="shared" si="34"/>
        <v>#DIV/0!</v>
      </c>
    </row>
    <row r="168" spans="1:30" x14ac:dyDescent="0.25">
      <c r="A168" s="3">
        <f>Input!A170</f>
        <v>0</v>
      </c>
      <c r="B168" s="7">
        <f>Input!B170</f>
        <v>0</v>
      </c>
      <c r="C168" s="7">
        <f t="shared" si="35"/>
        <v>0</v>
      </c>
      <c r="D168" s="7">
        <f t="shared" si="36"/>
        <v>0</v>
      </c>
      <c r="E168" s="2"/>
      <c r="F168" s="3">
        <f>Input!D170</f>
        <v>0</v>
      </c>
      <c r="G168" s="3">
        <f>Input!E170</f>
        <v>0</v>
      </c>
      <c r="H168" s="3" t="str">
        <f t="shared" si="37"/>
        <v>00</v>
      </c>
      <c r="I168" s="7">
        <f>Input!G170</f>
        <v>0</v>
      </c>
      <c r="J168" s="7">
        <f t="shared" si="38"/>
        <v>0</v>
      </c>
      <c r="K168" s="7">
        <f t="shared" si="39"/>
        <v>0</v>
      </c>
      <c r="L168" s="7" t="e">
        <f t="shared" si="40"/>
        <v>#DIV/0!</v>
      </c>
      <c r="M168" s="2"/>
      <c r="N168" s="3">
        <f>Input!I170</f>
        <v>0</v>
      </c>
      <c r="O168" s="7">
        <f>Input!J170</f>
        <v>0</v>
      </c>
      <c r="P168" s="6">
        <f>Input!K170</f>
        <v>0</v>
      </c>
      <c r="Q168" s="2"/>
      <c r="R168" s="3">
        <f>Input!M170</f>
        <v>0</v>
      </c>
      <c r="S168" s="3">
        <f>Input!N170</f>
        <v>0</v>
      </c>
      <c r="T168" s="3">
        <f t="shared" si="41"/>
        <v>187</v>
      </c>
      <c r="U168" s="3" t="str">
        <f t="shared" si="42"/>
        <v>00</v>
      </c>
      <c r="V168" s="7">
        <f t="shared" si="43"/>
        <v>0</v>
      </c>
      <c r="W168" s="6">
        <f t="shared" si="44"/>
        <v>0</v>
      </c>
      <c r="X168" s="7">
        <f t="shared" si="50"/>
        <v>0</v>
      </c>
      <c r="Y168" s="7">
        <f t="shared" si="45"/>
        <v>0</v>
      </c>
      <c r="Z168" s="7">
        <f t="shared" si="46"/>
        <v>0</v>
      </c>
      <c r="AA168" s="7">
        <f t="shared" si="47"/>
        <v>0</v>
      </c>
      <c r="AB168" s="7">
        <f t="shared" si="48"/>
        <v>0</v>
      </c>
      <c r="AC168" s="7">
        <f t="shared" si="49"/>
        <v>0</v>
      </c>
      <c r="AD168" s="7" t="e">
        <f t="shared" si="34"/>
        <v>#DIV/0!</v>
      </c>
    </row>
    <row r="169" spans="1:30" x14ac:dyDescent="0.25">
      <c r="A169" s="3">
        <f>Input!A171</f>
        <v>0</v>
      </c>
      <c r="B169" s="7">
        <f>Input!B171</f>
        <v>0</v>
      </c>
      <c r="C169" s="7">
        <f t="shared" si="35"/>
        <v>0</v>
      </c>
      <c r="D169" s="7">
        <f t="shared" si="36"/>
        <v>0</v>
      </c>
      <c r="E169" s="2"/>
      <c r="F169" s="3">
        <f>Input!D171</f>
        <v>0</v>
      </c>
      <c r="G169" s="3">
        <f>Input!E171</f>
        <v>0</v>
      </c>
      <c r="H169" s="3" t="str">
        <f t="shared" si="37"/>
        <v>00</v>
      </c>
      <c r="I169" s="7">
        <f>Input!G171</f>
        <v>0</v>
      </c>
      <c r="J169" s="7">
        <f t="shared" si="38"/>
        <v>0</v>
      </c>
      <c r="K169" s="7">
        <f t="shared" si="39"/>
        <v>0</v>
      </c>
      <c r="L169" s="7" t="e">
        <f t="shared" si="40"/>
        <v>#DIV/0!</v>
      </c>
      <c r="M169" s="2"/>
      <c r="N169" s="3">
        <f>Input!I171</f>
        <v>0</v>
      </c>
      <c r="O169" s="7">
        <f>Input!J171</f>
        <v>0</v>
      </c>
      <c r="P169" s="6">
        <f>Input!K171</f>
        <v>0</v>
      </c>
      <c r="Q169" s="2"/>
      <c r="R169" s="3">
        <f>Input!M171</f>
        <v>0</v>
      </c>
      <c r="S169" s="3">
        <f>Input!N171</f>
        <v>0</v>
      </c>
      <c r="T169" s="3">
        <f t="shared" si="41"/>
        <v>187</v>
      </c>
      <c r="U169" s="3" t="str">
        <f t="shared" si="42"/>
        <v>00</v>
      </c>
      <c r="V169" s="7">
        <f t="shared" si="43"/>
        <v>0</v>
      </c>
      <c r="W169" s="6">
        <f t="shared" si="44"/>
        <v>0</v>
      </c>
      <c r="X169" s="7">
        <f t="shared" si="50"/>
        <v>0</v>
      </c>
      <c r="Y169" s="7">
        <f t="shared" si="45"/>
        <v>0</v>
      </c>
      <c r="Z169" s="7">
        <f t="shared" si="46"/>
        <v>0</v>
      </c>
      <c r="AA169" s="7">
        <f t="shared" si="47"/>
        <v>0</v>
      </c>
      <c r="AB169" s="7">
        <f t="shared" si="48"/>
        <v>0</v>
      </c>
      <c r="AC169" s="7">
        <f t="shared" si="49"/>
        <v>0</v>
      </c>
      <c r="AD169" s="7" t="e">
        <f t="shared" si="34"/>
        <v>#DIV/0!</v>
      </c>
    </row>
    <row r="170" spans="1:30" x14ac:dyDescent="0.25">
      <c r="A170" s="3">
        <f>Input!A172</f>
        <v>0</v>
      </c>
      <c r="B170" s="7">
        <f>Input!B172</f>
        <v>0</v>
      </c>
      <c r="C170" s="7">
        <f t="shared" si="35"/>
        <v>0</v>
      </c>
      <c r="D170" s="7">
        <f t="shared" si="36"/>
        <v>0</v>
      </c>
      <c r="E170" s="2"/>
      <c r="F170" s="3">
        <f>Input!D172</f>
        <v>0</v>
      </c>
      <c r="G170" s="3">
        <f>Input!E172</f>
        <v>0</v>
      </c>
      <c r="H170" s="3" t="str">
        <f t="shared" si="37"/>
        <v>00</v>
      </c>
      <c r="I170" s="7">
        <f>Input!G172</f>
        <v>0</v>
      </c>
      <c r="J170" s="7">
        <f t="shared" si="38"/>
        <v>0</v>
      </c>
      <c r="K170" s="7">
        <f t="shared" si="39"/>
        <v>0</v>
      </c>
      <c r="L170" s="7" t="e">
        <f t="shared" si="40"/>
        <v>#DIV/0!</v>
      </c>
      <c r="M170" s="2"/>
      <c r="N170" s="3">
        <f>Input!I172</f>
        <v>0</v>
      </c>
      <c r="O170" s="7">
        <f>Input!J172</f>
        <v>0</v>
      </c>
      <c r="P170" s="6">
        <f>Input!K172</f>
        <v>0</v>
      </c>
      <c r="Q170" s="2"/>
      <c r="R170" s="3">
        <f>Input!M172</f>
        <v>0</v>
      </c>
      <c r="S170" s="3">
        <f>Input!N172</f>
        <v>0</v>
      </c>
      <c r="T170" s="3">
        <f t="shared" si="41"/>
        <v>187</v>
      </c>
      <c r="U170" s="3" t="str">
        <f t="shared" si="42"/>
        <v>00</v>
      </c>
      <c r="V170" s="7">
        <f t="shared" si="43"/>
        <v>0</v>
      </c>
      <c r="W170" s="6">
        <f t="shared" si="44"/>
        <v>0</v>
      </c>
      <c r="X170" s="7">
        <f t="shared" si="50"/>
        <v>0</v>
      </c>
      <c r="Y170" s="7">
        <f t="shared" si="45"/>
        <v>0</v>
      </c>
      <c r="Z170" s="7">
        <f t="shared" si="46"/>
        <v>0</v>
      </c>
      <c r="AA170" s="7">
        <f t="shared" si="47"/>
        <v>0</v>
      </c>
      <c r="AB170" s="7">
        <f t="shared" si="48"/>
        <v>0</v>
      </c>
      <c r="AC170" s="7">
        <f t="shared" si="49"/>
        <v>0</v>
      </c>
      <c r="AD170" s="7" t="e">
        <f t="shared" si="34"/>
        <v>#DIV/0!</v>
      </c>
    </row>
    <row r="171" spans="1:30" x14ac:dyDescent="0.25">
      <c r="A171" s="3">
        <f>Input!A173</f>
        <v>0</v>
      </c>
      <c r="B171" s="7">
        <f>Input!B173</f>
        <v>0</v>
      </c>
      <c r="C171" s="7">
        <f t="shared" si="35"/>
        <v>0</v>
      </c>
      <c r="D171" s="7">
        <f t="shared" si="36"/>
        <v>0</v>
      </c>
      <c r="E171" s="2"/>
      <c r="F171" s="3">
        <f>Input!D173</f>
        <v>0</v>
      </c>
      <c r="G171" s="3">
        <f>Input!E173</f>
        <v>0</v>
      </c>
      <c r="H171" s="3" t="str">
        <f t="shared" si="37"/>
        <v>00</v>
      </c>
      <c r="I171" s="7">
        <f>Input!G173</f>
        <v>0</v>
      </c>
      <c r="J171" s="7">
        <f t="shared" si="38"/>
        <v>0</v>
      </c>
      <c r="K171" s="7">
        <f t="shared" si="39"/>
        <v>0</v>
      </c>
      <c r="L171" s="7" t="e">
        <f t="shared" si="40"/>
        <v>#DIV/0!</v>
      </c>
      <c r="M171" s="2"/>
      <c r="N171" s="3">
        <f>Input!I173</f>
        <v>0</v>
      </c>
      <c r="O171" s="7">
        <f>Input!J173</f>
        <v>0</v>
      </c>
      <c r="P171" s="6">
        <f>Input!K173</f>
        <v>0</v>
      </c>
      <c r="Q171" s="2"/>
      <c r="R171" s="3">
        <f>Input!M173</f>
        <v>0</v>
      </c>
      <c r="S171" s="3">
        <f>Input!N173</f>
        <v>0</v>
      </c>
      <c r="T171" s="3">
        <f t="shared" si="41"/>
        <v>187</v>
      </c>
      <c r="U171" s="3" t="str">
        <f t="shared" si="42"/>
        <v>00</v>
      </c>
      <c r="V171" s="7">
        <f t="shared" si="43"/>
        <v>0</v>
      </c>
      <c r="W171" s="6">
        <f t="shared" si="44"/>
        <v>0</v>
      </c>
      <c r="X171" s="7">
        <f t="shared" si="50"/>
        <v>0</v>
      </c>
      <c r="Y171" s="7">
        <f t="shared" si="45"/>
        <v>0</v>
      </c>
      <c r="Z171" s="7">
        <f t="shared" si="46"/>
        <v>0</v>
      </c>
      <c r="AA171" s="7">
        <f t="shared" si="47"/>
        <v>0</v>
      </c>
      <c r="AB171" s="7">
        <f t="shared" si="48"/>
        <v>0</v>
      </c>
      <c r="AC171" s="7">
        <f t="shared" si="49"/>
        <v>0</v>
      </c>
      <c r="AD171" s="7" t="e">
        <f t="shared" si="34"/>
        <v>#DIV/0!</v>
      </c>
    </row>
    <row r="172" spans="1:30" x14ac:dyDescent="0.25">
      <c r="A172" s="3">
        <f>Input!A174</f>
        <v>0</v>
      </c>
      <c r="B172" s="7">
        <f>Input!B174</f>
        <v>0</v>
      </c>
      <c r="C172" s="7">
        <f t="shared" si="35"/>
        <v>0</v>
      </c>
      <c r="D172" s="7">
        <f t="shared" si="36"/>
        <v>0</v>
      </c>
      <c r="E172" s="2"/>
      <c r="F172" s="3">
        <f>Input!D174</f>
        <v>0</v>
      </c>
      <c r="G172" s="3">
        <f>Input!E174</f>
        <v>0</v>
      </c>
      <c r="H172" s="3" t="str">
        <f t="shared" si="37"/>
        <v>00</v>
      </c>
      <c r="I172" s="7">
        <f>Input!G174</f>
        <v>0</v>
      </c>
      <c r="J172" s="7">
        <f t="shared" si="38"/>
        <v>0</v>
      </c>
      <c r="K172" s="7">
        <f t="shared" si="39"/>
        <v>0</v>
      </c>
      <c r="L172" s="7" t="e">
        <f t="shared" si="40"/>
        <v>#DIV/0!</v>
      </c>
      <c r="M172" s="2"/>
      <c r="N172" s="3">
        <f>Input!I174</f>
        <v>0</v>
      </c>
      <c r="O172" s="7">
        <f>Input!J174</f>
        <v>0</v>
      </c>
      <c r="P172" s="6">
        <f>Input!K174</f>
        <v>0</v>
      </c>
      <c r="Q172" s="2"/>
      <c r="R172" s="3">
        <f>Input!M174</f>
        <v>0</v>
      </c>
      <c r="S172" s="3">
        <f>Input!N174</f>
        <v>0</v>
      </c>
      <c r="T172" s="3">
        <f t="shared" si="41"/>
        <v>187</v>
      </c>
      <c r="U172" s="3" t="str">
        <f t="shared" si="42"/>
        <v>00</v>
      </c>
      <c r="V172" s="7">
        <f t="shared" si="43"/>
        <v>0</v>
      </c>
      <c r="W172" s="6">
        <f t="shared" si="44"/>
        <v>0</v>
      </c>
      <c r="X172" s="7">
        <f t="shared" si="50"/>
        <v>0</v>
      </c>
      <c r="Y172" s="7">
        <f t="shared" si="45"/>
        <v>0</v>
      </c>
      <c r="Z172" s="7">
        <f t="shared" si="46"/>
        <v>0</v>
      </c>
      <c r="AA172" s="7">
        <f t="shared" si="47"/>
        <v>0</v>
      </c>
      <c r="AB172" s="7">
        <f t="shared" si="48"/>
        <v>0</v>
      </c>
      <c r="AC172" s="7">
        <f t="shared" si="49"/>
        <v>0</v>
      </c>
      <c r="AD172" s="7" t="e">
        <f t="shared" si="34"/>
        <v>#DIV/0!</v>
      </c>
    </row>
    <row r="173" spans="1:30" x14ac:dyDescent="0.25">
      <c r="A173" s="3">
        <f>Input!A175</f>
        <v>0</v>
      </c>
      <c r="B173" s="7">
        <f>Input!B175</f>
        <v>0</v>
      </c>
      <c r="C173" s="7">
        <f t="shared" si="35"/>
        <v>0</v>
      </c>
      <c r="D173" s="7">
        <f t="shared" si="36"/>
        <v>0</v>
      </c>
      <c r="E173" s="2"/>
      <c r="F173" s="3">
        <f>Input!D175</f>
        <v>0</v>
      </c>
      <c r="G173" s="3">
        <f>Input!E175</f>
        <v>0</v>
      </c>
      <c r="H173" s="3" t="str">
        <f t="shared" si="37"/>
        <v>00</v>
      </c>
      <c r="I173" s="7">
        <f>Input!G175</f>
        <v>0</v>
      </c>
      <c r="J173" s="7">
        <f t="shared" si="38"/>
        <v>0</v>
      </c>
      <c r="K173" s="7">
        <f t="shared" si="39"/>
        <v>0</v>
      </c>
      <c r="L173" s="7" t="e">
        <f t="shared" si="40"/>
        <v>#DIV/0!</v>
      </c>
      <c r="M173" s="2"/>
      <c r="N173" s="3">
        <f>Input!I175</f>
        <v>0</v>
      </c>
      <c r="O173" s="7">
        <f>Input!J175</f>
        <v>0</v>
      </c>
      <c r="P173" s="6">
        <f>Input!K175</f>
        <v>0</v>
      </c>
      <c r="Q173" s="2"/>
      <c r="R173" s="3">
        <f>Input!M175</f>
        <v>0</v>
      </c>
      <c r="S173" s="3">
        <f>Input!N175</f>
        <v>0</v>
      </c>
      <c r="T173" s="3">
        <f t="shared" si="41"/>
        <v>187</v>
      </c>
      <c r="U173" s="3" t="str">
        <f t="shared" si="42"/>
        <v>00</v>
      </c>
      <c r="V173" s="7">
        <f t="shared" si="43"/>
        <v>0</v>
      </c>
      <c r="W173" s="6">
        <f t="shared" si="44"/>
        <v>0</v>
      </c>
      <c r="X173" s="7">
        <f t="shared" si="50"/>
        <v>0</v>
      </c>
      <c r="Y173" s="7">
        <f t="shared" si="45"/>
        <v>0</v>
      </c>
      <c r="Z173" s="7">
        <f t="shared" si="46"/>
        <v>0</v>
      </c>
      <c r="AA173" s="7">
        <f t="shared" si="47"/>
        <v>0</v>
      </c>
      <c r="AB173" s="7">
        <f t="shared" si="48"/>
        <v>0</v>
      </c>
      <c r="AC173" s="7">
        <f t="shared" si="49"/>
        <v>0</v>
      </c>
      <c r="AD173" s="7" t="e">
        <f t="shared" si="34"/>
        <v>#DIV/0!</v>
      </c>
    </row>
    <row r="174" spans="1:30" x14ac:dyDescent="0.25">
      <c r="A174" s="3">
        <f>Input!A176</f>
        <v>0</v>
      </c>
      <c r="B174" s="7">
        <f>Input!B176</f>
        <v>0</v>
      </c>
      <c r="C174" s="7">
        <f t="shared" si="35"/>
        <v>0</v>
      </c>
      <c r="D174" s="7">
        <f t="shared" si="36"/>
        <v>0</v>
      </c>
      <c r="E174" s="2"/>
      <c r="F174" s="3">
        <f>Input!D176</f>
        <v>0</v>
      </c>
      <c r="G174" s="3">
        <f>Input!E176</f>
        <v>0</v>
      </c>
      <c r="H174" s="3" t="str">
        <f t="shared" si="37"/>
        <v>00</v>
      </c>
      <c r="I174" s="7">
        <f>Input!G176</f>
        <v>0</v>
      </c>
      <c r="J174" s="7">
        <f t="shared" si="38"/>
        <v>0</v>
      </c>
      <c r="K174" s="7">
        <f t="shared" si="39"/>
        <v>0</v>
      </c>
      <c r="L174" s="7" t="e">
        <f t="shared" si="40"/>
        <v>#DIV/0!</v>
      </c>
      <c r="M174" s="2"/>
      <c r="N174" s="3">
        <f>Input!I176</f>
        <v>0</v>
      </c>
      <c r="O174" s="7">
        <f>Input!J176</f>
        <v>0</v>
      </c>
      <c r="P174" s="6">
        <f>Input!K176</f>
        <v>0</v>
      </c>
      <c r="Q174" s="2"/>
      <c r="R174" s="3">
        <f>Input!M176</f>
        <v>0</v>
      </c>
      <c r="S174" s="3">
        <f>Input!N176</f>
        <v>0</v>
      </c>
      <c r="T174" s="3">
        <f t="shared" si="41"/>
        <v>187</v>
      </c>
      <c r="U174" s="3" t="str">
        <f t="shared" si="42"/>
        <v>00</v>
      </c>
      <c r="V174" s="7">
        <f t="shared" si="43"/>
        <v>0</v>
      </c>
      <c r="W174" s="6">
        <f t="shared" si="44"/>
        <v>0</v>
      </c>
      <c r="X174" s="7">
        <f t="shared" si="50"/>
        <v>0</v>
      </c>
      <c r="Y174" s="7">
        <f t="shared" si="45"/>
        <v>0</v>
      </c>
      <c r="Z174" s="7">
        <f t="shared" si="46"/>
        <v>0</v>
      </c>
      <c r="AA174" s="7">
        <f t="shared" si="47"/>
        <v>0</v>
      </c>
      <c r="AB174" s="7">
        <f t="shared" si="48"/>
        <v>0</v>
      </c>
      <c r="AC174" s="7">
        <f t="shared" si="49"/>
        <v>0</v>
      </c>
      <c r="AD174" s="7" t="e">
        <f t="shared" si="34"/>
        <v>#DIV/0!</v>
      </c>
    </row>
    <row r="175" spans="1:30" x14ac:dyDescent="0.25">
      <c r="A175" s="3">
        <f>Input!A177</f>
        <v>0</v>
      </c>
      <c r="B175" s="7">
        <f>Input!B177</f>
        <v>0</v>
      </c>
      <c r="C175" s="7">
        <f t="shared" si="35"/>
        <v>0</v>
      </c>
      <c r="D175" s="7">
        <f t="shared" si="36"/>
        <v>0</v>
      </c>
      <c r="E175" s="2"/>
      <c r="F175" s="3">
        <f>Input!D177</f>
        <v>0</v>
      </c>
      <c r="G175" s="3">
        <f>Input!E177</f>
        <v>0</v>
      </c>
      <c r="H175" s="3" t="str">
        <f t="shared" si="37"/>
        <v>00</v>
      </c>
      <c r="I175" s="7">
        <f>Input!G177</f>
        <v>0</v>
      </c>
      <c r="J175" s="7">
        <f t="shared" si="38"/>
        <v>0</v>
      </c>
      <c r="K175" s="7">
        <f t="shared" si="39"/>
        <v>0</v>
      </c>
      <c r="L175" s="7" t="e">
        <f t="shared" si="40"/>
        <v>#DIV/0!</v>
      </c>
      <c r="M175" s="2"/>
      <c r="N175" s="3">
        <f>Input!I177</f>
        <v>0</v>
      </c>
      <c r="O175" s="7">
        <f>Input!J177</f>
        <v>0</v>
      </c>
      <c r="P175" s="6">
        <f>Input!K177</f>
        <v>0</v>
      </c>
      <c r="Q175" s="2"/>
      <c r="R175" s="3">
        <f>Input!M177</f>
        <v>0</v>
      </c>
      <c r="S175" s="3">
        <f>Input!N177</f>
        <v>0</v>
      </c>
      <c r="T175" s="3">
        <f t="shared" si="41"/>
        <v>187</v>
      </c>
      <c r="U175" s="3" t="str">
        <f t="shared" si="42"/>
        <v>00</v>
      </c>
      <c r="V175" s="7">
        <f t="shared" si="43"/>
        <v>0</v>
      </c>
      <c r="W175" s="6">
        <f t="shared" si="44"/>
        <v>0</v>
      </c>
      <c r="X175" s="7">
        <f t="shared" si="50"/>
        <v>0</v>
      </c>
      <c r="Y175" s="7">
        <f t="shared" si="45"/>
        <v>0</v>
      </c>
      <c r="Z175" s="7">
        <f t="shared" si="46"/>
        <v>0</v>
      </c>
      <c r="AA175" s="7">
        <f t="shared" si="47"/>
        <v>0</v>
      </c>
      <c r="AB175" s="7">
        <f t="shared" si="48"/>
        <v>0</v>
      </c>
      <c r="AC175" s="7">
        <f t="shared" si="49"/>
        <v>0</v>
      </c>
      <c r="AD175" s="7" t="e">
        <f t="shared" si="34"/>
        <v>#DIV/0!</v>
      </c>
    </row>
    <row r="176" spans="1:30" x14ac:dyDescent="0.25">
      <c r="A176" s="3">
        <f>Input!A178</f>
        <v>0</v>
      </c>
      <c r="B176" s="7">
        <f>Input!B178</f>
        <v>0</v>
      </c>
      <c r="C176" s="7">
        <f t="shared" si="35"/>
        <v>0</v>
      </c>
      <c r="D176" s="7">
        <f t="shared" si="36"/>
        <v>0</v>
      </c>
      <c r="E176" s="2"/>
      <c r="F176" s="3">
        <f>Input!D178</f>
        <v>0</v>
      </c>
      <c r="G176" s="3">
        <f>Input!E178</f>
        <v>0</v>
      </c>
      <c r="H176" s="3" t="str">
        <f t="shared" si="37"/>
        <v>00</v>
      </c>
      <c r="I176" s="7">
        <f>Input!G178</f>
        <v>0</v>
      </c>
      <c r="J176" s="7">
        <f t="shared" si="38"/>
        <v>0</v>
      </c>
      <c r="K176" s="7">
        <f t="shared" si="39"/>
        <v>0</v>
      </c>
      <c r="L176" s="7" t="e">
        <f t="shared" si="40"/>
        <v>#DIV/0!</v>
      </c>
      <c r="M176" s="2"/>
      <c r="N176" s="3">
        <f>Input!I178</f>
        <v>0</v>
      </c>
      <c r="O176" s="7">
        <f>Input!J178</f>
        <v>0</v>
      </c>
      <c r="P176" s="6">
        <f>Input!K178</f>
        <v>0</v>
      </c>
      <c r="Q176" s="2"/>
      <c r="R176" s="3">
        <f>Input!M178</f>
        <v>0</v>
      </c>
      <c r="S176" s="3">
        <f>Input!N178</f>
        <v>0</v>
      </c>
      <c r="T176" s="3">
        <f t="shared" si="41"/>
        <v>187</v>
      </c>
      <c r="U176" s="3" t="str">
        <f t="shared" si="42"/>
        <v>00</v>
      </c>
      <c r="V176" s="7">
        <f t="shared" si="43"/>
        <v>0</v>
      </c>
      <c r="W176" s="6">
        <f t="shared" si="44"/>
        <v>0</v>
      </c>
      <c r="X176" s="7">
        <f t="shared" si="50"/>
        <v>0</v>
      </c>
      <c r="Y176" s="7">
        <f t="shared" si="45"/>
        <v>0</v>
      </c>
      <c r="Z176" s="7">
        <f t="shared" si="46"/>
        <v>0</v>
      </c>
      <c r="AA176" s="7">
        <f t="shared" si="47"/>
        <v>0</v>
      </c>
      <c r="AB176" s="7">
        <f t="shared" si="48"/>
        <v>0</v>
      </c>
      <c r="AC176" s="7">
        <f t="shared" si="49"/>
        <v>0</v>
      </c>
      <c r="AD176" s="7" t="e">
        <f t="shared" si="34"/>
        <v>#DIV/0!</v>
      </c>
    </row>
    <row r="177" spans="1:30" x14ac:dyDescent="0.25">
      <c r="A177" s="3">
        <f>Input!A179</f>
        <v>0</v>
      </c>
      <c r="B177" s="7">
        <f>Input!B179</f>
        <v>0</v>
      </c>
      <c r="C177" s="7">
        <f t="shared" si="35"/>
        <v>0</v>
      </c>
      <c r="D177" s="7">
        <f t="shared" si="36"/>
        <v>0</v>
      </c>
      <c r="E177" s="2"/>
      <c r="F177" s="3">
        <f>Input!D179</f>
        <v>0</v>
      </c>
      <c r="G177" s="3">
        <f>Input!E179</f>
        <v>0</v>
      </c>
      <c r="H177" s="3" t="str">
        <f t="shared" si="37"/>
        <v>00</v>
      </c>
      <c r="I177" s="7">
        <f>Input!G179</f>
        <v>0</v>
      </c>
      <c r="J177" s="7">
        <f t="shared" si="38"/>
        <v>0</v>
      </c>
      <c r="K177" s="7">
        <f t="shared" si="39"/>
        <v>0</v>
      </c>
      <c r="L177" s="7" t="e">
        <f t="shared" si="40"/>
        <v>#DIV/0!</v>
      </c>
      <c r="M177" s="2"/>
      <c r="N177" s="3">
        <f>Input!I179</f>
        <v>0</v>
      </c>
      <c r="O177" s="7">
        <f>Input!J179</f>
        <v>0</v>
      </c>
      <c r="P177" s="6">
        <f>Input!K179</f>
        <v>0</v>
      </c>
      <c r="Q177" s="2"/>
      <c r="R177" s="3">
        <f>Input!M179</f>
        <v>0</v>
      </c>
      <c r="S177" s="3">
        <f>Input!N179</f>
        <v>0</v>
      </c>
      <c r="T177" s="3">
        <f t="shared" si="41"/>
        <v>187</v>
      </c>
      <c r="U177" s="3" t="str">
        <f t="shared" si="42"/>
        <v>00</v>
      </c>
      <c r="V177" s="7">
        <f t="shared" si="43"/>
        <v>0</v>
      </c>
      <c r="W177" s="6">
        <f t="shared" si="44"/>
        <v>0</v>
      </c>
      <c r="X177" s="7">
        <f t="shared" si="50"/>
        <v>0</v>
      </c>
      <c r="Y177" s="7">
        <f t="shared" si="45"/>
        <v>0</v>
      </c>
      <c r="Z177" s="7">
        <f t="shared" si="46"/>
        <v>0</v>
      </c>
      <c r="AA177" s="7">
        <f t="shared" si="47"/>
        <v>0</v>
      </c>
      <c r="AB177" s="7">
        <f t="shared" si="48"/>
        <v>0</v>
      </c>
      <c r="AC177" s="7">
        <f t="shared" si="49"/>
        <v>0</v>
      </c>
      <c r="AD177" s="7" t="e">
        <f t="shared" si="34"/>
        <v>#DIV/0!</v>
      </c>
    </row>
    <row r="178" spans="1:30" x14ac:dyDescent="0.25">
      <c r="A178" s="3">
        <f>Input!A180</f>
        <v>0</v>
      </c>
      <c r="B178" s="7">
        <f>Input!B180</f>
        <v>0</v>
      </c>
      <c r="C178" s="7">
        <f t="shared" si="35"/>
        <v>0</v>
      </c>
      <c r="D178" s="7">
        <f t="shared" si="36"/>
        <v>0</v>
      </c>
      <c r="E178" s="2"/>
      <c r="F178" s="3">
        <f>Input!D180</f>
        <v>0</v>
      </c>
      <c r="G178" s="3">
        <f>Input!E180</f>
        <v>0</v>
      </c>
      <c r="H178" s="3" t="str">
        <f t="shared" si="37"/>
        <v>00</v>
      </c>
      <c r="I178" s="7">
        <f>Input!G180</f>
        <v>0</v>
      </c>
      <c r="J178" s="7">
        <f t="shared" si="38"/>
        <v>0</v>
      </c>
      <c r="K178" s="7">
        <f t="shared" si="39"/>
        <v>0</v>
      </c>
      <c r="L178" s="7" t="e">
        <f t="shared" si="40"/>
        <v>#DIV/0!</v>
      </c>
      <c r="M178" s="2"/>
      <c r="N178" s="3">
        <f>Input!I180</f>
        <v>0</v>
      </c>
      <c r="O178" s="7">
        <f>Input!J180</f>
        <v>0</v>
      </c>
      <c r="P178" s="6">
        <f>Input!K180</f>
        <v>0</v>
      </c>
      <c r="Q178" s="2"/>
      <c r="R178" s="3">
        <f>Input!M180</f>
        <v>0</v>
      </c>
      <c r="S178" s="3">
        <f>Input!N180</f>
        <v>0</v>
      </c>
      <c r="T178" s="3">
        <f t="shared" si="41"/>
        <v>187</v>
      </c>
      <c r="U178" s="3" t="str">
        <f t="shared" si="42"/>
        <v>00</v>
      </c>
      <c r="V178" s="7">
        <f t="shared" si="43"/>
        <v>0</v>
      </c>
      <c r="W178" s="6">
        <f t="shared" si="44"/>
        <v>0</v>
      </c>
      <c r="X178" s="7">
        <f t="shared" si="50"/>
        <v>0</v>
      </c>
      <c r="Y178" s="7">
        <f t="shared" si="45"/>
        <v>0</v>
      </c>
      <c r="Z178" s="7">
        <f t="shared" si="46"/>
        <v>0</v>
      </c>
      <c r="AA178" s="7">
        <f t="shared" si="47"/>
        <v>0</v>
      </c>
      <c r="AB178" s="7">
        <f t="shared" si="48"/>
        <v>0</v>
      </c>
      <c r="AC178" s="7">
        <f t="shared" si="49"/>
        <v>0</v>
      </c>
      <c r="AD178" s="7" t="e">
        <f t="shared" si="34"/>
        <v>#DIV/0!</v>
      </c>
    </row>
    <row r="179" spans="1:30" x14ac:dyDescent="0.25">
      <c r="A179" s="3">
        <f>Input!A181</f>
        <v>0</v>
      </c>
      <c r="B179" s="7">
        <f>Input!B181</f>
        <v>0</v>
      </c>
      <c r="C179" s="7">
        <f t="shared" si="35"/>
        <v>0</v>
      </c>
      <c r="D179" s="7">
        <f t="shared" si="36"/>
        <v>0</v>
      </c>
      <c r="E179" s="2"/>
      <c r="F179" s="3">
        <f>Input!D181</f>
        <v>0</v>
      </c>
      <c r="G179" s="3">
        <f>Input!E181</f>
        <v>0</v>
      </c>
      <c r="H179" s="3" t="str">
        <f t="shared" si="37"/>
        <v>00</v>
      </c>
      <c r="I179" s="7">
        <f>Input!G181</f>
        <v>0</v>
      </c>
      <c r="J179" s="7">
        <f t="shared" si="38"/>
        <v>0</v>
      </c>
      <c r="K179" s="7">
        <f t="shared" si="39"/>
        <v>0</v>
      </c>
      <c r="L179" s="7" t="e">
        <f t="shared" si="40"/>
        <v>#DIV/0!</v>
      </c>
      <c r="M179" s="2"/>
      <c r="N179" s="3">
        <f>Input!I181</f>
        <v>0</v>
      </c>
      <c r="O179" s="7">
        <f>Input!J181</f>
        <v>0</v>
      </c>
      <c r="P179" s="6">
        <f>Input!K181</f>
        <v>0</v>
      </c>
      <c r="Q179" s="2"/>
      <c r="R179" s="3">
        <f>Input!M181</f>
        <v>0</v>
      </c>
      <c r="S179" s="3">
        <f>Input!N181</f>
        <v>0</v>
      </c>
      <c r="T179" s="3">
        <f t="shared" si="41"/>
        <v>187</v>
      </c>
      <c r="U179" s="3" t="str">
        <f t="shared" si="42"/>
        <v>00</v>
      </c>
      <c r="V179" s="7">
        <f t="shared" si="43"/>
        <v>0</v>
      </c>
      <c r="W179" s="6">
        <f t="shared" si="44"/>
        <v>0</v>
      </c>
      <c r="X179" s="7">
        <f t="shared" si="50"/>
        <v>0</v>
      </c>
      <c r="Y179" s="7">
        <f t="shared" si="45"/>
        <v>0</v>
      </c>
      <c r="Z179" s="7">
        <f t="shared" si="46"/>
        <v>0</v>
      </c>
      <c r="AA179" s="7">
        <f t="shared" si="47"/>
        <v>0</v>
      </c>
      <c r="AB179" s="7">
        <f t="shared" si="48"/>
        <v>0</v>
      </c>
      <c r="AC179" s="7">
        <f t="shared" si="49"/>
        <v>0</v>
      </c>
      <c r="AD179" s="7" t="e">
        <f t="shared" si="34"/>
        <v>#DIV/0!</v>
      </c>
    </row>
    <row r="180" spans="1:30" x14ac:dyDescent="0.25">
      <c r="A180" s="3">
        <f>Input!A182</f>
        <v>0</v>
      </c>
      <c r="B180" s="7">
        <f>Input!B182</f>
        <v>0</v>
      </c>
      <c r="C180" s="7">
        <f t="shared" si="35"/>
        <v>0</v>
      </c>
      <c r="D180" s="7">
        <f t="shared" si="36"/>
        <v>0</v>
      </c>
      <c r="E180" s="2"/>
      <c r="F180" s="3">
        <f>Input!D182</f>
        <v>0</v>
      </c>
      <c r="G180" s="3">
        <f>Input!E182</f>
        <v>0</v>
      </c>
      <c r="H180" s="3" t="str">
        <f t="shared" si="37"/>
        <v>00</v>
      </c>
      <c r="I180" s="7">
        <f>Input!G182</f>
        <v>0</v>
      </c>
      <c r="J180" s="7">
        <f t="shared" si="38"/>
        <v>0</v>
      </c>
      <c r="K180" s="7">
        <f t="shared" si="39"/>
        <v>0</v>
      </c>
      <c r="L180" s="7" t="e">
        <f t="shared" si="40"/>
        <v>#DIV/0!</v>
      </c>
      <c r="M180" s="2"/>
      <c r="N180" s="3">
        <f>Input!I182</f>
        <v>0</v>
      </c>
      <c r="O180" s="7">
        <f>Input!J182</f>
        <v>0</v>
      </c>
      <c r="P180" s="6">
        <f>Input!K182</f>
        <v>0</v>
      </c>
      <c r="Q180" s="2"/>
      <c r="R180" s="3">
        <f>Input!M182</f>
        <v>0</v>
      </c>
      <c r="S180" s="3">
        <f>Input!N182</f>
        <v>0</v>
      </c>
      <c r="T180" s="3">
        <f t="shared" si="41"/>
        <v>187</v>
      </c>
      <c r="U180" s="3" t="str">
        <f t="shared" si="42"/>
        <v>00</v>
      </c>
      <c r="V180" s="7">
        <f t="shared" si="43"/>
        <v>0</v>
      </c>
      <c r="W180" s="6">
        <f t="shared" si="44"/>
        <v>0</v>
      </c>
      <c r="X180" s="7">
        <f t="shared" si="50"/>
        <v>0</v>
      </c>
      <c r="Y180" s="7">
        <f t="shared" si="45"/>
        <v>0</v>
      </c>
      <c r="Z180" s="7">
        <f t="shared" si="46"/>
        <v>0</v>
      </c>
      <c r="AA180" s="7">
        <f t="shared" si="47"/>
        <v>0</v>
      </c>
      <c r="AB180" s="7">
        <f t="shared" si="48"/>
        <v>0</v>
      </c>
      <c r="AC180" s="7">
        <f t="shared" si="49"/>
        <v>0</v>
      </c>
      <c r="AD180" s="7" t="e">
        <f t="shared" si="34"/>
        <v>#DIV/0!</v>
      </c>
    </row>
    <row r="181" spans="1:30" x14ac:dyDescent="0.25">
      <c r="A181" s="3">
        <f>Input!A183</f>
        <v>0</v>
      </c>
      <c r="B181" s="7">
        <f>Input!B183</f>
        <v>0</v>
      </c>
      <c r="C181" s="7">
        <f t="shared" si="35"/>
        <v>0</v>
      </c>
      <c r="D181" s="7">
        <f t="shared" si="36"/>
        <v>0</v>
      </c>
      <c r="E181" s="2"/>
      <c r="F181" s="3">
        <f>Input!D183</f>
        <v>0</v>
      </c>
      <c r="G181" s="3">
        <f>Input!E183</f>
        <v>0</v>
      </c>
      <c r="H181" s="3" t="str">
        <f t="shared" si="37"/>
        <v>00</v>
      </c>
      <c r="I181" s="7">
        <f>Input!G183</f>
        <v>0</v>
      </c>
      <c r="J181" s="7">
        <f t="shared" si="38"/>
        <v>0</v>
      </c>
      <c r="K181" s="7">
        <f t="shared" si="39"/>
        <v>0</v>
      </c>
      <c r="L181" s="7" t="e">
        <f t="shared" si="40"/>
        <v>#DIV/0!</v>
      </c>
      <c r="M181" s="2"/>
      <c r="N181" s="3">
        <f>Input!I183</f>
        <v>0</v>
      </c>
      <c r="O181" s="7">
        <f>Input!J183</f>
        <v>0</v>
      </c>
      <c r="P181" s="6">
        <f>Input!K183</f>
        <v>0</v>
      </c>
      <c r="Q181" s="2"/>
      <c r="R181" s="3">
        <f>Input!M183</f>
        <v>0</v>
      </c>
      <c r="S181" s="3">
        <f>Input!N183</f>
        <v>0</v>
      </c>
      <c r="T181" s="3">
        <f t="shared" si="41"/>
        <v>187</v>
      </c>
      <c r="U181" s="3" t="str">
        <f t="shared" si="42"/>
        <v>00</v>
      </c>
      <c r="V181" s="7">
        <f t="shared" si="43"/>
        <v>0</v>
      </c>
      <c r="W181" s="6">
        <f t="shared" si="44"/>
        <v>0</v>
      </c>
      <c r="X181" s="7">
        <f t="shared" si="50"/>
        <v>0</v>
      </c>
      <c r="Y181" s="7">
        <f t="shared" si="45"/>
        <v>0</v>
      </c>
      <c r="Z181" s="7">
        <f t="shared" si="46"/>
        <v>0</v>
      </c>
      <c r="AA181" s="7">
        <f t="shared" si="47"/>
        <v>0</v>
      </c>
      <c r="AB181" s="7">
        <f t="shared" si="48"/>
        <v>0</v>
      </c>
      <c r="AC181" s="7">
        <f t="shared" si="49"/>
        <v>0</v>
      </c>
      <c r="AD181" s="7" t="e">
        <f t="shared" si="34"/>
        <v>#DIV/0!</v>
      </c>
    </row>
    <row r="182" spans="1:30" x14ac:dyDescent="0.25">
      <c r="A182" s="3">
        <f>Input!A184</f>
        <v>0</v>
      </c>
      <c r="B182" s="7">
        <f>Input!B184</f>
        <v>0</v>
      </c>
      <c r="C182" s="7">
        <f t="shared" si="35"/>
        <v>0</v>
      </c>
      <c r="D182" s="7">
        <f t="shared" si="36"/>
        <v>0</v>
      </c>
      <c r="E182" s="2"/>
      <c r="F182" s="3">
        <f>Input!D184</f>
        <v>0</v>
      </c>
      <c r="G182" s="3">
        <f>Input!E184</f>
        <v>0</v>
      </c>
      <c r="H182" s="3" t="str">
        <f t="shared" si="37"/>
        <v>00</v>
      </c>
      <c r="I182" s="7">
        <f>Input!G184</f>
        <v>0</v>
      </c>
      <c r="J182" s="7">
        <f t="shared" si="38"/>
        <v>0</v>
      </c>
      <c r="K182" s="7">
        <f t="shared" si="39"/>
        <v>0</v>
      </c>
      <c r="L182" s="7" t="e">
        <f t="shared" si="40"/>
        <v>#DIV/0!</v>
      </c>
      <c r="M182" s="2"/>
      <c r="N182" s="3">
        <f>Input!I184</f>
        <v>0</v>
      </c>
      <c r="O182" s="7">
        <f>Input!J184</f>
        <v>0</v>
      </c>
      <c r="P182" s="6">
        <f>Input!K184</f>
        <v>0</v>
      </c>
      <c r="Q182" s="2"/>
      <c r="R182" s="3">
        <f>Input!M184</f>
        <v>0</v>
      </c>
      <c r="S182" s="3">
        <f>Input!N184</f>
        <v>0</v>
      </c>
      <c r="T182" s="3">
        <f t="shared" si="41"/>
        <v>187</v>
      </c>
      <c r="U182" s="3" t="str">
        <f t="shared" si="42"/>
        <v>00</v>
      </c>
      <c r="V182" s="7">
        <f t="shared" si="43"/>
        <v>0</v>
      </c>
      <c r="W182" s="6">
        <f t="shared" si="44"/>
        <v>0</v>
      </c>
      <c r="X182" s="7">
        <f t="shared" si="50"/>
        <v>0</v>
      </c>
      <c r="Y182" s="7">
        <f t="shared" si="45"/>
        <v>0</v>
      </c>
      <c r="Z182" s="7">
        <f t="shared" si="46"/>
        <v>0</v>
      </c>
      <c r="AA182" s="7">
        <f t="shared" si="47"/>
        <v>0</v>
      </c>
      <c r="AB182" s="7">
        <f t="shared" si="48"/>
        <v>0</v>
      </c>
      <c r="AC182" s="7">
        <f t="shared" si="49"/>
        <v>0</v>
      </c>
      <c r="AD182" s="7" t="e">
        <f t="shared" si="34"/>
        <v>#DIV/0!</v>
      </c>
    </row>
    <row r="183" spans="1:30" x14ac:dyDescent="0.25">
      <c r="A183" s="3">
        <f>Input!A185</f>
        <v>0</v>
      </c>
      <c r="B183" s="7">
        <f>Input!B185</f>
        <v>0</v>
      </c>
      <c r="C183" s="7">
        <f t="shared" si="35"/>
        <v>0</v>
      </c>
      <c r="D183" s="7">
        <f t="shared" si="36"/>
        <v>0</v>
      </c>
      <c r="E183" s="2"/>
      <c r="F183" s="3">
        <f>Input!D185</f>
        <v>0</v>
      </c>
      <c r="G183" s="3">
        <f>Input!E185</f>
        <v>0</v>
      </c>
      <c r="H183" s="3" t="str">
        <f t="shared" si="37"/>
        <v>00</v>
      </c>
      <c r="I183" s="7">
        <f>Input!G185</f>
        <v>0</v>
      </c>
      <c r="J183" s="7">
        <f t="shared" si="38"/>
        <v>0</v>
      </c>
      <c r="K183" s="7">
        <f t="shared" si="39"/>
        <v>0</v>
      </c>
      <c r="L183" s="7" t="e">
        <f t="shared" si="40"/>
        <v>#DIV/0!</v>
      </c>
      <c r="M183" s="2"/>
      <c r="N183" s="3">
        <f>Input!I185</f>
        <v>0</v>
      </c>
      <c r="O183" s="7">
        <f>Input!J185</f>
        <v>0</v>
      </c>
      <c r="P183" s="6">
        <f>Input!K185</f>
        <v>0</v>
      </c>
      <c r="Q183" s="2"/>
      <c r="R183" s="3">
        <f>Input!M185</f>
        <v>0</v>
      </c>
      <c r="S183" s="3">
        <f>Input!N185</f>
        <v>0</v>
      </c>
      <c r="T183" s="3">
        <f t="shared" si="41"/>
        <v>187</v>
      </c>
      <c r="U183" s="3" t="str">
        <f t="shared" si="42"/>
        <v>00</v>
      </c>
      <c r="V183" s="7">
        <f t="shared" si="43"/>
        <v>0</v>
      </c>
      <c r="W183" s="6">
        <f t="shared" si="44"/>
        <v>0</v>
      </c>
      <c r="X183" s="7">
        <f t="shared" si="50"/>
        <v>0</v>
      </c>
      <c r="Y183" s="7">
        <f t="shared" si="45"/>
        <v>0</v>
      </c>
      <c r="Z183" s="7">
        <f t="shared" si="46"/>
        <v>0</v>
      </c>
      <c r="AA183" s="7">
        <f t="shared" si="47"/>
        <v>0</v>
      </c>
      <c r="AB183" s="7">
        <f t="shared" si="48"/>
        <v>0</v>
      </c>
      <c r="AC183" s="7">
        <f t="shared" si="49"/>
        <v>0</v>
      </c>
      <c r="AD183" s="7" t="e">
        <f t="shared" si="34"/>
        <v>#DIV/0!</v>
      </c>
    </row>
    <row r="184" spans="1:30" x14ac:dyDescent="0.25">
      <c r="A184" s="3">
        <f>Input!A186</f>
        <v>0</v>
      </c>
      <c r="B184" s="7">
        <f>Input!B186</f>
        <v>0</v>
      </c>
      <c r="C184" s="7">
        <f t="shared" si="35"/>
        <v>0</v>
      </c>
      <c r="D184" s="7">
        <f t="shared" si="36"/>
        <v>0</v>
      </c>
      <c r="E184" s="2"/>
      <c r="F184" s="3">
        <f>Input!D186</f>
        <v>0</v>
      </c>
      <c r="G184" s="3">
        <f>Input!E186</f>
        <v>0</v>
      </c>
      <c r="H184" s="3" t="str">
        <f t="shared" si="37"/>
        <v>00</v>
      </c>
      <c r="I184" s="7">
        <f>Input!G186</f>
        <v>0</v>
      </c>
      <c r="J184" s="7">
        <f t="shared" si="38"/>
        <v>0</v>
      </c>
      <c r="K184" s="7">
        <f t="shared" si="39"/>
        <v>0</v>
      </c>
      <c r="L184" s="7" t="e">
        <f t="shared" si="40"/>
        <v>#DIV/0!</v>
      </c>
      <c r="M184" s="2"/>
      <c r="N184" s="3">
        <f>Input!I186</f>
        <v>0</v>
      </c>
      <c r="O184" s="7">
        <f>Input!J186</f>
        <v>0</v>
      </c>
      <c r="P184" s="6">
        <f>Input!K186</f>
        <v>0</v>
      </c>
      <c r="Q184" s="2"/>
      <c r="R184" s="3">
        <f>Input!M186</f>
        <v>0</v>
      </c>
      <c r="S184" s="3">
        <f>Input!N186</f>
        <v>0</v>
      </c>
      <c r="T184" s="3">
        <f t="shared" si="41"/>
        <v>187</v>
      </c>
      <c r="U184" s="3" t="str">
        <f t="shared" si="42"/>
        <v>00</v>
      </c>
      <c r="V184" s="7">
        <f t="shared" si="43"/>
        <v>0</v>
      </c>
      <c r="W184" s="6">
        <f t="shared" si="44"/>
        <v>0</v>
      </c>
      <c r="X184" s="7">
        <f t="shared" si="50"/>
        <v>0</v>
      </c>
      <c r="Y184" s="7">
        <f t="shared" si="45"/>
        <v>0</v>
      </c>
      <c r="Z184" s="7">
        <f t="shared" si="46"/>
        <v>0</v>
      </c>
      <c r="AA184" s="7">
        <f t="shared" si="47"/>
        <v>0</v>
      </c>
      <c r="AB184" s="7">
        <f t="shared" si="48"/>
        <v>0</v>
      </c>
      <c r="AC184" s="7">
        <f t="shared" si="49"/>
        <v>0</v>
      </c>
      <c r="AD184" s="7" t="e">
        <f t="shared" si="34"/>
        <v>#DIV/0!</v>
      </c>
    </row>
    <row r="185" spans="1:30" x14ac:dyDescent="0.25">
      <c r="A185" s="3">
        <f>Input!A187</f>
        <v>0</v>
      </c>
      <c r="B185" s="7">
        <f>Input!B187</f>
        <v>0</v>
      </c>
      <c r="C185" s="7">
        <f t="shared" si="35"/>
        <v>0</v>
      </c>
      <c r="D185" s="7">
        <f t="shared" si="36"/>
        <v>0</v>
      </c>
      <c r="E185" s="2"/>
      <c r="F185" s="3">
        <f>Input!D187</f>
        <v>0</v>
      </c>
      <c r="G185" s="3">
        <f>Input!E187</f>
        <v>0</v>
      </c>
      <c r="H185" s="3" t="str">
        <f t="shared" si="37"/>
        <v>00</v>
      </c>
      <c r="I185" s="7">
        <f>Input!G187</f>
        <v>0</v>
      </c>
      <c r="J185" s="7">
        <f t="shared" si="38"/>
        <v>0</v>
      </c>
      <c r="K185" s="7">
        <f t="shared" si="39"/>
        <v>0</v>
      </c>
      <c r="L185" s="7" t="e">
        <f t="shared" si="40"/>
        <v>#DIV/0!</v>
      </c>
      <c r="M185" s="2"/>
      <c r="N185" s="3">
        <f>Input!I187</f>
        <v>0</v>
      </c>
      <c r="O185" s="7">
        <f>Input!J187</f>
        <v>0</v>
      </c>
      <c r="P185" s="6">
        <f>Input!K187</f>
        <v>0</v>
      </c>
      <c r="Q185" s="2"/>
      <c r="R185" s="3">
        <f>Input!M187</f>
        <v>0</v>
      </c>
      <c r="S185" s="3">
        <f>Input!N187</f>
        <v>0</v>
      </c>
      <c r="T185" s="3">
        <f t="shared" si="41"/>
        <v>187</v>
      </c>
      <c r="U185" s="3" t="str">
        <f t="shared" si="42"/>
        <v>00</v>
      </c>
      <c r="V185" s="7">
        <f t="shared" si="43"/>
        <v>0</v>
      </c>
      <c r="W185" s="6">
        <f t="shared" si="44"/>
        <v>0</v>
      </c>
      <c r="X185" s="7">
        <f t="shared" si="50"/>
        <v>0</v>
      </c>
      <c r="Y185" s="7">
        <f t="shared" si="45"/>
        <v>0</v>
      </c>
      <c r="Z185" s="7">
        <f t="shared" si="46"/>
        <v>0</v>
      </c>
      <c r="AA185" s="7">
        <f t="shared" si="47"/>
        <v>0</v>
      </c>
      <c r="AB185" s="7">
        <f t="shared" si="48"/>
        <v>0</v>
      </c>
      <c r="AC185" s="7">
        <f t="shared" si="49"/>
        <v>0</v>
      </c>
      <c r="AD185" s="7" t="e">
        <f t="shared" si="34"/>
        <v>#DIV/0!</v>
      </c>
    </row>
    <row r="186" spans="1:30" x14ac:dyDescent="0.25">
      <c r="A186" s="3">
        <f>Input!A188</f>
        <v>0</v>
      </c>
      <c r="B186" s="7">
        <f>Input!B188</f>
        <v>0</v>
      </c>
      <c r="C186" s="7">
        <f t="shared" si="35"/>
        <v>0</v>
      </c>
      <c r="D186" s="7">
        <f t="shared" si="36"/>
        <v>0</v>
      </c>
      <c r="E186" s="2"/>
      <c r="F186" s="3">
        <f>Input!D188</f>
        <v>0</v>
      </c>
      <c r="G186" s="3">
        <f>Input!E188</f>
        <v>0</v>
      </c>
      <c r="H186" s="3" t="str">
        <f t="shared" si="37"/>
        <v>00</v>
      </c>
      <c r="I186" s="7">
        <f>Input!G188</f>
        <v>0</v>
      </c>
      <c r="J186" s="7">
        <f t="shared" si="38"/>
        <v>0</v>
      </c>
      <c r="K186" s="7">
        <f t="shared" si="39"/>
        <v>0</v>
      </c>
      <c r="L186" s="7" t="e">
        <f t="shared" si="40"/>
        <v>#DIV/0!</v>
      </c>
      <c r="M186" s="2"/>
      <c r="N186" s="3">
        <f>Input!I188</f>
        <v>0</v>
      </c>
      <c r="O186" s="7">
        <f>Input!J188</f>
        <v>0</v>
      </c>
      <c r="P186" s="6">
        <f>Input!K188</f>
        <v>0</v>
      </c>
      <c r="Q186" s="2"/>
      <c r="R186" s="3">
        <f>Input!M188</f>
        <v>0</v>
      </c>
      <c r="S186" s="3">
        <f>Input!N188</f>
        <v>0</v>
      </c>
      <c r="T186" s="3">
        <f t="shared" si="41"/>
        <v>187</v>
      </c>
      <c r="U186" s="3" t="str">
        <f t="shared" si="42"/>
        <v>00</v>
      </c>
      <c r="V186" s="7">
        <f t="shared" si="43"/>
        <v>0</v>
      </c>
      <c r="W186" s="6">
        <f t="shared" si="44"/>
        <v>0</v>
      </c>
      <c r="X186" s="7">
        <f t="shared" si="50"/>
        <v>0</v>
      </c>
      <c r="Y186" s="7">
        <f t="shared" si="45"/>
        <v>0</v>
      </c>
      <c r="Z186" s="7">
        <f t="shared" si="46"/>
        <v>0</v>
      </c>
      <c r="AA186" s="7">
        <f t="shared" si="47"/>
        <v>0</v>
      </c>
      <c r="AB186" s="7">
        <f t="shared" si="48"/>
        <v>0</v>
      </c>
      <c r="AC186" s="7">
        <f t="shared" si="49"/>
        <v>0</v>
      </c>
      <c r="AD186" s="7" t="e">
        <f t="shared" si="34"/>
        <v>#DIV/0!</v>
      </c>
    </row>
    <row r="187" spans="1:30" x14ac:dyDescent="0.25">
      <c r="A187" s="3">
        <f>Input!A189</f>
        <v>0</v>
      </c>
      <c r="B187" s="7">
        <f>Input!B189</f>
        <v>0</v>
      </c>
      <c r="C187" s="7">
        <f t="shared" si="35"/>
        <v>0</v>
      </c>
      <c r="D187" s="7">
        <f t="shared" si="36"/>
        <v>0</v>
      </c>
      <c r="E187" s="2"/>
      <c r="F187" s="3">
        <f>Input!D189</f>
        <v>0</v>
      </c>
      <c r="G187" s="3">
        <f>Input!E189</f>
        <v>0</v>
      </c>
      <c r="H187" s="3" t="str">
        <f t="shared" si="37"/>
        <v>00</v>
      </c>
      <c r="I187" s="7">
        <f>Input!G189</f>
        <v>0</v>
      </c>
      <c r="J187" s="7">
        <f t="shared" si="38"/>
        <v>0</v>
      </c>
      <c r="K187" s="7">
        <f t="shared" si="39"/>
        <v>0</v>
      </c>
      <c r="L187" s="7" t="e">
        <f t="shared" si="40"/>
        <v>#DIV/0!</v>
      </c>
      <c r="M187" s="2"/>
      <c r="N187" s="3">
        <f>Input!I189</f>
        <v>0</v>
      </c>
      <c r="O187" s="7">
        <f>Input!J189</f>
        <v>0</v>
      </c>
      <c r="P187" s="6">
        <f>Input!K189</f>
        <v>0</v>
      </c>
      <c r="Q187" s="2"/>
      <c r="R187" s="3">
        <f>Input!M189</f>
        <v>0</v>
      </c>
      <c r="S187" s="3">
        <f>Input!N189</f>
        <v>0</v>
      </c>
      <c r="T187" s="3">
        <f t="shared" si="41"/>
        <v>187</v>
      </c>
      <c r="U187" s="3" t="str">
        <f t="shared" si="42"/>
        <v>00</v>
      </c>
      <c r="V187" s="7">
        <f t="shared" si="43"/>
        <v>0</v>
      </c>
      <c r="W187" s="6">
        <f t="shared" si="44"/>
        <v>0</v>
      </c>
      <c r="X187" s="7">
        <f t="shared" si="50"/>
        <v>0</v>
      </c>
      <c r="Y187" s="7">
        <f t="shared" si="45"/>
        <v>0</v>
      </c>
      <c r="Z187" s="7">
        <f t="shared" si="46"/>
        <v>0</v>
      </c>
      <c r="AA187" s="7">
        <f t="shared" si="47"/>
        <v>0</v>
      </c>
      <c r="AB187" s="7">
        <f t="shared" si="48"/>
        <v>0</v>
      </c>
      <c r="AC187" s="7">
        <f t="shared" si="49"/>
        <v>0</v>
      </c>
      <c r="AD187" s="7" t="e">
        <f t="shared" si="34"/>
        <v>#DIV/0!</v>
      </c>
    </row>
    <row r="188" spans="1:30" x14ac:dyDescent="0.25">
      <c r="A188" s="3">
        <f>Input!A190</f>
        <v>0</v>
      </c>
      <c r="B188" s="7">
        <f>Input!B190</f>
        <v>0</v>
      </c>
      <c r="C188" s="7">
        <f t="shared" si="35"/>
        <v>0</v>
      </c>
      <c r="D188" s="7">
        <f t="shared" si="36"/>
        <v>0</v>
      </c>
      <c r="E188" s="2"/>
      <c r="F188" s="3">
        <f>Input!D190</f>
        <v>0</v>
      </c>
      <c r="G188" s="3">
        <f>Input!E190</f>
        <v>0</v>
      </c>
      <c r="H188" s="3" t="str">
        <f t="shared" si="37"/>
        <v>00</v>
      </c>
      <c r="I188" s="7">
        <f>Input!G190</f>
        <v>0</v>
      </c>
      <c r="J188" s="7">
        <f t="shared" si="38"/>
        <v>0</v>
      </c>
      <c r="K188" s="7">
        <f t="shared" si="39"/>
        <v>0</v>
      </c>
      <c r="L188" s="7" t="e">
        <f t="shared" si="40"/>
        <v>#DIV/0!</v>
      </c>
      <c r="M188" s="2"/>
      <c r="N188" s="3">
        <f>Input!I190</f>
        <v>0</v>
      </c>
      <c r="O188" s="7">
        <f>Input!J190</f>
        <v>0</v>
      </c>
      <c r="P188" s="6">
        <f>Input!K190</f>
        <v>0</v>
      </c>
      <c r="Q188" s="2"/>
      <c r="R188" s="3">
        <f>Input!M190</f>
        <v>0</v>
      </c>
      <c r="S188" s="3">
        <f>Input!N190</f>
        <v>0</v>
      </c>
      <c r="T188" s="3">
        <f t="shared" si="41"/>
        <v>187</v>
      </c>
      <c r="U188" s="3" t="str">
        <f t="shared" si="42"/>
        <v>00</v>
      </c>
      <c r="V188" s="7">
        <f t="shared" si="43"/>
        <v>0</v>
      </c>
      <c r="W188" s="6">
        <f t="shared" si="44"/>
        <v>0</v>
      </c>
      <c r="X188" s="7">
        <f t="shared" si="50"/>
        <v>0</v>
      </c>
      <c r="Y188" s="7">
        <f t="shared" si="45"/>
        <v>0</v>
      </c>
      <c r="Z188" s="7">
        <f t="shared" si="46"/>
        <v>0</v>
      </c>
      <c r="AA188" s="7">
        <f t="shared" si="47"/>
        <v>0</v>
      </c>
      <c r="AB188" s="7">
        <f t="shared" si="48"/>
        <v>0</v>
      </c>
      <c r="AC188" s="7">
        <f t="shared" si="49"/>
        <v>0</v>
      </c>
      <c r="AD188" s="7" t="e">
        <f t="shared" si="34"/>
        <v>#DIV/0!</v>
      </c>
    </row>
    <row r="189" spans="1:30" x14ac:dyDescent="0.25">
      <c r="A189" s="3">
        <f>Input!A191</f>
        <v>0</v>
      </c>
      <c r="B189" s="7">
        <f>Input!B191</f>
        <v>0</v>
      </c>
      <c r="C189" s="7">
        <f t="shared" si="35"/>
        <v>0</v>
      </c>
      <c r="D189" s="7">
        <f t="shared" si="36"/>
        <v>0</v>
      </c>
      <c r="E189" s="2"/>
      <c r="F189" s="3">
        <f>Input!D191</f>
        <v>0</v>
      </c>
      <c r="G189" s="3">
        <f>Input!E191</f>
        <v>0</v>
      </c>
      <c r="H189" s="3" t="str">
        <f t="shared" si="37"/>
        <v>00</v>
      </c>
      <c r="I189" s="7">
        <f>Input!G191</f>
        <v>0</v>
      </c>
      <c r="J189" s="7">
        <f t="shared" si="38"/>
        <v>0</v>
      </c>
      <c r="K189" s="7">
        <f t="shared" si="39"/>
        <v>0</v>
      </c>
      <c r="L189" s="7" t="e">
        <f t="shared" si="40"/>
        <v>#DIV/0!</v>
      </c>
      <c r="M189" s="2"/>
      <c r="N189" s="3">
        <f>Input!I191</f>
        <v>0</v>
      </c>
      <c r="O189" s="7">
        <f>Input!J191</f>
        <v>0</v>
      </c>
      <c r="P189" s="6">
        <f>Input!K191</f>
        <v>0</v>
      </c>
      <c r="Q189" s="2"/>
      <c r="R189" s="3">
        <f>Input!M191</f>
        <v>0</v>
      </c>
      <c r="S189" s="3">
        <f>Input!N191</f>
        <v>0</v>
      </c>
      <c r="T189" s="3">
        <f t="shared" si="41"/>
        <v>187</v>
      </c>
      <c r="U189" s="3" t="str">
        <f t="shared" si="42"/>
        <v>00</v>
      </c>
      <c r="V189" s="7">
        <f t="shared" si="43"/>
        <v>0</v>
      </c>
      <c r="W189" s="6">
        <f t="shared" si="44"/>
        <v>0</v>
      </c>
      <c r="X189" s="7">
        <f t="shared" si="50"/>
        <v>0</v>
      </c>
      <c r="Y189" s="7">
        <f t="shared" si="45"/>
        <v>0</v>
      </c>
      <c r="Z189" s="7">
        <f t="shared" si="46"/>
        <v>0</v>
      </c>
      <c r="AA189" s="7">
        <f t="shared" si="47"/>
        <v>0</v>
      </c>
      <c r="AB189" s="7">
        <f t="shared" si="48"/>
        <v>0</v>
      </c>
      <c r="AC189" s="7">
        <f t="shared" si="49"/>
        <v>0</v>
      </c>
      <c r="AD189" s="7" t="e">
        <f t="shared" si="34"/>
        <v>#DIV/0!</v>
      </c>
    </row>
    <row r="190" spans="1:30" x14ac:dyDescent="0.25">
      <c r="A190" s="3">
        <f>Input!A192</f>
        <v>0</v>
      </c>
      <c r="B190" s="7">
        <f>Input!B192</f>
        <v>0</v>
      </c>
      <c r="C190" s="7">
        <f t="shared" si="35"/>
        <v>0</v>
      </c>
      <c r="D190" s="7">
        <f t="shared" si="36"/>
        <v>0</v>
      </c>
      <c r="E190" s="2"/>
      <c r="F190" s="3">
        <f>Input!D192</f>
        <v>0</v>
      </c>
      <c r="G190" s="3">
        <f>Input!E192</f>
        <v>0</v>
      </c>
      <c r="H190" s="3" t="str">
        <f t="shared" si="37"/>
        <v>00</v>
      </c>
      <c r="I190" s="7">
        <f>Input!G192</f>
        <v>0</v>
      </c>
      <c r="J190" s="7">
        <f t="shared" si="38"/>
        <v>0</v>
      </c>
      <c r="K190" s="7">
        <f t="shared" si="39"/>
        <v>0</v>
      </c>
      <c r="L190" s="7" t="e">
        <f t="shared" si="40"/>
        <v>#DIV/0!</v>
      </c>
      <c r="M190" s="2"/>
      <c r="N190" s="3">
        <f>Input!I192</f>
        <v>0</v>
      </c>
      <c r="O190" s="7">
        <f>Input!J192</f>
        <v>0</v>
      </c>
      <c r="P190" s="6">
        <f>Input!K192</f>
        <v>0</v>
      </c>
      <c r="Q190" s="2"/>
      <c r="R190" s="3">
        <f>Input!M192</f>
        <v>0</v>
      </c>
      <c r="S190" s="3">
        <f>Input!N192</f>
        <v>0</v>
      </c>
      <c r="T190" s="3">
        <f t="shared" si="41"/>
        <v>187</v>
      </c>
      <c r="U190" s="3" t="str">
        <f t="shared" si="42"/>
        <v>00</v>
      </c>
      <c r="V190" s="7">
        <f t="shared" si="43"/>
        <v>0</v>
      </c>
      <c r="W190" s="6">
        <f t="shared" si="44"/>
        <v>0</v>
      </c>
      <c r="X190" s="7">
        <f t="shared" si="50"/>
        <v>0</v>
      </c>
      <c r="Y190" s="7">
        <f t="shared" si="45"/>
        <v>0</v>
      </c>
      <c r="Z190" s="7">
        <f t="shared" si="46"/>
        <v>0</v>
      </c>
      <c r="AA190" s="7">
        <f t="shared" si="47"/>
        <v>0</v>
      </c>
      <c r="AB190" s="7">
        <f t="shared" si="48"/>
        <v>0</v>
      </c>
      <c r="AC190" s="7">
        <f t="shared" si="49"/>
        <v>0</v>
      </c>
      <c r="AD190" s="7" t="e">
        <f t="shared" si="34"/>
        <v>#DIV/0!</v>
      </c>
    </row>
    <row r="191" spans="1:30" x14ac:dyDescent="0.25">
      <c r="A191" s="3">
        <f>Input!A193</f>
        <v>0</v>
      </c>
      <c r="B191" s="7">
        <f>Input!B193</f>
        <v>0</v>
      </c>
      <c r="C191" s="7">
        <f t="shared" si="35"/>
        <v>0</v>
      </c>
      <c r="D191" s="7">
        <f t="shared" si="36"/>
        <v>0</v>
      </c>
      <c r="E191" s="2"/>
      <c r="F191" s="3">
        <f>Input!D193</f>
        <v>0</v>
      </c>
      <c r="G191" s="3">
        <f>Input!E193</f>
        <v>0</v>
      </c>
      <c r="H191" s="3" t="str">
        <f t="shared" si="37"/>
        <v>00</v>
      </c>
      <c r="I191" s="7">
        <f>Input!G193</f>
        <v>0</v>
      </c>
      <c r="J191" s="7">
        <f t="shared" si="38"/>
        <v>0</v>
      </c>
      <c r="K191" s="7">
        <f t="shared" si="39"/>
        <v>0</v>
      </c>
      <c r="L191" s="7" t="e">
        <f t="shared" si="40"/>
        <v>#DIV/0!</v>
      </c>
      <c r="M191" s="2"/>
      <c r="N191" s="3">
        <f>Input!I193</f>
        <v>0</v>
      </c>
      <c r="O191" s="7">
        <f>Input!J193</f>
        <v>0</v>
      </c>
      <c r="P191" s="6">
        <f>Input!K193</f>
        <v>0</v>
      </c>
      <c r="Q191" s="2"/>
      <c r="R191" s="3">
        <f>Input!M193</f>
        <v>0</v>
      </c>
      <c r="S191" s="3">
        <f>Input!N193</f>
        <v>0</v>
      </c>
      <c r="T191" s="3">
        <f t="shared" si="41"/>
        <v>187</v>
      </c>
      <c r="U191" s="3" t="str">
        <f t="shared" si="42"/>
        <v>00</v>
      </c>
      <c r="V191" s="7">
        <f t="shared" si="43"/>
        <v>0</v>
      </c>
      <c r="W191" s="6">
        <f t="shared" si="44"/>
        <v>0</v>
      </c>
      <c r="X191" s="7">
        <f t="shared" si="50"/>
        <v>0</v>
      </c>
      <c r="Y191" s="7">
        <f t="shared" si="45"/>
        <v>0</v>
      </c>
      <c r="Z191" s="7">
        <f t="shared" si="46"/>
        <v>0</v>
      </c>
      <c r="AA191" s="7">
        <f t="shared" si="47"/>
        <v>0</v>
      </c>
      <c r="AB191" s="7">
        <f t="shared" si="48"/>
        <v>0</v>
      </c>
      <c r="AC191" s="7">
        <f t="shared" si="49"/>
        <v>0</v>
      </c>
      <c r="AD191" s="7" t="e">
        <f t="shared" si="34"/>
        <v>#DIV/0!</v>
      </c>
    </row>
    <row r="192" spans="1:30" x14ac:dyDescent="0.25">
      <c r="A192" s="3">
        <f>Input!A194</f>
        <v>0</v>
      </c>
      <c r="B192" s="7">
        <f>Input!B194</f>
        <v>0</v>
      </c>
      <c r="C192" s="7">
        <f t="shared" si="35"/>
        <v>0</v>
      </c>
      <c r="D192" s="7">
        <f t="shared" si="36"/>
        <v>0</v>
      </c>
      <c r="E192" s="2"/>
      <c r="F192" s="3">
        <f>Input!D194</f>
        <v>0</v>
      </c>
      <c r="G192" s="3">
        <f>Input!E194</f>
        <v>0</v>
      </c>
      <c r="H192" s="3" t="str">
        <f t="shared" si="37"/>
        <v>00</v>
      </c>
      <c r="I192" s="7">
        <f>Input!G194</f>
        <v>0</v>
      </c>
      <c r="J192" s="7">
        <f t="shared" si="38"/>
        <v>0</v>
      </c>
      <c r="K192" s="7">
        <f t="shared" si="39"/>
        <v>0</v>
      </c>
      <c r="L192" s="7" t="e">
        <f t="shared" si="40"/>
        <v>#DIV/0!</v>
      </c>
      <c r="M192" s="2"/>
      <c r="N192" s="3">
        <f>Input!I194</f>
        <v>0</v>
      </c>
      <c r="O192" s="7">
        <f>Input!J194</f>
        <v>0</v>
      </c>
      <c r="P192" s="6">
        <f>Input!K194</f>
        <v>0</v>
      </c>
      <c r="Q192" s="2"/>
      <c r="R192" s="3">
        <f>Input!M194</f>
        <v>0</v>
      </c>
      <c r="S192" s="3">
        <f>Input!N194</f>
        <v>0</v>
      </c>
      <c r="T192" s="3">
        <f t="shared" si="41"/>
        <v>187</v>
      </c>
      <c r="U192" s="3" t="str">
        <f t="shared" si="42"/>
        <v>00</v>
      </c>
      <c r="V192" s="7">
        <f t="shared" si="43"/>
        <v>0</v>
      </c>
      <c r="W192" s="6">
        <f t="shared" si="44"/>
        <v>0</v>
      </c>
      <c r="X192" s="7">
        <f t="shared" si="50"/>
        <v>0</v>
      </c>
      <c r="Y192" s="7">
        <f t="shared" si="45"/>
        <v>0</v>
      </c>
      <c r="Z192" s="7">
        <f t="shared" si="46"/>
        <v>0</v>
      </c>
      <c r="AA192" s="7">
        <f t="shared" si="47"/>
        <v>0</v>
      </c>
      <c r="AB192" s="7">
        <f t="shared" si="48"/>
        <v>0</v>
      </c>
      <c r="AC192" s="7">
        <f t="shared" si="49"/>
        <v>0</v>
      </c>
      <c r="AD192" s="7" t="e">
        <f t="shared" si="34"/>
        <v>#DIV/0!</v>
      </c>
    </row>
    <row r="193" spans="1:30" x14ac:dyDescent="0.25">
      <c r="A193" s="3">
        <f>Input!A195</f>
        <v>0</v>
      </c>
      <c r="B193" s="7">
        <f>Input!B195</f>
        <v>0</v>
      </c>
      <c r="C193" s="7">
        <f t="shared" si="35"/>
        <v>0</v>
      </c>
      <c r="D193" s="7">
        <f t="shared" si="36"/>
        <v>0</v>
      </c>
      <c r="E193" s="2"/>
      <c r="F193" s="3">
        <f>Input!D195</f>
        <v>0</v>
      </c>
      <c r="G193" s="3">
        <f>Input!E195</f>
        <v>0</v>
      </c>
      <c r="H193" s="3" t="str">
        <f t="shared" si="37"/>
        <v>00</v>
      </c>
      <c r="I193" s="7">
        <f>Input!G195</f>
        <v>0</v>
      </c>
      <c r="J193" s="7">
        <f t="shared" si="38"/>
        <v>0</v>
      </c>
      <c r="K193" s="7">
        <f t="shared" si="39"/>
        <v>0</v>
      </c>
      <c r="L193" s="7" t="e">
        <f t="shared" si="40"/>
        <v>#DIV/0!</v>
      </c>
      <c r="M193" s="2"/>
      <c r="N193" s="3">
        <f>Input!I195</f>
        <v>0</v>
      </c>
      <c r="O193" s="7">
        <f>Input!J195</f>
        <v>0</v>
      </c>
      <c r="P193" s="6">
        <f>Input!K195</f>
        <v>0</v>
      </c>
      <c r="Q193" s="2"/>
      <c r="R193" s="3">
        <f>Input!M195</f>
        <v>0</v>
      </c>
      <c r="S193" s="3">
        <f>Input!N195</f>
        <v>0</v>
      </c>
      <c r="T193" s="3">
        <f t="shared" si="41"/>
        <v>187</v>
      </c>
      <c r="U193" s="3" t="str">
        <f t="shared" si="42"/>
        <v>00</v>
      </c>
      <c r="V193" s="7">
        <f t="shared" si="43"/>
        <v>0</v>
      </c>
      <c r="W193" s="6">
        <f t="shared" si="44"/>
        <v>0</v>
      </c>
      <c r="X193" s="7">
        <f t="shared" si="50"/>
        <v>0</v>
      </c>
      <c r="Y193" s="7">
        <f t="shared" si="45"/>
        <v>0</v>
      </c>
      <c r="Z193" s="7">
        <f t="shared" si="46"/>
        <v>0</v>
      </c>
      <c r="AA193" s="7">
        <f t="shared" si="47"/>
        <v>0</v>
      </c>
      <c r="AB193" s="7">
        <f t="shared" si="48"/>
        <v>0</v>
      </c>
      <c r="AC193" s="7">
        <f t="shared" si="49"/>
        <v>0</v>
      </c>
      <c r="AD193" s="7" t="e">
        <f t="shared" si="34"/>
        <v>#DIV/0!</v>
      </c>
    </row>
    <row r="194" spans="1:30" x14ac:dyDescent="0.25">
      <c r="A194" s="3">
        <f>Input!A196</f>
        <v>0</v>
      </c>
      <c r="B194" s="7">
        <f>Input!B196</f>
        <v>0</v>
      </c>
      <c r="C194" s="7">
        <f t="shared" si="35"/>
        <v>0</v>
      </c>
      <c r="D194" s="7">
        <f t="shared" si="36"/>
        <v>0</v>
      </c>
      <c r="E194" s="2"/>
      <c r="F194" s="3">
        <f>Input!D196</f>
        <v>0</v>
      </c>
      <c r="G194" s="3">
        <f>Input!E196</f>
        <v>0</v>
      </c>
      <c r="H194" s="3" t="str">
        <f t="shared" si="37"/>
        <v>00</v>
      </c>
      <c r="I194" s="7">
        <f>Input!G196</f>
        <v>0</v>
      </c>
      <c r="J194" s="7">
        <f t="shared" si="38"/>
        <v>0</v>
      </c>
      <c r="K194" s="7">
        <f t="shared" si="39"/>
        <v>0</v>
      </c>
      <c r="L194" s="7" t="e">
        <f t="shared" si="40"/>
        <v>#DIV/0!</v>
      </c>
      <c r="M194" s="2"/>
      <c r="N194" s="3">
        <f>Input!I196</f>
        <v>0</v>
      </c>
      <c r="O194" s="7">
        <f>Input!J196</f>
        <v>0</v>
      </c>
      <c r="P194" s="6">
        <f>Input!K196</f>
        <v>0</v>
      </c>
      <c r="Q194" s="2"/>
      <c r="R194" s="3">
        <f>Input!M196</f>
        <v>0</v>
      </c>
      <c r="S194" s="3">
        <f>Input!N196</f>
        <v>0</v>
      </c>
      <c r="T194" s="3">
        <f t="shared" si="41"/>
        <v>187</v>
      </c>
      <c r="U194" s="3" t="str">
        <f t="shared" si="42"/>
        <v>00</v>
      </c>
      <c r="V194" s="7">
        <f t="shared" si="43"/>
        <v>0</v>
      </c>
      <c r="W194" s="6">
        <f t="shared" si="44"/>
        <v>0</v>
      </c>
      <c r="X194" s="7">
        <f t="shared" si="50"/>
        <v>0</v>
      </c>
      <c r="Y194" s="7">
        <f t="shared" si="45"/>
        <v>0</v>
      </c>
      <c r="Z194" s="7">
        <f t="shared" si="46"/>
        <v>0</v>
      </c>
      <c r="AA194" s="7">
        <f t="shared" si="47"/>
        <v>0</v>
      </c>
      <c r="AB194" s="7">
        <f t="shared" si="48"/>
        <v>0</v>
      </c>
      <c r="AC194" s="7">
        <f t="shared" si="49"/>
        <v>0</v>
      </c>
      <c r="AD194" s="7" t="e">
        <f t="shared" si="34"/>
        <v>#DIV/0!</v>
      </c>
    </row>
    <row r="195" spans="1:30" x14ac:dyDescent="0.25">
      <c r="A195" s="3">
        <f>Input!A197</f>
        <v>0</v>
      </c>
      <c r="B195" s="7">
        <f>Input!B197</f>
        <v>0</v>
      </c>
      <c r="C195" s="7">
        <f t="shared" si="35"/>
        <v>0</v>
      </c>
      <c r="D195" s="7">
        <f t="shared" si="36"/>
        <v>0</v>
      </c>
      <c r="E195" s="2"/>
      <c r="F195" s="3">
        <f>Input!D197</f>
        <v>0</v>
      </c>
      <c r="G195" s="3">
        <f>Input!E197</f>
        <v>0</v>
      </c>
      <c r="H195" s="3" t="str">
        <f t="shared" si="37"/>
        <v>00</v>
      </c>
      <c r="I195" s="7">
        <f>Input!G197</f>
        <v>0</v>
      </c>
      <c r="J195" s="7">
        <f t="shared" si="38"/>
        <v>0</v>
      </c>
      <c r="K195" s="7">
        <f t="shared" si="39"/>
        <v>0</v>
      </c>
      <c r="L195" s="7" t="e">
        <f t="shared" si="40"/>
        <v>#DIV/0!</v>
      </c>
      <c r="M195" s="2"/>
      <c r="N195" s="3">
        <f>Input!I197</f>
        <v>0</v>
      </c>
      <c r="O195" s="7">
        <f>Input!J197</f>
        <v>0</v>
      </c>
      <c r="P195" s="6">
        <f>Input!K197</f>
        <v>0</v>
      </c>
      <c r="Q195" s="2"/>
      <c r="R195" s="3">
        <f>Input!M197</f>
        <v>0</v>
      </c>
      <c r="S195" s="3">
        <f>Input!N197</f>
        <v>0</v>
      </c>
      <c r="T195" s="3">
        <f t="shared" si="41"/>
        <v>187</v>
      </c>
      <c r="U195" s="3" t="str">
        <f t="shared" si="42"/>
        <v>00</v>
      </c>
      <c r="V195" s="7">
        <f t="shared" si="43"/>
        <v>0</v>
      </c>
      <c r="W195" s="6">
        <f t="shared" si="44"/>
        <v>0</v>
      </c>
      <c r="X195" s="7">
        <f t="shared" si="50"/>
        <v>0</v>
      </c>
      <c r="Y195" s="7">
        <f t="shared" si="45"/>
        <v>0</v>
      </c>
      <c r="Z195" s="7">
        <f t="shared" si="46"/>
        <v>0</v>
      </c>
      <c r="AA195" s="7">
        <f t="shared" si="47"/>
        <v>0</v>
      </c>
      <c r="AB195" s="7">
        <f t="shared" si="48"/>
        <v>0</v>
      </c>
      <c r="AC195" s="7">
        <f t="shared" si="49"/>
        <v>0</v>
      </c>
      <c r="AD195" s="7" t="e">
        <f t="shared" si="34"/>
        <v>#DIV/0!</v>
      </c>
    </row>
    <row r="196" spans="1:30" x14ac:dyDescent="0.25">
      <c r="A196" s="3">
        <f>Input!A198</f>
        <v>0</v>
      </c>
      <c r="B196" s="7">
        <f>Input!B198</f>
        <v>0</v>
      </c>
      <c r="C196" s="7">
        <f t="shared" si="35"/>
        <v>0</v>
      </c>
      <c r="D196" s="7">
        <f t="shared" si="36"/>
        <v>0</v>
      </c>
      <c r="E196" s="2"/>
      <c r="F196" s="3">
        <f>Input!D198</f>
        <v>0</v>
      </c>
      <c r="G196" s="3">
        <f>Input!E198</f>
        <v>0</v>
      </c>
      <c r="H196" s="3" t="str">
        <f t="shared" si="37"/>
        <v>00</v>
      </c>
      <c r="I196" s="7">
        <f>Input!G198</f>
        <v>0</v>
      </c>
      <c r="J196" s="7">
        <f t="shared" si="38"/>
        <v>0</v>
      </c>
      <c r="K196" s="7">
        <f t="shared" si="39"/>
        <v>0</v>
      </c>
      <c r="L196" s="7" t="e">
        <f t="shared" si="40"/>
        <v>#DIV/0!</v>
      </c>
      <c r="M196" s="2"/>
      <c r="N196" s="3">
        <f>Input!I198</f>
        <v>0</v>
      </c>
      <c r="O196" s="7">
        <f>Input!J198</f>
        <v>0</v>
      </c>
      <c r="P196" s="6">
        <f>Input!K198</f>
        <v>0</v>
      </c>
      <c r="Q196" s="2"/>
      <c r="R196" s="3">
        <f>Input!M198</f>
        <v>0</v>
      </c>
      <c r="S196" s="3">
        <f>Input!N198</f>
        <v>0</v>
      </c>
      <c r="T196" s="3">
        <f t="shared" si="41"/>
        <v>187</v>
      </c>
      <c r="U196" s="3" t="str">
        <f t="shared" si="42"/>
        <v>00</v>
      </c>
      <c r="V196" s="7">
        <f t="shared" si="43"/>
        <v>0</v>
      </c>
      <c r="W196" s="6">
        <f t="shared" si="44"/>
        <v>0</v>
      </c>
      <c r="X196" s="7">
        <f t="shared" si="50"/>
        <v>0</v>
      </c>
      <c r="Y196" s="7">
        <f t="shared" si="45"/>
        <v>0</v>
      </c>
      <c r="Z196" s="7">
        <f t="shared" si="46"/>
        <v>0</v>
      </c>
      <c r="AA196" s="7">
        <f t="shared" si="47"/>
        <v>0</v>
      </c>
      <c r="AB196" s="7">
        <f t="shared" si="48"/>
        <v>0</v>
      </c>
      <c r="AC196" s="7">
        <f t="shared" si="49"/>
        <v>0</v>
      </c>
      <c r="AD196" s="7" t="e">
        <f t="shared" ref="AD196:AD201" si="51">IF(AA196&gt;=AB196,AB196*X196/Y196*Z196/AA196,Z196*AB196/X196)</f>
        <v>#DIV/0!</v>
      </c>
    </row>
    <row r="197" spans="1:30" x14ac:dyDescent="0.25">
      <c r="A197" s="3">
        <f>Input!A199</f>
        <v>0</v>
      </c>
      <c r="B197" s="7">
        <f>Input!B199</f>
        <v>0</v>
      </c>
      <c r="C197" s="7">
        <f>SUMIF($G$4:$G$201,$A197,$I$4:$I$201)</f>
        <v>0</v>
      </c>
      <c r="D197" s="7">
        <f t="shared" ref="D197:D201" si="52">+C197+B197</f>
        <v>0</v>
      </c>
      <c r="E197" s="2"/>
      <c r="F197" s="3">
        <f>Input!D199</f>
        <v>0</v>
      </c>
      <c r="G197" s="3">
        <f>Input!E199</f>
        <v>0</v>
      </c>
      <c r="H197" s="3" t="str">
        <f t="shared" ref="H197:H201" si="53">+F197&amp;G197</f>
        <v>00</v>
      </c>
      <c r="I197" s="7">
        <f>Input!G199</f>
        <v>0</v>
      </c>
      <c r="J197" s="7">
        <f t="shared" ref="J197:J201" si="54">VLOOKUP(G197,$A:$D,4,0)</f>
        <v>0</v>
      </c>
      <c r="K197" s="7">
        <f t="shared" ref="K197:K201" si="55">SUMIF($F$4:$F$201,F197,$J$4:$J$201)</f>
        <v>0</v>
      </c>
      <c r="L197" s="7" t="e">
        <f t="shared" ref="L197:L201" si="56">+I197*J197/K197</f>
        <v>#DIV/0!</v>
      </c>
      <c r="M197" s="2"/>
      <c r="N197" s="3">
        <f>Input!I199</f>
        <v>0</v>
      </c>
      <c r="O197" s="7">
        <f>Input!J199</f>
        <v>0</v>
      </c>
      <c r="P197" s="6">
        <f>Input!K199</f>
        <v>0</v>
      </c>
      <c r="Q197" s="2"/>
      <c r="R197" s="3">
        <f>Input!M199</f>
        <v>0</v>
      </c>
      <c r="S197" s="3">
        <f>Input!N199</f>
        <v>0</v>
      </c>
      <c r="T197" s="3">
        <f t="shared" ref="T197:T201" si="57">COUNTIF($S$4:$S$201,S197)</f>
        <v>187</v>
      </c>
      <c r="U197" s="3" t="str">
        <f t="shared" ref="U197:U201" si="58">+S197&amp;R197</f>
        <v>00</v>
      </c>
      <c r="V197" s="7">
        <f>VLOOKUP(R197,N:P,2,0)</f>
        <v>0</v>
      </c>
      <c r="W197" s="6">
        <f>VLOOKUP(R197,N:P,3,0)</f>
        <v>0</v>
      </c>
      <c r="X197" s="7">
        <f t="shared" si="50"/>
        <v>0</v>
      </c>
      <c r="Y197" s="7">
        <f>SUMIF($R$4:$R$201,R197,$X$4:$X$201)</f>
        <v>0</v>
      </c>
      <c r="Z197" s="7">
        <f>IF(V197&gt;0,V197*X197/MAX(V197,Y197),W197*X197)</f>
        <v>0</v>
      </c>
      <c r="AA197" s="7">
        <f t="shared" ref="AA197:AA201" si="59">SUMIF($S$4:$S$201,S197,$Z$4:$Z$201)</f>
        <v>0</v>
      </c>
      <c r="AB197" s="7">
        <f t="shared" ref="AB197:AB201" si="60">VLOOKUP(S197,A:B,2,0)</f>
        <v>0</v>
      </c>
      <c r="AC197" s="7">
        <f t="shared" ref="AC197:AC201" si="61">VLOOKUP(S197,A:C,3,0)</f>
        <v>0</v>
      </c>
      <c r="AD197" s="7" t="e">
        <f t="shared" si="51"/>
        <v>#DIV/0!</v>
      </c>
    </row>
    <row r="198" spans="1:30" x14ac:dyDescent="0.25">
      <c r="A198" s="3">
        <f>Input!A200</f>
        <v>0</v>
      </c>
      <c r="B198" s="7">
        <f>Input!B200</f>
        <v>0</v>
      </c>
      <c r="C198" s="7">
        <f>SUMIF($G$4:$G$201,$A198,$I$4:$I$201)</f>
        <v>0</v>
      </c>
      <c r="D198" s="7">
        <f t="shared" si="52"/>
        <v>0</v>
      </c>
      <c r="E198" s="2"/>
      <c r="F198" s="3">
        <f>Input!D200</f>
        <v>0</v>
      </c>
      <c r="G198" s="3">
        <f>Input!E200</f>
        <v>0</v>
      </c>
      <c r="H198" s="3" t="str">
        <f t="shared" si="53"/>
        <v>00</v>
      </c>
      <c r="I198" s="7">
        <f>Input!G200</f>
        <v>0</v>
      </c>
      <c r="J198" s="7">
        <f t="shared" si="54"/>
        <v>0</v>
      </c>
      <c r="K198" s="7">
        <f t="shared" si="55"/>
        <v>0</v>
      </c>
      <c r="L198" s="7" t="e">
        <f t="shared" si="56"/>
        <v>#DIV/0!</v>
      </c>
      <c r="M198" s="2"/>
      <c r="N198" s="3">
        <f>Input!I200</f>
        <v>0</v>
      </c>
      <c r="O198" s="7">
        <f>Input!J200</f>
        <v>0</v>
      </c>
      <c r="P198" s="6">
        <f>Input!K200</f>
        <v>0</v>
      </c>
      <c r="Q198" s="2"/>
      <c r="R198" s="3">
        <f>Input!M200</f>
        <v>0</v>
      </c>
      <c r="S198" s="3">
        <f>Input!N200</f>
        <v>0</v>
      </c>
      <c r="T198" s="3">
        <f t="shared" si="57"/>
        <v>187</v>
      </c>
      <c r="U198" s="3" t="str">
        <f t="shared" si="58"/>
        <v>00</v>
      </c>
      <c r="V198" s="7">
        <f>VLOOKUP(R198,N:P,2,0)</f>
        <v>0</v>
      </c>
      <c r="W198" s="6">
        <f>VLOOKUP(R198,N:P,3,0)</f>
        <v>0</v>
      </c>
      <c r="X198" s="7">
        <f t="shared" si="50"/>
        <v>0</v>
      </c>
      <c r="Y198" s="7">
        <f>SUMIF($R$4:$R$201,R198,$X$4:$X$201)</f>
        <v>0</v>
      </c>
      <c r="Z198" s="7">
        <f>IF(V198&gt;0,V198*X198/MAX(V198,Y198),W198*X198)</f>
        <v>0</v>
      </c>
      <c r="AA198" s="7">
        <f t="shared" si="59"/>
        <v>0</v>
      </c>
      <c r="AB198" s="7">
        <f t="shared" si="60"/>
        <v>0</v>
      </c>
      <c r="AC198" s="7">
        <f t="shared" si="61"/>
        <v>0</v>
      </c>
      <c r="AD198" s="7" t="e">
        <f t="shared" si="51"/>
        <v>#DIV/0!</v>
      </c>
    </row>
    <row r="199" spans="1:30" x14ac:dyDescent="0.25">
      <c r="A199" s="3">
        <f>Input!A201</f>
        <v>0</v>
      </c>
      <c r="B199" s="7">
        <f>Input!B201</f>
        <v>0</v>
      </c>
      <c r="C199" s="7">
        <f>SUMIF($G$4:$G$201,$A199,$I$4:$I$201)</f>
        <v>0</v>
      </c>
      <c r="D199" s="7">
        <f t="shared" si="52"/>
        <v>0</v>
      </c>
      <c r="E199" s="2"/>
      <c r="F199" s="3">
        <f>Input!D201</f>
        <v>0</v>
      </c>
      <c r="G199" s="3">
        <f>Input!E201</f>
        <v>0</v>
      </c>
      <c r="H199" s="3" t="str">
        <f t="shared" si="53"/>
        <v>00</v>
      </c>
      <c r="I199" s="7">
        <f>Input!G201</f>
        <v>0</v>
      </c>
      <c r="J199" s="7">
        <f t="shared" si="54"/>
        <v>0</v>
      </c>
      <c r="K199" s="7">
        <f t="shared" si="55"/>
        <v>0</v>
      </c>
      <c r="L199" s="7" t="e">
        <f t="shared" si="56"/>
        <v>#DIV/0!</v>
      </c>
      <c r="M199" s="2"/>
      <c r="N199" s="3">
        <f>Input!I201</f>
        <v>0</v>
      </c>
      <c r="O199" s="7">
        <f>Input!J201</f>
        <v>0</v>
      </c>
      <c r="P199" s="6">
        <f>Input!K201</f>
        <v>0</v>
      </c>
      <c r="Q199" s="2"/>
      <c r="R199" s="3">
        <f>Input!M201</f>
        <v>0</v>
      </c>
      <c r="S199" s="3">
        <f>Input!N201</f>
        <v>0</v>
      </c>
      <c r="T199" s="3">
        <f t="shared" si="57"/>
        <v>187</v>
      </c>
      <c r="U199" s="3" t="str">
        <f t="shared" si="58"/>
        <v>00</v>
      </c>
      <c r="V199" s="7">
        <f>VLOOKUP(R199,N:P,2,0)</f>
        <v>0</v>
      </c>
      <c r="W199" s="6">
        <f>VLOOKUP(R199,N:P,3,0)</f>
        <v>0</v>
      </c>
      <c r="X199" s="7">
        <f>(VLOOKUP(S199,A:C,2,0)+VLOOKUP(S199,A:C,3,0))</f>
        <v>0</v>
      </c>
      <c r="Y199" s="7">
        <f>SUMIF($R$4:$R$201,R199,$X$4:$X$201)</f>
        <v>0</v>
      </c>
      <c r="Z199" s="7">
        <f>IF(V199&gt;0,V199*X199/MAX(V199,Y199),W199*X199)</f>
        <v>0</v>
      </c>
      <c r="AA199" s="7">
        <f t="shared" si="59"/>
        <v>0</v>
      </c>
      <c r="AB199" s="7">
        <f t="shared" si="60"/>
        <v>0</v>
      </c>
      <c r="AC199" s="7">
        <f t="shared" si="61"/>
        <v>0</v>
      </c>
      <c r="AD199" s="7" t="e">
        <f t="shared" si="51"/>
        <v>#DIV/0!</v>
      </c>
    </row>
    <row r="200" spans="1:30" x14ac:dyDescent="0.25">
      <c r="A200" s="3">
        <f>Input!A202</f>
        <v>0</v>
      </c>
      <c r="B200" s="7">
        <f>Input!B202</f>
        <v>0</v>
      </c>
      <c r="C200" s="7">
        <f>SUMIF($G$4:$G$201,$A200,$I$4:$I$201)</f>
        <v>0</v>
      </c>
      <c r="D200" s="7">
        <f t="shared" si="52"/>
        <v>0</v>
      </c>
      <c r="E200" s="2"/>
      <c r="F200" s="3">
        <f>Input!D202</f>
        <v>0</v>
      </c>
      <c r="G200" s="3">
        <f>Input!E202</f>
        <v>0</v>
      </c>
      <c r="H200" s="3" t="str">
        <f t="shared" si="53"/>
        <v>00</v>
      </c>
      <c r="I200" s="7">
        <f>Input!G202</f>
        <v>0</v>
      </c>
      <c r="J200" s="7">
        <f t="shared" si="54"/>
        <v>0</v>
      </c>
      <c r="K200" s="7">
        <f t="shared" si="55"/>
        <v>0</v>
      </c>
      <c r="L200" s="7" t="e">
        <f t="shared" si="56"/>
        <v>#DIV/0!</v>
      </c>
      <c r="M200" s="2"/>
      <c r="N200" s="3">
        <f>Input!I202</f>
        <v>0</v>
      </c>
      <c r="O200" s="7">
        <f>Input!J202</f>
        <v>0</v>
      </c>
      <c r="P200" s="6">
        <f>Input!K202</f>
        <v>0</v>
      </c>
      <c r="Q200" s="2"/>
      <c r="R200" s="3">
        <f>Input!M202</f>
        <v>0</v>
      </c>
      <c r="S200" s="3">
        <f>Input!N202</f>
        <v>0</v>
      </c>
      <c r="T200" s="3">
        <f t="shared" si="57"/>
        <v>187</v>
      </c>
      <c r="U200" s="3" t="str">
        <f t="shared" si="58"/>
        <v>00</v>
      </c>
      <c r="V200" s="7">
        <f>VLOOKUP(R200,N:P,2,0)</f>
        <v>0</v>
      </c>
      <c r="W200" s="6">
        <f>VLOOKUP(R200,N:P,3,0)</f>
        <v>0</v>
      </c>
      <c r="X200" s="7">
        <f>(VLOOKUP(S200,A:C,2,0)+VLOOKUP(S200,A:C,3,0))</f>
        <v>0</v>
      </c>
      <c r="Y200" s="7">
        <f>SUMIF($R$4:$R$201,R200,$X$4:$X$201)</f>
        <v>0</v>
      </c>
      <c r="Z200" s="7">
        <f>IF(V200&gt;0,V200*X200/MAX(V200,Y200),W200*X200)</f>
        <v>0</v>
      </c>
      <c r="AA200" s="7">
        <f t="shared" si="59"/>
        <v>0</v>
      </c>
      <c r="AB200" s="7">
        <f t="shared" si="60"/>
        <v>0</v>
      </c>
      <c r="AC200" s="7">
        <f t="shared" si="61"/>
        <v>0</v>
      </c>
      <c r="AD200" s="7" t="e">
        <f t="shared" si="51"/>
        <v>#DIV/0!</v>
      </c>
    </row>
    <row r="201" spans="1:30" x14ac:dyDescent="0.25">
      <c r="A201" s="3">
        <f>Input!A203</f>
        <v>0</v>
      </c>
      <c r="B201" s="7">
        <f>Input!B203</f>
        <v>0</v>
      </c>
      <c r="C201" s="7">
        <f>SUMIF($G$4:$G$201,$A201,$I$4:$I$201)</f>
        <v>0</v>
      </c>
      <c r="D201" s="7">
        <f t="shared" si="52"/>
        <v>0</v>
      </c>
      <c r="E201" s="2"/>
      <c r="F201" s="3">
        <f>Input!D203</f>
        <v>0</v>
      </c>
      <c r="G201" s="3">
        <f>Input!E203</f>
        <v>0</v>
      </c>
      <c r="H201" s="3" t="str">
        <f t="shared" si="53"/>
        <v>00</v>
      </c>
      <c r="I201" s="7">
        <f>Input!G203</f>
        <v>0</v>
      </c>
      <c r="J201" s="7">
        <f t="shared" si="54"/>
        <v>0</v>
      </c>
      <c r="K201" s="7">
        <f t="shared" si="55"/>
        <v>0</v>
      </c>
      <c r="L201" s="7" t="e">
        <f t="shared" si="56"/>
        <v>#DIV/0!</v>
      </c>
      <c r="M201" s="2"/>
      <c r="N201" s="3">
        <f>Input!I203</f>
        <v>0</v>
      </c>
      <c r="O201" s="7">
        <f>Input!J203</f>
        <v>0</v>
      </c>
      <c r="P201" s="6">
        <f>Input!K203</f>
        <v>0</v>
      </c>
      <c r="Q201" s="2"/>
      <c r="R201" s="3">
        <f>Input!M203</f>
        <v>0</v>
      </c>
      <c r="S201" s="3">
        <f>Input!N203</f>
        <v>0</v>
      </c>
      <c r="T201" s="3">
        <f t="shared" si="57"/>
        <v>187</v>
      </c>
      <c r="U201" s="3" t="str">
        <f t="shared" si="58"/>
        <v>00</v>
      </c>
      <c r="V201" s="7">
        <f>VLOOKUP(R201,N:P,2,0)</f>
        <v>0</v>
      </c>
      <c r="W201" s="6">
        <f>VLOOKUP(R201,N:P,3,0)</f>
        <v>0</v>
      </c>
      <c r="X201" s="7">
        <f>(VLOOKUP(S201,A:C,2,0)+VLOOKUP(S201,A:C,3,0))</f>
        <v>0</v>
      </c>
      <c r="Y201" s="7">
        <f>SUMIF($R$4:$R$201,R201,$X$4:$X$201)</f>
        <v>0</v>
      </c>
      <c r="Z201" s="7">
        <f>IF(V201&gt;0,V201*X201/MAX(V201,Y201),W201*X201)</f>
        <v>0</v>
      </c>
      <c r="AA201" s="7">
        <f t="shared" si="59"/>
        <v>0</v>
      </c>
      <c r="AB201" s="7">
        <f t="shared" si="60"/>
        <v>0</v>
      </c>
      <c r="AC201" s="7">
        <f t="shared" si="61"/>
        <v>0</v>
      </c>
      <c r="AD201" s="7" t="e">
        <f t="shared" si="51"/>
        <v>#DIV/0!</v>
      </c>
    </row>
    <row r="204" spans="1:30" x14ac:dyDescent="0.25">
      <c r="R204" t="s">
        <v>67</v>
      </c>
      <c r="S204" t="str">
        <f>IF(COUNTIF($S$4:$S4,S4)=1,S4,0)</f>
        <v>HKG-XX1</v>
      </c>
      <c r="U204" t="str">
        <f t="shared" ref="U204:U267" si="62">+S204&amp;R204</f>
        <v>HKG-XX1Unallocated</v>
      </c>
      <c r="AD204">
        <f>VLOOKUP(S204,$S$4:$AB$201,10,0)-SUMIF($S$4:$S$201,S204,$AD$4:$AD$201)</f>
        <v>291.43414634146342</v>
      </c>
    </row>
    <row r="205" spans="1:30" x14ac:dyDescent="0.25">
      <c r="R205" t="s">
        <v>67</v>
      </c>
      <c r="S205">
        <f>IF(COUNTIF($S$4:$S5,S5)=1,S5,0)</f>
        <v>0</v>
      </c>
      <c r="U205" t="str">
        <f t="shared" si="62"/>
        <v>0Unallocated</v>
      </c>
      <c r="AD205" t="e">
        <f t="shared" ref="AD205:AD268" si="63">VLOOKUP(S205,$S$4:$AB$201,10,0)-SUMIF($S$4:$S$201,S205,$AD$4:$AD$201)</f>
        <v>#DIV/0!</v>
      </c>
    </row>
    <row r="206" spans="1:30" x14ac:dyDescent="0.25">
      <c r="R206" t="s">
        <v>67</v>
      </c>
      <c r="S206">
        <f>IF(COUNTIF($S$4:$S6,S6)=1,S6,0)</f>
        <v>0</v>
      </c>
      <c r="U206" t="str">
        <f t="shared" si="62"/>
        <v>0Unallocated</v>
      </c>
      <c r="AD206" t="e">
        <f t="shared" si="63"/>
        <v>#DIV/0!</v>
      </c>
    </row>
    <row r="207" spans="1:30" x14ac:dyDescent="0.25">
      <c r="R207" t="s">
        <v>67</v>
      </c>
      <c r="S207" t="str">
        <f>IF(COUNTIF($S$4:$S7,S7)=1,S7,0)</f>
        <v>HKG-XX2</v>
      </c>
      <c r="U207" t="str">
        <f t="shared" si="62"/>
        <v>HKG-XX2Unallocated</v>
      </c>
      <c r="AD207">
        <f t="shared" si="63"/>
        <v>38.4</v>
      </c>
    </row>
    <row r="208" spans="1:30" x14ac:dyDescent="0.25">
      <c r="R208" t="s">
        <v>67</v>
      </c>
      <c r="S208">
        <f>IF(COUNTIF($S$4:$S8,S8)=1,S8,0)</f>
        <v>0</v>
      </c>
      <c r="U208" t="str">
        <f t="shared" si="62"/>
        <v>0Unallocated</v>
      </c>
      <c r="AD208" t="e">
        <f t="shared" si="63"/>
        <v>#DIV/0!</v>
      </c>
    </row>
    <row r="209" spans="18:30" x14ac:dyDescent="0.25">
      <c r="R209" t="s">
        <v>67</v>
      </c>
      <c r="S209" t="str">
        <f>IF(COUNTIF($S$4:$S9,S9)=1,S9,0)</f>
        <v>HKG-XX3</v>
      </c>
      <c r="U209" t="str">
        <f t="shared" si="62"/>
        <v>HKG-XX3Unallocated</v>
      </c>
      <c r="AD209">
        <f t="shared" si="63"/>
        <v>9.7073170731707314</v>
      </c>
    </row>
    <row r="210" spans="18:30" x14ac:dyDescent="0.25">
      <c r="R210" t="s">
        <v>67</v>
      </c>
      <c r="S210" t="str">
        <f>IF(COUNTIF($S$4:$S10,S10)=1,S10,0)</f>
        <v>HKG-XX4</v>
      </c>
      <c r="U210" t="str">
        <f t="shared" si="62"/>
        <v>HKG-XX4Unallocated</v>
      </c>
      <c r="AD210">
        <f t="shared" si="63"/>
        <v>0</v>
      </c>
    </row>
    <row r="211" spans="18:30" x14ac:dyDescent="0.25">
      <c r="R211" t="s">
        <v>67</v>
      </c>
      <c r="S211">
        <f>IF(COUNTIF($S$4:$S11,S11)=1,S11,0)</f>
        <v>0</v>
      </c>
      <c r="U211" t="str">
        <f t="shared" si="62"/>
        <v>0Unallocated</v>
      </c>
      <c r="AD211" t="e">
        <f t="shared" si="63"/>
        <v>#DIV/0!</v>
      </c>
    </row>
    <row r="212" spans="18:30" x14ac:dyDescent="0.25">
      <c r="R212" t="s">
        <v>67</v>
      </c>
      <c r="S212">
        <f>IF(COUNTIF($S$4:$S12,S12)=1,S12,0)</f>
        <v>0</v>
      </c>
      <c r="U212" t="str">
        <f t="shared" si="62"/>
        <v>0Unallocated</v>
      </c>
      <c r="AD212" t="e">
        <f t="shared" si="63"/>
        <v>#DIV/0!</v>
      </c>
    </row>
    <row r="213" spans="18:30" x14ac:dyDescent="0.25">
      <c r="R213" t="s">
        <v>67</v>
      </c>
      <c r="S213" t="str">
        <f>IF(COUNTIF($S$4:$S13,S13)=1,S13,0)</f>
        <v>HKG-XX5</v>
      </c>
      <c r="U213" t="str">
        <f t="shared" si="62"/>
        <v>HKG-XX5Unallocated</v>
      </c>
      <c r="AD213">
        <f t="shared" si="63"/>
        <v>0</v>
      </c>
    </row>
    <row r="214" spans="18:30" x14ac:dyDescent="0.25">
      <c r="R214" t="s">
        <v>67</v>
      </c>
      <c r="S214">
        <f>IF(COUNTIF($S$4:$S14,S14)=1,S14,0)</f>
        <v>0</v>
      </c>
      <c r="U214" t="str">
        <f t="shared" si="62"/>
        <v>0Unallocated</v>
      </c>
      <c r="AD214" t="e">
        <f t="shared" si="63"/>
        <v>#DIV/0!</v>
      </c>
    </row>
    <row r="215" spans="18:30" x14ac:dyDescent="0.25">
      <c r="R215" t="s">
        <v>67</v>
      </c>
      <c r="S215">
        <f>IF(COUNTIF($S$4:$S15,S15)=1,S15,0)</f>
        <v>0</v>
      </c>
      <c r="U215" t="str">
        <f t="shared" si="62"/>
        <v>0Unallocated</v>
      </c>
      <c r="AD215" t="e">
        <f t="shared" si="63"/>
        <v>#DIV/0!</v>
      </c>
    </row>
    <row r="216" spans="18:30" x14ac:dyDescent="0.25">
      <c r="R216" t="s">
        <v>67</v>
      </c>
      <c r="S216">
        <f>IF(COUNTIF($S$4:$S16,S16)=1,S16,0)</f>
        <v>0</v>
      </c>
      <c r="U216" t="str">
        <f t="shared" si="62"/>
        <v>0Unallocated</v>
      </c>
      <c r="AD216" t="e">
        <f t="shared" si="63"/>
        <v>#DIV/0!</v>
      </c>
    </row>
    <row r="217" spans="18:30" x14ac:dyDescent="0.25">
      <c r="R217" t="s">
        <v>67</v>
      </c>
      <c r="S217">
        <f>IF(COUNTIF($S$4:$S17,S17)=1,S17,0)</f>
        <v>0</v>
      </c>
      <c r="U217" t="str">
        <f t="shared" si="62"/>
        <v>0Unallocated</v>
      </c>
      <c r="AD217" t="e">
        <f t="shared" si="63"/>
        <v>#DIV/0!</v>
      </c>
    </row>
    <row r="218" spans="18:30" x14ac:dyDescent="0.25">
      <c r="R218" t="s">
        <v>67</v>
      </c>
      <c r="S218">
        <f>IF(COUNTIF($S$4:$S18,S18)=1,S18,0)</f>
        <v>0</v>
      </c>
      <c r="U218" t="str">
        <f t="shared" si="62"/>
        <v>0Unallocated</v>
      </c>
      <c r="AD218" t="e">
        <f t="shared" si="63"/>
        <v>#DIV/0!</v>
      </c>
    </row>
    <row r="219" spans="18:30" x14ac:dyDescent="0.25">
      <c r="R219" t="s">
        <v>67</v>
      </c>
      <c r="S219">
        <f>IF(COUNTIF($S$4:$S19,S19)=1,S19,0)</f>
        <v>0</v>
      </c>
      <c r="U219" t="str">
        <f t="shared" si="62"/>
        <v>0Unallocated</v>
      </c>
      <c r="AD219" t="e">
        <f t="shared" si="63"/>
        <v>#DIV/0!</v>
      </c>
    </row>
    <row r="220" spans="18:30" x14ac:dyDescent="0.25">
      <c r="R220" t="s">
        <v>67</v>
      </c>
      <c r="S220">
        <f>IF(COUNTIF($S$4:$S20,S20)=1,S20,0)</f>
        <v>0</v>
      </c>
      <c r="U220" t="str">
        <f t="shared" si="62"/>
        <v>0Unallocated</v>
      </c>
      <c r="AD220" t="e">
        <f t="shared" si="63"/>
        <v>#DIV/0!</v>
      </c>
    </row>
    <row r="221" spans="18:30" x14ac:dyDescent="0.25">
      <c r="R221" t="s">
        <v>67</v>
      </c>
      <c r="S221">
        <f>IF(COUNTIF($S$4:$S21,S21)=1,S21,0)</f>
        <v>0</v>
      </c>
      <c r="U221" t="str">
        <f t="shared" si="62"/>
        <v>0Unallocated</v>
      </c>
      <c r="AD221" t="e">
        <f t="shared" si="63"/>
        <v>#DIV/0!</v>
      </c>
    </row>
    <row r="222" spans="18:30" x14ac:dyDescent="0.25">
      <c r="R222" t="s">
        <v>67</v>
      </c>
      <c r="S222">
        <f>IF(COUNTIF($S$4:$S22,S22)=1,S22,0)</f>
        <v>0</v>
      </c>
      <c r="U222" t="str">
        <f t="shared" si="62"/>
        <v>0Unallocated</v>
      </c>
      <c r="AD222" t="e">
        <f t="shared" si="63"/>
        <v>#DIV/0!</v>
      </c>
    </row>
    <row r="223" spans="18:30" x14ac:dyDescent="0.25">
      <c r="R223" t="s">
        <v>67</v>
      </c>
      <c r="S223">
        <f>IF(COUNTIF($S$4:$S23,S23)=1,S23,0)</f>
        <v>0</v>
      </c>
      <c r="U223" t="str">
        <f t="shared" si="62"/>
        <v>0Unallocated</v>
      </c>
      <c r="AD223" t="e">
        <f t="shared" si="63"/>
        <v>#DIV/0!</v>
      </c>
    </row>
    <row r="224" spans="18:30" x14ac:dyDescent="0.25">
      <c r="R224" t="s">
        <v>67</v>
      </c>
      <c r="S224">
        <f>IF(COUNTIF($S$4:$S24,S24)=1,S24,0)</f>
        <v>0</v>
      </c>
      <c r="U224" t="str">
        <f t="shared" si="62"/>
        <v>0Unallocated</v>
      </c>
      <c r="AD224" t="e">
        <f t="shared" si="63"/>
        <v>#DIV/0!</v>
      </c>
    </row>
    <row r="225" spans="18:30" x14ac:dyDescent="0.25">
      <c r="R225" t="s">
        <v>67</v>
      </c>
      <c r="S225">
        <f>IF(COUNTIF($S$4:$S25,S25)=1,S25,0)</f>
        <v>0</v>
      </c>
      <c r="U225" t="str">
        <f t="shared" si="62"/>
        <v>0Unallocated</v>
      </c>
      <c r="AD225" t="e">
        <f t="shared" si="63"/>
        <v>#DIV/0!</v>
      </c>
    </row>
    <row r="226" spans="18:30" x14ac:dyDescent="0.25">
      <c r="R226" t="s">
        <v>67</v>
      </c>
      <c r="S226">
        <f>IF(COUNTIF($S$4:$S26,S26)=1,S26,0)</f>
        <v>0</v>
      </c>
      <c r="U226" t="str">
        <f t="shared" si="62"/>
        <v>0Unallocated</v>
      </c>
      <c r="AD226" t="e">
        <f t="shared" si="63"/>
        <v>#DIV/0!</v>
      </c>
    </row>
    <row r="227" spans="18:30" x14ac:dyDescent="0.25">
      <c r="R227" t="s">
        <v>67</v>
      </c>
      <c r="S227">
        <f>IF(COUNTIF($S$4:$S27,S27)=1,S27,0)</f>
        <v>0</v>
      </c>
      <c r="U227" t="str">
        <f t="shared" si="62"/>
        <v>0Unallocated</v>
      </c>
      <c r="AD227" t="e">
        <f t="shared" si="63"/>
        <v>#DIV/0!</v>
      </c>
    </row>
    <row r="228" spans="18:30" x14ac:dyDescent="0.25">
      <c r="R228" t="s">
        <v>67</v>
      </c>
      <c r="S228">
        <f>IF(COUNTIF($S$4:$S28,S28)=1,S28,0)</f>
        <v>0</v>
      </c>
      <c r="U228" t="str">
        <f t="shared" si="62"/>
        <v>0Unallocated</v>
      </c>
      <c r="AD228" t="e">
        <f t="shared" si="63"/>
        <v>#DIV/0!</v>
      </c>
    </row>
    <row r="229" spans="18:30" x14ac:dyDescent="0.25">
      <c r="R229" t="s">
        <v>67</v>
      </c>
      <c r="S229">
        <f>IF(COUNTIF($S$4:$S29,S29)=1,S29,0)</f>
        <v>0</v>
      </c>
      <c r="U229" t="str">
        <f t="shared" si="62"/>
        <v>0Unallocated</v>
      </c>
      <c r="AD229" t="e">
        <f t="shared" si="63"/>
        <v>#DIV/0!</v>
      </c>
    </row>
    <row r="230" spans="18:30" x14ac:dyDescent="0.25">
      <c r="R230" t="s">
        <v>67</v>
      </c>
      <c r="S230">
        <f>IF(COUNTIF($S$4:$S30,S30)=1,S30,0)</f>
        <v>0</v>
      </c>
      <c r="U230" t="str">
        <f t="shared" si="62"/>
        <v>0Unallocated</v>
      </c>
      <c r="AD230" t="e">
        <f t="shared" si="63"/>
        <v>#DIV/0!</v>
      </c>
    </row>
    <row r="231" spans="18:30" x14ac:dyDescent="0.25">
      <c r="R231" t="s">
        <v>67</v>
      </c>
      <c r="S231">
        <f>IF(COUNTIF($S$4:$S31,S31)=1,S31,0)</f>
        <v>0</v>
      </c>
      <c r="U231" t="str">
        <f t="shared" si="62"/>
        <v>0Unallocated</v>
      </c>
      <c r="AD231" t="e">
        <f t="shared" si="63"/>
        <v>#DIV/0!</v>
      </c>
    </row>
    <row r="232" spans="18:30" x14ac:dyDescent="0.25">
      <c r="R232" t="s">
        <v>67</v>
      </c>
      <c r="S232">
        <f>IF(COUNTIF($S$4:$S32,S32)=1,S32,0)</f>
        <v>0</v>
      </c>
      <c r="U232" t="str">
        <f t="shared" si="62"/>
        <v>0Unallocated</v>
      </c>
      <c r="AD232" t="e">
        <f t="shared" si="63"/>
        <v>#DIV/0!</v>
      </c>
    </row>
    <row r="233" spans="18:30" x14ac:dyDescent="0.25">
      <c r="R233" t="s">
        <v>67</v>
      </c>
      <c r="S233">
        <f>IF(COUNTIF($S$4:$S33,S33)=1,S33,0)</f>
        <v>0</v>
      </c>
      <c r="U233" t="str">
        <f t="shared" si="62"/>
        <v>0Unallocated</v>
      </c>
      <c r="AD233" t="e">
        <f t="shared" si="63"/>
        <v>#DIV/0!</v>
      </c>
    </row>
    <row r="234" spans="18:30" x14ac:dyDescent="0.25">
      <c r="R234" t="s">
        <v>67</v>
      </c>
      <c r="S234">
        <f>IF(COUNTIF($S$4:$S34,S34)=1,S34,0)</f>
        <v>0</v>
      </c>
      <c r="U234" t="str">
        <f t="shared" si="62"/>
        <v>0Unallocated</v>
      </c>
      <c r="AD234" t="e">
        <f t="shared" si="63"/>
        <v>#DIV/0!</v>
      </c>
    </row>
    <row r="235" spans="18:30" x14ac:dyDescent="0.25">
      <c r="R235" t="s">
        <v>67</v>
      </c>
      <c r="S235">
        <f>IF(COUNTIF($S$4:$S35,S35)=1,S35,0)</f>
        <v>0</v>
      </c>
      <c r="U235" t="str">
        <f t="shared" si="62"/>
        <v>0Unallocated</v>
      </c>
      <c r="AD235" t="e">
        <f t="shared" si="63"/>
        <v>#DIV/0!</v>
      </c>
    </row>
    <row r="236" spans="18:30" x14ac:dyDescent="0.25">
      <c r="R236" t="s">
        <v>67</v>
      </c>
      <c r="S236">
        <f>IF(COUNTIF($S$4:$S36,S36)=1,S36,0)</f>
        <v>0</v>
      </c>
      <c r="U236" t="str">
        <f t="shared" si="62"/>
        <v>0Unallocated</v>
      </c>
      <c r="AD236" t="e">
        <f t="shared" si="63"/>
        <v>#DIV/0!</v>
      </c>
    </row>
    <row r="237" spans="18:30" x14ac:dyDescent="0.25">
      <c r="R237" t="s">
        <v>67</v>
      </c>
      <c r="S237">
        <f>IF(COUNTIF($S$4:$S37,S37)=1,S37,0)</f>
        <v>0</v>
      </c>
      <c r="U237" t="str">
        <f t="shared" si="62"/>
        <v>0Unallocated</v>
      </c>
      <c r="AD237" t="e">
        <f t="shared" si="63"/>
        <v>#DIV/0!</v>
      </c>
    </row>
    <row r="238" spans="18:30" x14ac:dyDescent="0.25">
      <c r="R238" t="s">
        <v>67</v>
      </c>
      <c r="S238">
        <f>IF(COUNTIF($S$4:$S38,S38)=1,S38,0)</f>
        <v>0</v>
      </c>
      <c r="U238" t="str">
        <f t="shared" si="62"/>
        <v>0Unallocated</v>
      </c>
      <c r="AD238" t="e">
        <f t="shared" si="63"/>
        <v>#DIV/0!</v>
      </c>
    </row>
    <row r="239" spans="18:30" x14ac:dyDescent="0.25">
      <c r="R239" t="s">
        <v>67</v>
      </c>
      <c r="S239">
        <f>IF(COUNTIF($S$4:$S39,S39)=1,S39,0)</f>
        <v>0</v>
      </c>
      <c r="U239" t="str">
        <f t="shared" si="62"/>
        <v>0Unallocated</v>
      </c>
      <c r="AD239" t="e">
        <f t="shared" si="63"/>
        <v>#DIV/0!</v>
      </c>
    </row>
    <row r="240" spans="18:30" x14ac:dyDescent="0.25">
      <c r="R240" t="s">
        <v>67</v>
      </c>
      <c r="S240">
        <f>IF(COUNTIF($S$4:$S40,S40)=1,S40,0)</f>
        <v>0</v>
      </c>
      <c r="U240" t="str">
        <f t="shared" si="62"/>
        <v>0Unallocated</v>
      </c>
      <c r="AD240" t="e">
        <f t="shared" si="63"/>
        <v>#DIV/0!</v>
      </c>
    </row>
    <row r="241" spans="18:30" x14ac:dyDescent="0.25">
      <c r="R241" t="s">
        <v>67</v>
      </c>
      <c r="S241">
        <f>IF(COUNTIF($S$4:$S41,S41)=1,S41,0)</f>
        <v>0</v>
      </c>
      <c r="U241" t="str">
        <f t="shared" si="62"/>
        <v>0Unallocated</v>
      </c>
      <c r="AD241" t="e">
        <f t="shared" si="63"/>
        <v>#DIV/0!</v>
      </c>
    </row>
    <row r="242" spans="18:30" x14ac:dyDescent="0.25">
      <c r="R242" t="s">
        <v>67</v>
      </c>
      <c r="S242">
        <f>IF(COUNTIF($S$4:$S42,S42)=1,S42,0)</f>
        <v>0</v>
      </c>
      <c r="U242" t="str">
        <f t="shared" si="62"/>
        <v>0Unallocated</v>
      </c>
      <c r="AD242" t="e">
        <f t="shared" si="63"/>
        <v>#DIV/0!</v>
      </c>
    </row>
    <row r="243" spans="18:30" x14ac:dyDescent="0.25">
      <c r="R243" t="s">
        <v>67</v>
      </c>
      <c r="S243">
        <f>IF(COUNTIF($S$4:$S43,S43)=1,S43,0)</f>
        <v>0</v>
      </c>
      <c r="U243" t="str">
        <f t="shared" si="62"/>
        <v>0Unallocated</v>
      </c>
      <c r="AD243" t="e">
        <f t="shared" si="63"/>
        <v>#DIV/0!</v>
      </c>
    </row>
    <row r="244" spans="18:30" x14ac:dyDescent="0.25">
      <c r="R244" t="s">
        <v>67</v>
      </c>
      <c r="S244">
        <f>IF(COUNTIF($S$4:$S44,S44)=1,S44,0)</f>
        <v>0</v>
      </c>
      <c r="U244" t="str">
        <f t="shared" si="62"/>
        <v>0Unallocated</v>
      </c>
      <c r="AD244" t="e">
        <f t="shared" si="63"/>
        <v>#DIV/0!</v>
      </c>
    </row>
    <row r="245" spans="18:30" x14ac:dyDescent="0.25">
      <c r="R245" t="s">
        <v>67</v>
      </c>
      <c r="S245">
        <f>IF(COUNTIF($S$4:$S45,S45)=1,S45,0)</f>
        <v>0</v>
      </c>
      <c r="U245" t="str">
        <f t="shared" si="62"/>
        <v>0Unallocated</v>
      </c>
      <c r="AD245" t="e">
        <f t="shared" si="63"/>
        <v>#DIV/0!</v>
      </c>
    </row>
    <row r="246" spans="18:30" x14ac:dyDescent="0.25">
      <c r="R246" t="s">
        <v>67</v>
      </c>
      <c r="S246">
        <f>IF(COUNTIF($S$4:$S46,S46)=1,S46,0)</f>
        <v>0</v>
      </c>
      <c r="U246" t="str">
        <f t="shared" si="62"/>
        <v>0Unallocated</v>
      </c>
      <c r="AD246" t="e">
        <f t="shared" si="63"/>
        <v>#DIV/0!</v>
      </c>
    </row>
    <row r="247" spans="18:30" x14ac:dyDescent="0.25">
      <c r="R247" t="s">
        <v>67</v>
      </c>
      <c r="S247">
        <f>IF(COUNTIF($S$4:$S47,S47)=1,S47,0)</f>
        <v>0</v>
      </c>
      <c r="U247" t="str">
        <f t="shared" si="62"/>
        <v>0Unallocated</v>
      </c>
      <c r="AD247" t="e">
        <f t="shared" si="63"/>
        <v>#DIV/0!</v>
      </c>
    </row>
    <row r="248" spans="18:30" x14ac:dyDescent="0.25">
      <c r="R248" t="s">
        <v>67</v>
      </c>
      <c r="S248">
        <f>IF(COUNTIF($S$4:$S48,S48)=1,S48,0)</f>
        <v>0</v>
      </c>
      <c r="U248" t="str">
        <f t="shared" si="62"/>
        <v>0Unallocated</v>
      </c>
      <c r="AD248" t="e">
        <f t="shared" si="63"/>
        <v>#DIV/0!</v>
      </c>
    </row>
    <row r="249" spans="18:30" x14ac:dyDescent="0.25">
      <c r="R249" t="s">
        <v>67</v>
      </c>
      <c r="S249">
        <f>IF(COUNTIF($S$4:$S49,S49)=1,S49,0)</f>
        <v>0</v>
      </c>
      <c r="U249" t="str">
        <f t="shared" si="62"/>
        <v>0Unallocated</v>
      </c>
      <c r="AD249" t="e">
        <f t="shared" si="63"/>
        <v>#DIV/0!</v>
      </c>
    </row>
    <row r="250" spans="18:30" x14ac:dyDescent="0.25">
      <c r="R250" t="s">
        <v>67</v>
      </c>
      <c r="S250">
        <f>IF(COUNTIF($S$4:$S50,S50)=1,S50,0)</f>
        <v>0</v>
      </c>
      <c r="U250" t="str">
        <f t="shared" si="62"/>
        <v>0Unallocated</v>
      </c>
      <c r="AD250" t="e">
        <f t="shared" si="63"/>
        <v>#DIV/0!</v>
      </c>
    </row>
    <row r="251" spans="18:30" x14ac:dyDescent="0.25">
      <c r="R251" t="s">
        <v>67</v>
      </c>
      <c r="S251">
        <f>IF(COUNTIF($S$4:$S51,S51)=1,S51,0)</f>
        <v>0</v>
      </c>
      <c r="U251" t="str">
        <f t="shared" si="62"/>
        <v>0Unallocated</v>
      </c>
      <c r="AD251" t="e">
        <f t="shared" si="63"/>
        <v>#DIV/0!</v>
      </c>
    </row>
    <row r="252" spans="18:30" x14ac:dyDescent="0.25">
      <c r="R252" t="s">
        <v>67</v>
      </c>
      <c r="S252">
        <f>IF(COUNTIF($S$4:$S52,S52)=1,S52,0)</f>
        <v>0</v>
      </c>
      <c r="U252" t="str">
        <f t="shared" si="62"/>
        <v>0Unallocated</v>
      </c>
      <c r="AD252" t="e">
        <f t="shared" si="63"/>
        <v>#DIV/0!</v>
      </c>
    </row>
    <row r="253" spans="18:30" x14ac:dyDescent="0.25">
      <c r="R253" t="s">
        <v>67</v>
      </c>
      <c r="S253">
        <f>IF(COUNTIF($S$4:$S53,S53)=1,S53,0)</f>
        <v>0</v>
      </c>
      <c r="U253" t="str">
        <f t="shared" si="62"/>
        <v>0Unallocated</v>
      </c>
      <c r="AD253" t="e">
        <f t="shared" si="63"/>
        <v>#DIV/0!</v>
      </c>
    </row>
    <row r="254" spans="18:30" x14ac:dyDescent="0.25">
      <c r="R254" t="s">
        <v>67</v>
      </c>
      <c r="S254">
        <f>IF(COUNTIF($S$4:$S54,S54)=1,S54,0)</f>
        <v>0</v>
      </c>
      <c r="U254" t="str">
        <f t="shared" si="62"/>
        <v>0Unallocated</v>
      </c>
      <c r="AD254" t="e">
        <f t="shared" si="63"/>
        <v>#DIV/0!</v>
      </c>
    </row>
    <row r="255" spans="18:30" x14ac:dyDescent="0.25">
      <c r="R255" t="s">
        <v>67</v>
      </c>
      <c r="S255">
        <f>IF(COUNTIF($S$4:$S55,S55)=1,S55,0)</f>
        <v>0</v>
      </c>
      <c r="U255" t="str">
        <f t="shared" si="62"/>
        <v>0Unallocated</v>
      </c>
      <c r="AD255" t="e">
        <f t="shared" si="63"/>
        <v>#DIV/0!</v>
      </c>
    </row>
    <row r="256" spans="18:30" x14ac:dyDescent="0.25">
      <c r="R256" t="s">
        <v>67</v>
      </c>
      <c r="S256">
        <f>IF(COUNTIF($S$4:$S56,S56)=1,S56,0)</f>
        <v>0</v>
      </c>
      <c r="U256" t="str">
        <f t="shared" si="62"/>
        <v>0Unallocated</v>
      </c>
      <c r="AD256" t="e">
        <f t="shared" si="63"/>
        <v>#DIV/0!</v>
      </c>
    </row>
    <row r="257" spans="18:30" x14ac:dyDescent="0.25">
      <c r="R257" t="s">
        <v>67</v>
      </c>
      <c r="S257">
        <f>IF(COUNTIF($S$4:$S57,S57)=1,S57,0)</f>
        <v>0</v>
      </c>
      <c r="U257" t="str">
        <f t="shared" si="62"/>
        <v>0Unallocated</v>
      </c>
      <c r="AD257" t="e">
        <f t="shared" si="63"/>
        <v>#DIV/0!</v>
      </c>
    </row>
    <row r="258" spans="18:30" x14ac:dyDescent="0.25">
      <c r="R258" t="s">
        <v>67</v>
      </c>
      <c r="S258">
        <f>IF(COUNTIF($S$4:$S58,S58)=1,S58,0)</f>
        <v>0</v>
      </c>
      <c r="U258" t="str">
        <f t="shared" si="62"/>
        <v>0Unallocated</v>
      </c>
      <c r="AD258" t="e">
        <f t="shared" si="63"/>
        <v>#DIV/0!</v>
      </c>
    </row>
    <row r="259" spans="18:30" x14ac:dyDescent="0.25">
      <c r="R259" t="s">
        <v>67</v>
      </c>
      <c r="S259">
        <f>IF(COUNTIF($S$4:$S59,S59)=1,S59,0)</f>
        <v>0</v>
      </c>
      <c r="U259" t="str">
        <f t="shared" si="62"/>
        <v>0Unallocated</v>
      </c>
      <c r="AD259" t="e">
        <f t="shared" si="63"/>
        <v>#DIV/0!</v>
      </c>
    </row>
    <row r="260" spans="18:30" x14ac:dyDescent="0.25">
      <c r="R260" t="s">
        <v>67</v>
      </c>
      <c r="S260">
        <f>IF(COUNTIF($S$4:$S60,S60)=1,S60,0)</f>
        <v>0</v>
      </c>
      <c r="U260" t="str">
        <f t="shared" si="62"/>
        <v>0Unallocated</v>
      </c>
      <c r="AD260" t="e">
        <f t="shared" si="63"/>
        <v>#DIV/0!</v>
      </c>
    </row>
    <row r="261" spans="18:30" x14ac:dyDescent="0.25">
      <c r="R261" t="s">
        <v>67</v>
      </c>
      <c r="S261">
        <f>IF(COUNTIF($S$4:$S61,S61)=1,S61,0)</f>
        <v>0</v>
      </c>
      <c r="U261" t="str">
        <f t="shared" si="62"/>
        <v>0Unallocated</v>
      </c>
      <c r="AD261" t="e">
        <f t="shared" si="63"/>
        <v>#DIV/0!</v>
      </c>
    </row>
    <row r="262" spans="18:30" x14ac:dyDescent="0.25">
      <c r="R262" t="s">
        <v>67</v>
      </c>
      <c r="S262">
        <f>IF(COUNTIF($S$4:$S62,S62)=1,S62,0)</f>
        <v>0</v>
      </c>
      <c r="U262" t="str">
        <f t="shared" si="62"/>
        <v>0Unallocated</v>
      </c>
      <c r="AD262" t="e">
        <f t="shared" si="63"/>
        <v>#DIV/0!</v>
      </c>
    </row>
    <row r="263" spans="18:30" x14ac:dyDescent="0.25">
      <c r="R263" t="s">
        <v>67</v>
      </c>
      <c r="S263">
        <f>IF(COUNTIF($S$4:$S63,S63)=1,S63,0)</f>
        <v>0</v>
      </c>
      <c r="U263" t="str">
        <f t="shared" si="62"/>
        <v>0Unallocated</v>
      </c>
      <c r="AD263" t="e">
        <f t="shared" si="63"/>
        <v>#DIV/0!</v>
      </c>
    </row>
    <row r="264" spans="18:30" x14ac:dyDescent="0.25">
      <c r="R264" t="s">
        <v>67</v>
      </c>
      <c r="S264">
        <f>IF(COUNTIF($S$4:$S64,S64)=1,S64,0)</f>
        <v>0</v>
      </c>
      <c r="U264" t="str">
        <f t="shared" si="62"/>
        <v>0Unallocated</v>
      </c>
      <c r="AD264" t="e">
        <f t="shared" si="63"/>
        <v>#DIV/0!</v>
      </c>
    </row>
    <row r="265" spans="18:30" x14ac:dyDescent="0.25">
      <c r="R265" t="s">
        <v>67</v>
      </c>
      <c r="S265">
        <f>IF(COUNTIF($S$4:$S65,S65)=1,S65,0)</f>
        <v>0</v>
      </c>
      <c r="U265" t="str">
        <f t="shared" si="62"/>
        <v>0Unallocated</v>
      </c>
      <c r="AD265" t="e">
        <f t="shared" si="63"/>
        <v>#DIV/0!</v>
      </c>
    </row>
    <row r="266" spans="18:30" x14ac:dyDescent="0.25">
      <c r="R266" t="s">
        <v>67</v>
      </c>
      <c r="S266">
        <f>IF(COUNTIF($S$4:$S66,S66)=1,S66,0)</f>
        <v>0</v>
      </c>
      <c r="U266" t="str">
        <f t="shared" si="62"/>
        <v>0Unallocated</v>
      </c>
      <c r="AD266" t="e">
        <f t="shared" si="63"/>
        <v>#DIV/0!</v>
      </c>
    </row>
    <row r="267" spans="18:30" x14ac:dyDescent="0.25">
      <c r="R267" t="s">
        <v>67</v>
      </c>
      <c r="S267">
        <f>IF(COUNTIF($S$4:$S67,S67)=1,S67,0)</f>
        <v>0</v>
      </c>
      <c r="U267" t="str">
        <f t="shared" si="62"/>
        <v>0Unallocated</v>
      </c>
      <c r="AD267" t="e">
        <f t="shared" si="63"/>
        <v>#DIV/0!</v>
      </c>
    </row>
    <row r="268" spans="18:30" x14ac:dyDescent="0.25">
      <c r="R268" t="s">
        <v>67</v>
      </c>
      <c r="S268">
        <f>IF(COUNTIF($S$4:$S68,S68)=1,S68,0)</f>
        <v>0</v>
      </c>
      <c r="U268" t="str">
        <f t="shared" ref="U268:U331" si="64">+S268&amp;R268</f>
        <v>0Unallocated</v>
      </c>
      <c r="AD268" t="e">
        <f t="shared" si="63"/>
        <v>#DIV/0!</v>
      </c>
    </row>
    <row r="269" spans="18:30" x14ac:dyDescent="0.25">
      <c r="R269" t="s">
        <v>67</v>
      </c>
      <c r="S269">
        <f>IF(COUNTIF($S$4:$S69,S69)=1,S69,0)</f>
        <v>0</v>
      </c>
      <c r="U269" t="str">
        <f t="shared" si="64"/>
        <v>0Unallocated</v>
      </c>
      <c r="AD269" t="e">
        <f t="shared" ref="AD269:AD332" si="65">VLOOKUP(S269,$S$4:$AB$201,10,0)-SUMIF($S$4:$S$201,S269,$AD$4:$AD$201)</f>
        <v>#DIV/0!</v>
      </c>
    </row>
    <row r="270" spans="18:30" x14ac:dyDescent="0.25">
      <c r="R270" t="s">
        <v>67</v>
      </c>
      <c r="S270">
        <f>IF(COUNTIF($S$4:$S70,S70)=1,S70,0)</f>
        <v>0</v>
      </c>
      <c r="U270" t="str">
        <f t="shared" si="64"/>
        <v>0Unallocated</v>
      </c>
      <c r="AD270" t="e">
        <f t="shared" si="65"/>
        <v>#DIV/0!</v>
      </c>
    </row>
    <row r="271" spans="18:30" x14ac:dyDescent="0.25">
      <c r="R271" t="s">
        <v>67</v>
      </c>
      <c r="S271">
        <f>IF(COUNTIF($S$4:$S71,S71)=1,S71,0)</f>
        <v>0</v>
      </c>
      <c r="U271" t="str">
        <f t="shared" si="64"/>
        <v>0Unallocated</v>
      </c>
      <c r="AD271" t="e">
        <f t="shared" si="65"/>
        <v>#DIV/0!</v>
      </c>
    </row>
    <row r="272" spans="18:30" x14ac:dyDescent="0.25">
      <c r="R272" t="s">
        <v>67</v>
      </c>
      <c r="S272">
        <f>IF(COUNTIF($S$4:$S72,S72)=1,S72,0)</f>
        <v>0</v>
      </c>
      <c r="U272" t="str">
        <f t="shared" si="64"/>
        <v>0Unallocated</v>
      </c>
      <c r="AD272" t="e">
        <f t="shared" si="65"/>
        <v>#DIV/0!</v>
      </c>
    </row>
    <row r="273" spans="18:30" x14ac:dyDescent="0.25">
      <c r="R273" t="s">
        <v>67</v>
      </c>
      <c r="S273">
        <f>IF(COUNTIF($S$4:$S73,S73)=1,S73,0)</f>
        <v>0</v>
      </c>
      <c r="U273" t="str">
        <f t="shared" si="64"/>
        <v>0Unallocated</v>
      </c>
      <c r="AD273" t="e">
        <f t="shared" si="65"/>
        <v>#DIV/0!</v>
      </c>
    </row>
    <row r="274" spans="18:30" x14ac:dyDescent="0.25">
      <c r="R274" t="s">
        <v>67</v>
      </c>
      <c r="S274">
        <f>IF(COUNTIF($S$4:$S74,S74)=1,S74,0)</f>
        <v>0</v>
      </c>
      <c r="U274" t="str">
        <f t="shared" si="64"/>
        <v>0Unallocated</v>
      </c>
      <c r="AD274" t="e">
        <f t="shared" si="65"/>
        <v>#DIV/0!</v>
      </c>
    </row>
    <row r="275" spans="18:30" x14ac:dyDescent="0.25">
      <c r="R275" t="s">
        <v>67</v>
      </c>
      <c r="S275">
        <f>IF(COUNTIF($S$4:$S75,S75)=1,S75,0)</f>
        <v>0</v>
      </c>
      <c r="U275" t="str">
        <f t="shared" si="64"/>
        <v>0Unallocated</v>
      </c>
      <c r="AD275" t="e">
        <f t="shared" si="65"/>
        <v>#DIV/0!</v>
      </c>
    </row>
    <row r="276" spans="18:30" x14ac:dyDescent="0.25">
      <c r="R276" t="s">
        <v>67</v>
      </c>
      <c r="S276">
        <f>IF(COUNTIF($S$4:$S76,S76)=1,S76,0)</f>
        <v>0</v>
      </c>
      <c r="U276" t="str">
        <f t="shared" si="64"/>
        <v>0Unallocated</v>
      </c>
      <c r="AD276" t="e">
        <f t="shared" si="65"/>
        <v>#DIV/0!</v>
      </c>
    </row>
    <row r="277" spans="18:30" x14ac:dyDescent="0.25">
      <c r="R277" t="s">
        <v>67</v>
      </c>
      <c r="S277">
        <f>IF(COUNTIF($S$4:$S77,S77)=1,S77,0)</f>
        <v>0</v>
      </c>
      <c r="U277" t="str">
        <f t="shared" si="64"/>
        <v>0Unallocated</v>
      </c>
      <c r="AD277" t="e">
        <f t="shared" si="65"/>
        <v>#DIV/0!</v>
      </c>
    </row>
    <row r="278" spans="18:30" x14ac:dyDescent="0.25">
      <c r="R278" t="s">
        <v>67</v>
      </c>
      <c r="S278">
        <f>IF(COUNTIF($S$4:$S78,S78)=1,S78,0)</f>
        <v>0</v>
      </c>
      <c r="U278" t="str">
        <f t="shared" si="64"/>
        <v>0Unallocated</v>
      </c>
      <c r="AD278" t="e">
        <f t="shared" si="65"/>
        <v>#DIV/0!</v>
      </c>
    </row>
    <row r="279" spans="18:30" x14ac:dyDescent="0.25">
      <c r="R279" t="s">
        <v>67</v>
      </c>
      <c r="S279">
        <f>IF(COUNTIF($S$4:$S79,S79)=1,S79,0)</f>
        <v>0</v>
      </c>
      <c r="U279" t="str">
        <f t="shared" si="64"/>
        <v>0Unallocated</v>
      </c>
      <c r="AD279" t="e">
        <f t="shared" si="65"/>
        <v>#DIV/0!</v>
      </c>
    </row>
    <row r="280" spans="18:30" x14ac:dyDescent="0.25">
      <c r="R280" t="s">
        <v>67</v>
      </c>
      <c r="S280">
        <f>IF(COUNTIF($S$4:$S80,S80)=1,S80,0)</f>
        <v>0</v>
      </c>
      <c r="U280" t="str">
        <f t="shared" si="64"/>
        <v>0Unallocated</v>
      </c>
      <c r="AD280" t="e">
        <f t="shared" si="65"/>
        <v>#DIV/0!</v>
      </c>
    </row>
    <row r="281" spans="18:30" x14ac:dyDescent="0.25">
      <c r="R281" t="s">
        <v>67</v>
      </c>
      <c r="S281">
        <f>IF(COUNTIF($S$4:$S81,S81)=1,S81,0)</f>
        <v>0</v>
      </c>
      <c r="U281" t="str">
        <f t="shared" si="64"/>
        <v>0Unallocated</v>
      </c>
      <c r="AD281" t="e">
        <f t="shared" si="65"/>
        <v>#DIV/0!</v>
      </c>
    </row>
    <row r="282" spans="18:30" x14ac:dyDescent="0.25">
      <c r="R282" t="s">
        <v>67</v>
      </c>
      <c r="S282">
        <f>IF(COUNTIF($S$4:$S82,S82)=1,S82,0)</f>
        <v>0</v>
      </c>
      <c r="U282" t="str">
        <f t="shared" si="64"/>
        <v>0Unallocated</v>
      </c>
      <c r="AD282" t="e">
        <f t="shared" si="65"/>
        <v>#DIV/0!</v>
      </c>
    </row>
    <row r="283" spans="18:30" x14ac:dyDescent="0.25">
      <c r="R283" t="s">
        <v>67</v>
      </c>
      <c r="S283">
        <f>IF(COUNTIF($S$4:$S83,S83)=1,S83,0)</f>
        <v>0</v>
      </c>
      <c r="U283" t="str">
        <f t="shared" si="64"/>
        <v>0Unallocated</v>
      </c>
      <c r="AD283" t="e">
        <f t="shared" si="65"/>
        <v>#DIV/0!</v>
      </c>
    </row>
    <row r="284" spans="18:30" x14ac:dyDescent="0.25">
      <c r="R284" t="s">
        <v>67</v>
      </c>
      <c r="S284">
        <f>IF(COUNTIF($S$4:$S84,S84)=1,S84,0)</f>
        <v>0</v>
      </c>
      <c r="U284" t="str">
        <f t="shared" si="64"/>
        <v>0Unallocated</v>
      </c>
      <c r="AD284" t="e">
        <f t="shared" si="65"/>
        <v>#DIV/0!</v>
      </c>
    </row>
    <row r="285" spans="18:30" x14ac:dyDescent="0.25">
      <c r="R285" t="s">
        <v>67</v>
      </c>
      <c r="S285">
        <f>IF(COUNTIF($S$4:$S85,S85)=1,S85,0)</f>
        <v>0</v>
      </c>
      <c r="U285" t="str">
        <f t="shared" si="64"/>
        <v>0Unallocated</v>
      </c>
      <c r="AD285" t="e">
        <f t="shared" si="65"/>
        <v>#DIV/0!</v>
      </c>
    </row>
    <row r="286" spans="18:30" x14ac:dyDescent="0.25">
      <c r="R286" t="s">
        <v>67</v>
      </c>
      <c r="S286">
        <f>IF(COUNTIF($S$4:$S86,S86)=1,S86,0)</f>
        <v>0</v>
      </c>
      <c r="U286" t="str">
        <f t="shared" si="64"/>
        <v>0Unallocated</v>
      </c>
      <c r="AD286" t="e">
        <f t="shared" si="65"/>
        <v>#DIV/0!</v>
      </c>
    </row>
    <row r="287" spans="18:30" x14ac:dyDescent="0.25">
      <c r="R287" t="s">
        <v>67</v>
      </c>
      <c r="S287">
        <f>IF(COUNTIF($S$4:$S87,S87)=1,S87,0)</f>
        <v>0</v>
      </c>
      <c r="U287" t="str">
        <f t="shared" si="64"/>
        <v>0Unallocated</v>
      </c>
      <c r="AD287" t="e">
        <f t="shared" si="65"/>
        <v>#DIV/0!</v>
      </c>
    </row>
    <row r="288" spans="18:30" x14ac:dyDescent="0.25">
      <c r="R288" t="s">
        <v>67</v>
      </c>
      <c r="S288">
        <f>IF(COUNTIF($S$4:$S88,S88)=1,S88,0)</f>
        <v>0</v>
      </c>
      <c r="U288" t="str">
        <f t="shared" si="64"/>
        <v>0Unallocated</v>
      </c>
      <c r="AD288" t="e">
        <f t="shared" si="65"/>
        <v>#DIV/0!</v>
      </c>
    </row>
    <row r="289" spans="18:30" x14ac:dyDescent="0.25">
      <c r="R289" t="s">
        <v>67</v>
      </c>
      <c r="S289">
        <f>IF(COUNTIF($S$4:$S89,S89)=1,S89,0)</f>
        <v>0</v>
      </c>
      <c r="U289" t="str">
        <f t="shared" si="64"/>
        <v>0Unallocated</v>
      </c>
      <c r="AD289" t="e">
        <f t="shared" si="65"/>
        <v>#DIV/0!</v>
      </c>
    </row>
    <row r="290" spans="18:30" x14ac:dyDescent="0.25">
      <c r="R290" t="s">
        <v>67</v>
      </c>
      <c r="S290">
        <f>IF(COUNTIF($S$4:$S90,S90)=1,S90,0)</f>
        <v>0</v>
      </c>
      <c r="U290" t="str">
        <f t="shared" si="64"/>
        <v>0Unallocated</v>
      </c>
      <c r="AD290" t="e">
        <f t="shared" si="65"/>
        <v>#DIV/0!</v>
      </c>
    </row>
    <row r="291" spans="18:30" x14ac:dyDescent="0.25">
      <c r="R291" t="s">
        <v>67</v>
      </c>
      <c r="S291">
        <f>IF(COUNTIF($S$4:$S91,S91)=1,S91,0)</f>
        <v>0</v>
      </c>
      <c r="U291" t="str">
        <f t="shared" si="64"/>
        <v>0Unallocated</v>
      </c>
      <c r="AD291" t="e">
        <f t="shared" si="65"/>
        <v>#DIV/0!</v>
      </c>
    </row>
    <row r="292" spans="18:30" x14ac:dyDescent="0.25">
      <c r="R292" t="s">
        <v>67</v>
      </c>
      <c r="S292">
        <f>IF(COUNTIF($S$4:$S92,S92)=1,S92,0)</f>
        <v>0</v>
      </c>
      <c r="U292" t="str">
        <f t="shared" si="64"/>
        <v>0Unallocated</v>
      </c>
      <c r="AD292" t="e">
        <f t="shared" si="65"/>
        <v>#DIV/0!</v>
      </c>
    </row>
    <row r="293" spans="18:30" x14ac:dyDescent="0.25">
      <c r="R293" t="s">
        <v>67</v>
      </c>
      <c r="S293">
        <f>IF(COUNTIF($S$4:$S93,S93)=1,S93,0)</f>
        <v>0</v>
      </c>
      <c r="U293" t="str">
        <f t="shared" si="64"/>
        <v>0Unallocated</v>
      </c>
      <c r="AD293" t="e">
        <f t="shared" si="65"/>
        <v>#DIV/0!</v>
      </c>
    </row>
    <row r="294" spans="18:30" x14ac:dyDescent="0.25">
      <c r="R294" t="s">
        <v>67</v>
      </c>
      <c r="S294">
        <f>IF(COUNTIF($S$4:$S94,S94)=1,S94,0)</f>
        <v>0</v>
      </c>
      <c r="U294" t="str">
        <f t="shared" si="64"/>
        <v>0Unallocated</v>
      </c>
      <c r="AD294" t="e">
        <f t="shared" si="65"/>
        <v>#DIV/0!</v>
      </c>
    </row>
    <row r="295" spans="18:30" x14ac:dyDescent="0.25">
      <c r="R295" t="s">
        <v>67</v>
      </c>
      <c r="S295">
        <f>IF(COUNTIF($S$4:$S95,S95)=1,S95,0)</f>
        <v>0</v>
      </c>
      <c r="U295" t="str">
        <f t="shared" si="64"/>
        <v>0Unallocated</v>
      </c>
      <c r="AD295" t="e">
        <f t="shared" si="65"/>
        <v>#DIV/0!</v>
      </c>
    </row>
    <row r="296" spans="18:30" x14ac:dyDescent="0.25">
      <c r="R296" t="s">
        <v>67</v>
      </c>
      <c r="S296">
        <f>IF(COUNTIF($S$4:$S96,S96)=1,S96,0)</f>
        <v>0</v>
      </c>
      <c r="U296" t="str">
        <f t="shared" si="64"/>
        <v>0Unallocated</v>
      </c>
      <c r="AD296" t="e">
        <f t="shared" si="65"/>
        <v>#DIV/0!</v>
      </c>
    </row>
    <row r="297" spans="18:30" x14ac:dyDescent="0.25">
      <c r="R297" t="s">
        <v>67</v>
      </c>
      <c r="S297">
        <f>IF(COUNTIF($S$4:$S97,S97)=1,S97,0)</f>
        <v>0</v>
      </c>
      <c r="U297" t="str">
        <f t="shared" si="64"/>
        <v>0Unallocated</v>
      </c>
      <c r="AD297" t="e">
        <f t="shared" si="65"/>
        <v>#DIV/0!</v>
      </c>
    </row>
    <row r="298" spans="18:30" x14ac:dyDescent="0.25">
      <c r="R298" t="s">
        <v>67</v>
      </c>
      <c r="S298">
        <f>IF(COUNTIF($S$4:$S98,S98)=1,S98,0)</f>
        <v>0</v>
      </c>
      <c r="U298" t="str">
        <f t="shared" si="64"/>
        <v>0Unallocated</v>
      </c>
      <c r="AD298" t="e">
        <f t="shared" si="65"/>
        <v>#DIV/0!</v>
      </c>
    </row>
    <row r="299" spans="18:30" x14ac:dyDescent="0.25">
      <c r="R299" t="s">
        <v>67</v>
      </c>
      <c r="S299">
        <f>IF(COUNTIF($S$4:$S99,S99)=1,S99,0)</f>
        <v>0</v>
      </c>
      <c r="U299" t="str">
        <f t="shared" si="64"/>
        <v>0Unallocated</v>
      </c>
      <c r="AD299" t="e">
        <f t="shared" si="65"/>
        <v>#DIV/0!</v>
      </c>
    </row>
    <row r="300" spans="18:30" x14ac:dyDescent="0.25">
      <c r="R300" t="s">
        <v>67</v>
      </c>
      <c r="S300">
        <f>IF(COUNTIF($S$4:$S100,S100)=1,S100,0)</f>
        <v>0</v>
      </c>
      <c r="U300" t="str">
        <f t="shared" si="64"/>
        <v>0Unallocated</v>
      </c>
      <c r="AD300" t="e">
        <f t="shared" si="65"/>
        <v>#DIV/0!</v>
      </c>
    </row>
    <row r="301" spans="18:30" x14ac:dyDescent="0.25">
      <c r="R301" t="s">
        <v>67</v>
      </c>
      <c r="S301">
        <f>IF(COUNTIF($S$4:$S101,S101)=1,S101,0)</f>
        <v>0</v>
      </c>
      <c r="U301" t="str">
        <f t="shared" si="64"/>
        <v>0Unallocated</v>
      </c>
      <c r="AD301" t="e">
        <f t="shared" si="65"/>
        <v>#DIV/0!</v>
      </c>
    </row>
    <row r="302" spans="18:30" x14ac:dyDescent="0.25">
      <c r="R302" t="s">
        <v>67</v>
      </c>
      <c r="S302">
        <f>IF(COUNTIF($S$4:$S102,S102)=1,S102,0)</f>
        <v>0</v>
      </c>
      <c r="U302" t="str">
        <f t="shared" si="64"/>
        <v>0Unallocated</v>
      </c>
      <c r="AD302" t="e">
        <f t="shared" si="65"/>
        <v>#DIV/0!</v>
      </c>
    </row>
    <row r="303" spans="18:30" x14ac:dyDescent="0.25">
      <c r="R303" t="s">
        <v>67</v>
      </c>
      <c r="S303">
        <f>IF(COUNTIF($S$4:$S103,S103)=1,S103,0)</f>
        <v>0</v>
      </c>
      <c r="U303" t="str">
        <f t="shared" si="64"/>
        <v>0Unallocated</v>
      </c>
      <c r="AD303" t="e">
        <f t="shared" si="65"/>
        <v>#DIV/0!</v>
      </c>
    </row>
    <row r="304" spans="18:30" x14ac:dyDescent="0.25">
      <c r="R304" t="s">
        <v>67</v>
      </c>
      <c r="S304">
        <f>IF(COUNTIF($S$4:$S104,S104)=1,S104,0)</f>
        <v>0</v>
      </c>
      <c r="U304" t="str">
        <f t="shared" si="64"/>
        <v>0Unallocated</v>
      </c>
      <c r="AD304" t="e">
        <f t="shared" si="65"/>
        <v>#DIV/0!</v>
      </c>
    </row>
    <row r="305" spans="18:30" x14ac:dyDescent="0.25">
      <c r="R305" t="s">
        <v>67</v>
      </c>
      <c r="S305">
        <f>IF(COUNTIF($S$4:$S105,S105)=1,S105,0)</f>
        <v>0</v>
      </c>
      <c r="U305" t="str">
        <f t="shared" si="64"/>
        <v>0Unallocated</v>
      </c>
      <c r="AD305" t="e">
        <f t="shared" si="65"/>
        <v>#DIV/0!</v>
      </c>
    </row>
    <row r="306" spans="18:30" x14ac:dyDescent="0.25">
      <c r="R306" t="s">
        <v>67</v>
      </c>
      <c r="S306">
        <f>IF(COUNTIF($S$4:$S106,S106)=1,S106,0)</f>
        <v>0</v>
      </c>
      <c r="U306" t="str">
        <f t="shared" si="64"/>
        <v>0Unallocated</v>
      </c>
      <c r="AD306" t="e">
        <f t="shared" si="65"/>
        <v>#DIV/0!</v>
      </c>
    </row>
    <row r="307" spans="18:30" x14ac:dyDescent="0.25">
      <c r="R307" t="s">
        <v>67</v>
      </c>
      <c r="S307">
        <f>IF(COUNTIF($S$4:$S107,S107)=1,S107,0)</f>
        <v>0</v>
      </c>
      <c r="U307" t="str">
        <f t="shared" si="64"/>
        <v>0Unallocated</v>
      </c>
      <c r="AD307" t="e">
        <f t="shared" si="65"/>
        <v>#DIV/0!</v>
      </c>
    </row>
    <row r="308" spans="18:30" x14ac:dyDescent="0.25">
      <c r="R308" t="s">
        <v>67</v>
      </c>
      <c r="S308">
        <f>IF(COUNTIF($S$4:$S108,S108)=1,S108,0)</f>
        <v>0</v>
      </c>
      <c r="U308" t="str">
        <f t="shared" si="64"/>
        <v>0Unallocated</v>
      </c>
      <c r="AD308" t="e">
        <f t="shared" si="65"/>
        <v>#DIV/0!</v>
      </c>
    </row>
    <row r="309" spans="18:30" x14ac:dyDescent="0.25">
      <c r="R309" t="s">
        <v>67</v>
      </c>
      <c r="S309">
        <f>IF(COUNTIF($S$4:$S109,S109)=1,S109,0)</f>
        <v>0</v>
      </c>
      <c r="U309" t="str">
        <f t="shared" si="64"/>
        <v>0Unallocated</v>
      </c>
      <c r="AD309" t="e">
        <f t="shared" si="65"/>
        <v>#DIV/0!</v>
      </c>
    </row>
    <row r="310" spans="18:30" x14ac:dyDescent="0.25">
      <c r="R310" t="s">
        <v>67</v>
      </c>
      <c r="S310">
        <f>IF(COUNTIF($S$4:$S110,S110)=1,S110,0)</f>
        <v>0</v>
      </c>
      <c r="U310" t="str">
        <f t="shared" si="64"/>
        <v>0Unallocated</v>
      </c>
      <c r="AD310" t="e">
        <f t="shared" si="65"/>
        <v>#DIV/0!</v>
      </c>
    </row>
    <row r="311" spans="18:30" x14ac:dyDescent="0.25">
      <c r="R311" t="s">
        <v>67</v>
      </c>
      <c r="S311">
        <f>IF(COUNTIF($S$4:$S111,S111)=1,S111,0)</f>
        <v>0</v>
      </c>
      <c r="U311" t="str">
        <f t="shared" si="64"/>
        <v>0Unallocated</v>
      </c>
      <c r="AD311" t="e">
        <f t="shared" si="65"/>
        <v>#DIV/0!</v>
      </c>
    </row>
    <row r="312" spans="18:30" x14ac:dyDescent="0.25">
      <c r="R312" t="s">
        <v>67</v>
      </c>
      <c r="S312">
        <f>IF(COUNTIF($S$4:$S112,S112)=1,S112,0)</f>
        <v>0</v>
      </c>
      <c r="U312" t="str">
        <f t="shared" si="64"/>
        <v>0Unallocated</v>
      </c>
      <c r="AD312" t="e">
        <f t="shared" si="65"/>
        <v>#DIV/0!</v>
      </c>
    </row>
    <row r="313" spans="18:30" x14ac:dyDescent="0.25">
      <c r="R313" t="s">
        <v>67</v>
      </c>
      <c r="S313">
        <f>IF(COUNTIF($S$4:$S113,S113)=1,S113,0)</f>
        <v>0</v>
      </c>
      <c r="U313" t="str">
        <f t="shared" si="64"/>
        <v>0Unallocated</v>
      </c>
      <c r="AD313" t="e">
        <f t="shared" si="65"/>
        <v>#DIV/0!</v>
      </c>
    </row>
    <row r="314" spans="18:30" x14ac:dyDescent="0.25">
      <c r="R314" t="s">
        <v>67</v>
      </c>
      <c r="S314">
        <f>IF(COUNTIF($S$4:$S114,S114)=1,S114,0)</f>
        <v>0</v>
      </c>
      <c r="U314" t="str">
        <f t="shared" si="64"/>
        <v>0Unallocated</v>
      </c>
      <c r="AD314" t="e">
        <f t="shared" si="65"/>
        <v>#DIV/0!</v>
      </c>
    </row>
    <row r="315" spans="18:30" x14ac:dyDescent="0.25">
      <c r="R315" t="s">
        <v>67</v>
      </c>
      <c r="S315">
        <f>IF(COUNTIF($S$4:$S115,S115)=1,S115,0)</f>
        <v>0</v>
      </c>
      <c r="U315" t="str">
        <f t="shared" si="64"/>
        <v>0Unallocated</v>
      </c>
      <c r="AD315" t="e">
        <f t="shared" si="65"/>
        <v>#DIV/0!</v>
      </c>
    </row>
    <row r="316" spans="18:30" x14ac:dyDescent="0.25">
      <c r="R316" t="s">
        <v>67</v>
      </c>
      <c r="S316">
        <f>IF(COUNTIF($S$4:$S116,S116)=1,S116,0)</f>
        <v>0</v>
      </c>
      <c r="U316" t="str">
        <f t="shared" si="64"/>
        <v>0Unallocated</v>
      </c>
      <c r="AD316" t="e">
        <f t="shared" si="65"/>
        <v>#DIV/0!</v>
      </c>
    </row>
    <row r="317" spans="18:30" x14ac:dyDescent="0.25">
      <c r="R317" t="s">
        <v>67</v>
      </c>
      <c r="S317">
        <f>IF(COUNTIF($S$4:$S117,S117)=1,S117,0)</f>
        <v>0</v>
      </c>
      <c r="U317" t="str">
        <f t="shared" si="64"/>
        <v>0Unallocated</v>
      </c>
      <c r="AD317" t="e">
        <f t="shared" si="65"/>
        <v>#DIV/0!</v>
      </c>
    </row>
    <row r="318" spans="18:30" x14ac:dyDescent="0.25">
      <c r="R318" t="s">
        <v>67</v>
      </c>
      <c r="S318">
        <f>IF(COUNTIF($S$4:$S118,S118)=1,S118,0)</f>
        <v>0</v>
      </c>
      <c r="U318" t="str">
        <f t="shared" si="64"/>
        <v>0Unallocated</v>
      </c>
      <c r="AD318" t="e">
        <f t="shared" si="65"/>
        <v>#DIV/0!</v>
      </c>
    </row>
    <row r="319" spans="18:30" x14ac:dyDescent="0.25">
      <c r="R319" t="s">
        <v>67</v>
      </c>
      <c r="S319">
        <f>IF(COUNTIF($S$4:$S119,S119)=1,S119,0)</f>
        <v>0</v>
      </c>
      <c r="U319" t="str">
        <f t="shared" si="64"/>
        <v>0Unallocated</v>
      </c>
      <c r="AD319" t="e">
        <f t="shared" si="65"/>
        <v>#DIV/0!</v>
      </c>
    </row>
    <row r="320" spans="18:30" x14ac:dyDescent="0.25">
      <c r="R320" t="s">
        <v>67</v>
      </c>
      <c r="S320">
        <f>IF(COUNTIF($S$4:$S120,S120)=1,S120,0)</f>
        <v>0</v>
      </c>
      <c r="U320" t="str">
        <f t="shared" si="64"/>
        <v>0Unallocated</v>
      </c>
      <c r="AD320" t="e">
        <f t="shared" si="65"/>
        <v>#DIV/0!</v>
      </c>
    </row>
    <row r="321" spans="18:30" x14ac:dyDescent="0.25">
      <c r="R321" t="s">
        <v>67</v>
      </c>
      <c r="S321">
        <f>IF(COUNTIF($S$4:$S121,S121)=1,S121,0)</f>
        <v>0</v>
      </c>
      <c r="U321" t="str">
        <f t="shared" si="64"/>
        <v>0Unallocated</v>
      </c>
      <c r="AD321" t="e">
        <f t="shared" si="65"/>
        <v>#DIV/0!</v>
      </c>
    </row>
    <row r="322" spans="18:30" x14ac:dyDescent="0.25">
      <c r="R322" t="s">
        <v>67</v>
      </c>
      <c r="S322">
        <f>IF(COUNTIF($S$4:$S122,S122)=1,S122,0)</f>
        <v>0</v>
      </c>
      <c r="U322" t="str">
        <f t="shared" si="64"/>
        <v>0Unallocated</v>
      </c>
      <c r="AD322" t="e">
        <f t="shared" si="65"/>
        <v>#DIV/0!</v>
      </c>
    </row>
    <row r="323" spans="18:30" x14ac:dyDescent="0.25">
      <c r="R323" t="s">
        <v>67</v>
      </c>
      <c r="S323">
        <f>IF(COUNTIF($S$4:$S123,S123)=1,S123,0)</f>
        <v>0</v>
      </c>
      <c r="U323" t="str">
        <f t="shared" si="64"/>
        <v>0Unallocated</v>
      </c>
      <c r="AD323" t="e">
        <f t="shared" si="65"/>
        <v>#DIV/0!</v>
      </c>
    </row>
    <row r="324" spans="18:30" x14ac:dyDescent="0.25">
      <c r="R324" t="s">
        <v>67</v>
      </c>
      <c r="S324">
        <f>IF(COUNTIF($S$4:$S124,S124)=1,S124,0)</f>
        <v>0</v>
      </c>
      <c r="U324" t="str">
        <f t="shared" si="64"/>
        <v>0Unallocated</v>
      </c>
      <c r="AD324" t="e">
        <f t="shared" si="65"/>
        <v>#DIV/0!</v>
      </c>
    </row>
    <row r="325" spans="18:30" x14ac:dyDescent="0.25">
      <c r="R325" t="s">
        <v>67</v>
      </c>
      <c r="S325">
        <f>IF(COUNTIF($S$4:$S125,S125)=1,S125,0)</f>
        <v>0</v>
      </c>
      <c r="U325" t="str">
        <f t="shared" si="64"/>
        <v>0Unallocated</v>
      </c>
      <c r="AD325" t="e">
        <f t="shared" si="65"/>
        <v>#DIV/0!</v>
      </c>
    </row>
    <row r="326" spans="18:30" x14ac:dyDescent="0.25">
      <c r="R326" t="s">
        <v>67</v>
      </c>
      <c r="S326">
        <f>IF(COUNTIF($S$4:$S126,S126)=1,S126,0)</f>
        <v>0</v>
      </c>
      <c r="U326" t="str">
        <f t="shared" si="64"/>
        <v>0Unallocated</v>
      </c>
      <c r="AD326" t="e">
        <f t="shared" si="65"/>
        <v>#DIV/0!</v>
      </c>
    </row>
    <row r="327" spans="18:30" x14ac:dyDescent="0.25">
      <c r="R327" t="s">
        <v>67</v>
      </c>
      <c r="S327">
        <f>IF(COUNTIF($S$4:$S127,S127)=1,S127,0)</f>
        <v>0</v>
      </c>
      <c r="U327" t="str">
        <f t="shared" si="64"/>
        <v>0Unallocated</v>
      </c>
      <c r="AD327" t="e">
        <f t="shared" si="65"/>
        <v>#DIV/0!</v>
      </c>
    </row>
    <row r="328" spans="18:30" x14ac:dyDescent="0.25">
      <c r="R328" t="s">
        <v>67</v>
      </c>
      <c r="S328">
        <f>IF(COUNTIF($S$4:$S128,S128)=1,S128,0)</f>
        <v>0</v>
      </c>
      <c r="U328" t="str">
        <f t="shared" si="64"/>
        <v>0Unallocated</v>
      </c>
      <c r="AD328" t="e">
        <f t="shared" si="65"/>
        <v>#DIV/0!</v>
      </c>
    </row>
    <row r="329" spans="18:30" x14ac:dyDescent="0.25">
      <c r="R329" t="s">
        <v>67</v>
      </c>
      <c r="S329">
        <f>IF(COUNTIF($S$4:$S129,S129)=1,S129,0)</f>
        <v>0</v>
      </c>
      <c r="U329" t="str">
        <f t="shared" si="64"/>
        <v>0Unallocated</v>
      </c>
      <c r="AD329" t="e">
        <f t="shared" si="65"/>
        <v>#DIV/0!</v>
      </c>
    </row>
    <row r="330" spans="18:30" x14ac:dyDescent="0.25">
      <c r="R330" t="s">
        <v>67</v>
      </c>
      <c r="S330">
        <f>IF(COUNTIF($S$4:$S130,S130)=1,S130,0)</f>
        <v>0</v>
      </c>
      <c r="U330" t="str">
        <f t="shared" si="64"/>
        <v>0Unallocated</v>
      </c>
      <c r="AD330" t="e">
        <f t="shared" si="65"/>
        <v>#DIV/0!</v>
      </c>
    </row>
    <row r="331" spans="18:30" x14ac:dyDescent="0.25">
      <c r="R331" t="s">
        <v>67</v>
      </c>
      <c r="S331">
        <f>IF(COUNTIF($S$4:$S131,S131)=1,S131,0)</f>
        <v>0</v>
      </c>
      <c r="U331" t="str">
        <f t="shared" si="64"/>
        <v>0Unallocated</v>
      </c>
      <c r="AD331" t="e">
        <f t="shared" si="65"/>
        <v>#DIV/0!</v>
      </c>
    </row>
    <row r="332" spans="18:30" x14ac:dyDescent="0.25">
      <c r="R332" t="s">
        <v>67</v>
      </c>
      <c r="S332">
        <f>IF(COUNTIF($S$4:$S132,S132)=1,S132,0)</f>
        <v>0</v>
      </c>
      <c r="U332" t="str">
        <f t="shared" ref="U332:U395" si="66">+S332&amp;R332</f>
        <v>0Unallocated</v>
      </c>
      <c r="AD332" t="e">
        <f t="shared" si="65"/>
        <v>#DIV/0!</v>
      </c>
    </row>
    <row r="333" spans="18:30" x14ac:dyDescent="0.25">
      <c r="R333" t="s">
        <v>67</v>
      </c>
      <c r="S333">
        <f>IF(COUNTIF($S$4:$S133,S133)=1,S133,0)</f>
        <v>0</v>
      </c>
      <c r="U333" t="str">
        <f t="shared" si="66"/>
        <v>0Unallocated</v>
      </c>
      <c r="AD333" t="e">
        <f t="shared" ref="AD333:AD396" si="67">VLOOKUP(S333,$S$4:$AB$201,10,0)-SUMIF($S$4:$S$201,S333,$AD$4:$AD$201)</f>
        <v>#DIV/0!</v>
      </c>
    </row>
    <row r="334" spans="18:30" x14ac:dyDescent="0.25">
      <c r="R334" t="s">
        <v>67</v>
      </c>
      <c r="S334">
        <f>IF(COUNTIF($S$4:$S134,S134)=1,S134,0)</f>
        <v>0</v>
      </c>
      <c r="U334" t="str">
        <f t="shared" si="66"/>
        <v>0Unallocated</v>
      </c>
      <c r="AD334" t="e">
        <f t="shared" si="67"/>
        <v>#DIV/0!</v>
      </c>
    </row>
    <row r="335" spans="18:30" x14ac:dyDescent="0.25">
      <c r="R335" t="s">
        <v>67</v>
      </c>
      <c r="S335">
        <f>IF(COUNTIF($S$4:$S135,S135)=1,S135,0)</f>
        <v>0</v>
      </c>
      <c r="U335" t="str">
        <f t="shared" si="66"/>
        <v>0Unallocated</v>
      </c>
      <c r="AD335" t="e">
        <f t="shared" si="67"/>
        <v>#DIV/0!</v>
      </c>
    </row>
    <row r="336" spans="18:30" x14ac:dyDescent="0.25">
      <c r="R336" t="s">
        <v>67</v>
      </c>
      <c r="S336">
        <f>IF(COUNTIF($S$4:$S136,S136)=1,S136,0)</f>
        <v>0</v>
      </c>
      <c r="U336" t="str">
        <f t="shared" si="66"/>
        <v>0Unallocated</v>
      </c>
      <c r="AD336" t="e">
        <f t="shared" si="67"/>
        <v>#DIV/0!</v>
      </c>
    </row>
    <row r="337" spans="18:30" x14ac:dyDescent="0.25">
      <c r="R337" t="s">
        <v>67</v>
      </c>
      <c r="S337">
        <f>IF(COUNTIF($S$4:$S137,S137)=1,S137,0)</f>
        <v>0</v>
      </c>
      <c r="U337" t="str">
        <f t="shared" si="66"/>
        <v>0Unallocated</v>
      </c>
      <c r="AD337" t="e">
        <f t="shared" si="67"/>
        <v>#DIV/0!</v>
      </c>
    </row>
    <row r="338" spans="18:30" x14ac:dyDescent="0.25">
      <c r="R338" t="s">
        <v>67</v>
      </c>
      <c r="S338">
        <f>IF(COUNTIF($S$4:$S138,S138)=1,S138,0)</f>
        <v>0</v>
      </c>
      <c r="U338" t="str">
        <f t="shared" si="66"/>
        <v>0Unallocated</v>
      </c>
      <c r="AD338" t="e">
        <f t="shared" si="67"/>
        <v>#DIV/0!</v>
      </c>
    </row>
    <row r="339" spans="18:30" x14ac:dyDescent="0.25">
      <c r="R339" t="s">
        <v>67</v>
      </c>
      <c r="S339">
        <f>IF(COUNTIF($S$4:$S139,S139)=1,S139,0)</f>
        <v>0</v>
      </c>
      <c r="U339" t="str">
        <f t="shared" si="66"/>
        <v>0Unallocated</v>
      </c>
      <c r="AD339" t="e">
        <f t="shared" si="67"/>
        <v>#DIV/0!</v>
      </c>
    </row>
    <row r="340" spans="18:30" x14ac:dyDescent="0.25">
      <c r="R340" t="s">
        <v>67</v>
      </c>
      <c r="S340">
        <f>IF(COUNTIF($S$4:$S140,S140)=1,S140,0)</f>
        <v>0</v>
      </c>
      <c r="U340" t="str">
        <f t="shared" si="66"/>
        <v>0Unallocated</v>
      </c>
      <c r="AD340" t="e">
        <f t="shared" si="67"/>
        <v>#DIV/0!</v>
      </c>
    </row>
    <row r="341" spans="18:30" x14ac:dyDescent="0.25">
      <c r="R341" t="s">
        <v>67</v>
      </c>
      <c r="S341">
        <f>IF(COUNTIF($S$4:$S141,S141)=1,S141,0)</f>
        <v>0</v>
      </c>
      <c r="U341" t="str">
        <f t="shared" si="66"/>
        <v>0Unallocated</v>
      </c>
      <c r="AD341" t="e">
        <f t="shared" si="67"/>
        <v>#DIV/0!</v>
      </c>
    </row>
    <row r="342" spans="18:30" x14ac:dyDescent="0.25">
      <c r="R342" t="s">
        <v>67</v>
      </c>
      <c r="S342">
        <f>IF(COUNTIF($S$4:$S142,S142)=1,S142,0)</f>
        <v>0</v>
      </c>
      <c r="U342" t="str">
        <f t="shared" si="66"/>
        <v>0Unallocated</v>
      </c>
      <c r="AD342" t="e">
        <f t="shared" si="67"/>
        <v>#DIV/0!</v>
      </c>
    </row>
    <row r="343" spans="18:30" x14ac:dyDescent="0.25">
      <c r="R343" t="s">
        <v>67</v>
      </c>
      <c r="S343">
        <f>IF(COUNTIF($S$4:$S143,S143)=1,S143,0)</f>
        <v>0</v>
      </c>
      <c r="U343" t="str">
        <f t="shared" si="66"/>
        <v>0Unallocated</v>
      </c>
      <c r="AD343" t="e">
        <f t="shared" si="67"/>
        <v>#DIV/0!</v>
      </c>
    </row>
    <row r="344" spans="18:30" x14ac:dyDescent="0.25">
      <c r="R344" t="s">
        <v>67</v>
      </c>
      <c r="S344">
        <f>IF(COUNTIF($S$4:$S144,S144)=1,S144,0)</f>
        <v>0</v>
      </c>
      <c r="U344" t="str">
        <f t="shared" si="66"/>
        <v>0Unallocated</v>
      </c>
      <c r="AD344" t="e">
        <f t="shared" si="67"/>
        <v>#DIV/0!</v>
      </c>
    </row>
    <row r="345" spans="18:30" x14ac:dyDescent="0.25">
      <c r="R345" t="s">
        <v>67</v>
      </c>
      <c r="S345">
        <f>IF(COUNTIF($S$4:$S145,S145)=1,S145,0)</f>
        <v>0</v>
      </c>
      <c r="U345" t="str">
        <f t="shared" si="66"/>
        <v>0Unallocated</v>
      </c>
      <c r="AD345" t="e">
        <f t="shared" si="67"/>
        <v>#DIV/0!</v>
      </c>
    </row>
    <row r="346" spans="18:30" x14ac:dyDescent="0.25">
      <c r="R346" t="s">
        <v>67</v>
      </c>
      <c r="S346">
        <f>IF(COUNTIF($S$4:$S146,S146)=1,S146,0)</f>
        <v>0</v>
      </c>
      <c r="U346" t="str">
        <f t="shared" si="66"/>
        <v>0Unallocated</v>
      </c>
      <c r="AD346" t="e">
        <f t="shared" si="67"/>
        <v>#DIV/0!</v>
      </c>
    </row>
    <row r="347" spans="18:30" x14ac:dyDescent="0.25">
      <c r="R347" t="s">
        <v>67</v>
      </c>
      <c r="S347">
        <f>IF(COUNTIF($S$4:$S147,S147)=1,S147,0)</f>
        <v>0</v>
      </c>
      <c r="U347" t="str">
        <f t="shared" si="66"/>
        <v>0Unallocated</v>
      </c>
      <c r="AD347" t="e">
        <f t="shared" si="67"/>
        <v>#DIV/0!</v>
      </c>
    </row>
    <row r="348" spans="18:30" x14ac:dyDescent="0.25">
      <c r="R348" t="s">
        <v>67</v>
      </c>
      <c r="S348">
        <f>IF(COUNTIF($S$4:$S148,S148)=1,S148,0)</f>
        <v>0</v>
      </c>
      <c r="U348" t="str">
        <f t="shared" si="66"/>
        <v>0Unallocated</v>
      </c>
      <c r="AD348" t="e">
        <f t="shared" si="67"/>
        <v>#DIV/0!</v>
      </c>
    </row>
    <row r="349" spans="18:30" x14ac:dyDescent="0.25">
      <c r="R349" t="s">
        <v>67</v>
      </c>
      <c r="S349">
        <f>IF(COUNTIF($S$4:$S149,S149)=1,S149,0)</f>
        <v>0</v>
      </c>
      <c r="U349" t="str">
        <f t="shared" si="66"/>
        <v>0Unallocated</v>
      </c>
      <c r="AD349" t="e">
        <f t="shared" si="67"/>
        <v>#DIV/0!</v>
      </c>
    </row>
    <row r="350" spans="18:30" x14ac:dyDescent="0.25">
      <c r="R350" t="s">
        <v>67</v>
      </c>
      <c r="S350">
        <f>IF(COUNTIF($S$4:$S150,S150)=1,S150,0)</f>
        <v>0</v>
      </c>
      <c r="U350" t="str">
        <f t="shared" si="66"/>
        <v>0Unallocated</v>
      </c>
      <c r="AD350" t="e">
        <f t="shared" si="67"/>
        <v>#DIV/0!</v>
      </c>
    </row>
    <row r="351" spans="18:30" x14ac:dyDescent="0.25">
      <c r="R351" t="s">
        <v>67</v>
      </c>
      <c r="S351">
        <f>IF(COUNTIF($S$4:$S151,S151)=1,S151,0)</f>
        <v>0</v>
      </c>
      <c r="U351" t="str">
        <f t="shared" si="66"/>
        <v>0Unallocated</v>
      </c>
      <c r="AD351" t="e">
        <f t="shared" si="67"/>
        <v>#DIV/0!</v>
      </c>
    </row>
    <row r="352" spans="18:30" x14ac:dyDescent="0.25">
      <c r="R352" t="s">
        <v>67</v>
      </c>
      <c r="S352">
        <f>IF(COUNTIF($S$4:$S152,S152)=1,S152,0)</f>
        <v>0</v>
      </c>
      <c r="U352" t="str">
        <f t="shared" si="66"/>
        <v>0Unallocated</v>
      </c>
      <c r="AD352" t="e">
        <f t="shared" si="67"/>
        <v>#DIV/0!</v>
      </c>
    </row>
    <row r="353" spans="18:30" x14ac:dyDescent="0.25">
      <c r="R353" t="s">
        <v>67</v>
      </c>
      <c r="S353">
        <f>IF(COUNTIF($S$4:$S153,S153)=1,S153,0)</f>
        <v>0</v>
      </c>
      <c r="U353" t="str">
        <f t="shared" si="66"/>
        <v>0Unallocated</v>
      </c>
      <c r="AD353" t="e">
        <f t="shared" si="67"/>
        <v>#DIV/0!</v>
      </c>
    </row>
    <row r="354" spans="18:30" x14ac:dyDescent="0.25">
      <c r="R354" t="s">
        <v>67</v>
      </c>
      <c r="S354">
        <f>IF(COUNTIF($S$4:$S154,S154)=1,S154,0)</f>
        <v>0</v>
      </c>
      <c r="U354" t="str">
        <f t="shared" si="66"/>
        <v>0Unallocated</v>
      </c>
      <c r="AD354" t="e">
        <f t="shared" si="67"/>
        <v>#DIV/0!</v>
      </c>
    </row>
    <row r="355" spans="18:30" x14ac:dyDescent="0.25">
      <c r="R355" t="s">
        <v>67</v>
      </c>
      <c r="S355">
        <f>IF(COUNTIF($S$4:$S155,S155)=1,S155,0)</f>
        <v>0</v>
      </c>
      <c r="U355" t="str">
        <f t="shared" si="66"/>
        <v>0Unallocated</v>
      </c>
      <c r="AD355" t="e">
        <f t="shared" si="67"/>
        <v>#DIV/0!</v>
      </c>
    </row>
    <row r="356" spans="18:30" x14ac:dyDescent="0.25">
      <c r="R356" t="s">
        <v>67</v>
      </c>
      <c r="S356">
        <f>IF(COUNTIF($S$4:$S156,S156)=1,S156,0)</f>
        <v>0</v>
      </c>
      <c r="U356" t="str">
        <f t="shared" si="66"/>
        <v>0Unallocated</v>
      </c>
      <c r="AD356" t="e">
        <f t="shared" si="67"/>
        <v>#DIV/0!</v>
      </c>
    </row>
    <row r="357" spans="18:30" x14ac:dyDescent="0.25">
      <c r="R357" t="s">
        <v>67</v>
      </c>
      <c r="S357">
        <f>IF(COUNTIF($S$4:$S157,S157)=1,S157,0)</f>
        <v>0</v>
      </c>
      <c r="U357" t="str">
        <f t="shared" si="66"/>
        <v>0Unallocated</v>
      </c>
      <c r="AD357" t="e">
        <f t="shared" si="67"/>
        <v>#DIV/0!</v>
      </c>
    </row>
    <row r="358" spans="18:30" x14ac:dyDescent="0.25">
      <c r="R358" t="s">
        <v>67</v>
      </c>
      <c r="S358">
        <f>IF(COUNTIF($S$4:$S158,S158)=1,S158,0)</f>
        <v>0</v>
      </c>
      <c r="U358" t="str">
        <f t="shared" si="66"/>
        <v>0Unallocated</v>
      </c>
      <c r="AD358" t="e">
        <f t="shared" si="67"/>
        <v>#DIV/0!</v>
      </c>
    </row>
    <row r="359" spans="18:30" x14ac:dyDescent="0.25">
      <c r="R359" t="s">
        <v>67</v>
      </c>
      <c r="S359">
        <f>IF(COUNTIF($S$4:$S159,S159)=1,S159,0)</f>
        <v>0</v>
      </c>
      <c r="U359" t="str">
        <f t="shared" si="66"/>
        <v>0Unallocated</v>
      </c>
      <c r="AD359" t="e">
        <f t="shared" si="67"/>
        <v>#DIV/0!</v>
      </c>
    </row>
    <row r="360" spans="18:30" x14ac:dyDescent="0.25">
      <c r="R360" t="s">
        <v>67</v>
      </c>
      <c r="S360">
        <f>IF(COUNTIF($S$4:$S160,S160)=1,S160,0)</f>
        <v>0</v>
      </c>
      <c r="U360" t="str">
        <f t="shared" si="66"/>
        <v>0Unallocated</v>
      </c>
      <c r="AD360" t="e">
        <f t="shared" si="67"/>
        <v>#DIV/0!</v>
      </c>
    </row>
    <row r="361" spans="18:30" x14ac:dyDescent="0.25">
      <c r="R361" t="s">
        <v>67</v>
      </c>
      <c r="S361">
        <f>IF(COUNTIF($S$4:$S161,S161)=1,S161,0)</f>
        <v>0</v>
      </c>
      <c r="U361" t="str">
        <f t="shared" si="66"/>
        <v>0Unallocated</v>
      </c>
      <c r="AD361" t="e">
        <f t="shared" si="67"/>
        <v>#DIV/0!</v>
      </c>
    </row>
    <row r="362" spans="18:30" x14ac:dyDescent="0.25">
      <c r="R362" t="s">
        <v>67</v>
      </c>
      <c r="S362">
        <f>IF(COUNTIF($S$4:$S162,S162)=1,S162,0)</f>
        <v>0</v>
      </c>
      <c r="U362" t="str">
        <f t="shared" si="66"/>
        <v>0Unallocated</v>
      </c>
      <c r="AD362" t="e">
        <f t="shared" si="67"/>
        <v>#DIV/0!</v>
      </c>
    </row>
    <row r="363" spans="18:30" x14ac:dyDescent="0.25">
      <c r="R363" t="s">
        <v>67</v>
      </c>
      <c r="S363">
        <f>IF(COUNTIF($S$4:$S163,S163)=1,S163,0)</f>
        <v>0</v>
      </c>
      <c r="U363" t="str">
        <f t="shared" si="66"/>
        <v>0Unallocated</v>
      </c>
      <c r="AD363" t="e">
        <f t="shared" si="67"/>
        <v>#DIV/0!</v>
      </c>
    </row>
    <row r="364" spans="18:30" x14ac:dyDescent="0.25">
      <c r="R364" t="s">
        <v>67</v>
      </c>
      <c r="S364">
        <f>IF(COUNTIF($S$4:$S164,S164)=1,S164,0)</f>
        <v>0</v>
      </c>
      <c r="U364" t="str">
        <f t="shared" si="66"/>
        <v>0Unallocated</v>
      </c>
      <c r="AD364" t="e">
        <f t="shared" si="67"/>
        <v>#DIV/0!</v>
      </c>
    </row>
    <row r="365" spans="18:30" x14ac:dyDescent="0.25">
      <c r="R365" t="s">
        <v>67</v>
      </c>
      <c r="S365">
        <f>IF(COUNTIF($S$4:$S165,S165)=1,S165,0)</f>
        <v>0</v>
      </c>
      <c r="U365" t="str">
        <f t="shared" si="66"/>
        <v>0Unallocated</v>
      </c>
      <c r="AD365" t="e">
        <f t="shared" si="67"/>
        <v>#DIV/0!</v>
      </c>
    </row>
    <row r="366" spans="18:30" x14ac:dyDescent="0.25">
      <c r="R366" t="s">
        <v>67</v>
      </c>
      <c r="S366">
        <f>IF(COUNTIF($S$4:$S166,S166)=1,S166,0)</f>
        <v>0</v>
      </c>
      <c r="U366" t="str">
        <f t="shared" si="66"/>
        <v>0Unallocated</v>
      </c>
      <c r="AD366" t="e">
        <f t="shared" si="67"/>
        <v>#DIV/0!</v>
      </c>
    </row>
    <row r="367" spans="18:30" x14ac:dyDescent="0.25">
      <c r="R367" t="s">
        <v>67</v>
      </c>
      <c r="S367">
        <f>IF(COUNTIF($S$4:$S167,S167)=1,S167,0)</f>
        <v>0</v>
      </c>
      <c r="U367" t="str">
        <f t="shared" si="66"/>
        <v>0Unallocated</v>
      </c>
      <c r="AD367" t="e">
        <f t="shared" si="67"/>
        <v>#DIV/0!</v>
      </c>
    </row>
    <row r="368" spans="18:30" x14ac:dyDescent="0.25">
      <c r="R368" t="s">
        <v>67</v>
      </c>
      <c r="S368">
        <f>IF(COUNTIF($S$4:$S168,S168)=1,S168,0)</f>
        <v>0</v>
      </c>
      <c r="U368" t="str">
        <f t="shared" si="66"/>
        <v>0Unallocated</v>
      </c>
      <c r="AD368" t="e">
        <f t="shared" si="67"/>
        <v>#DIV/0!</v>
      </c>
    </row>
    <row r="369" spans="18:30" x14ac:dyDescent="0.25">
      <c r="R369" t="s">
        <v>67</v>
      </c>
      <c r="S369">
        <f>IF(COUNTIF($S$4:$S169,S169)=1,S169,0)</f>
        <v>0</v>
      </c>
      <c r="U369" t="str">
        <f t="shared" si="66"/>
        <v>0Unallocated</v>
      </c>
      <c r="AD369" t="e">
        <f t="shared" si="67"/>
        <v>#DIV/0!</v>
      </c>
    </row>
    <row r="370" spans="18:30" x14ac:dyDescent="0.25">
      <c r="R370" t="s">
        <v>67</v>
      </c>
      <c r="S370">
        <f>IF(COUNTIF($S$4:$S170,S170)=1,S170,0)</f>
        <v>0</v>
      </c>
      <c r="U370" t="str">
        <f t="shared" si="66"/>
        <v>0Unallocated</v>
      </c>
      <c r="AD370" t="e">
        <f t="shared" si="67"/>
        <v>#DIV/0!</v>
      </c>
    </row>
    <row r="371" spans="18:30" x14ac:dyDescent="0.25">
      <c r="R371" t="s">
        <v>67</v>
      </c>
      <c r="S371">
        <f>IF(COUNTIF($S$4:$S171,S171)=1,S171,0)</f>
        <v>0</v>
      </c>
      <c r="U371" t="str">
        <f t="shared" si="66"/>
        <v>0Unallocated</v>
      </c>
      <c r="AD371" t="e">
        <f t="shared" si="67"/>
        <v>#DIV/0!</v>
      </c>
    </row>
    <row r="372" spans="18:30" x14ac:dyDescent="0.25">
      <c r="R372" t="s">
        <v>67</v>
      </c>
      <c r="S372">
        <f>IF(COUNTIF($S$4:$S172,S172)=1,S172,0)</f>
        <v>0</v>
      </c>
      <c r="U372" t="str">
        <f t="shared" si="66"/>
        <v>0Unallocated</v>
      </c>
      <c r="AD372" t="e">
        <f t="shared" si="67"/>
        <v>#DIV/0!</v>
      </c>
    </row>
    <row r="373" spans="18:30" x14ac:dyDescent="0.25">
      <c r="R373" t="s">
        <v>67</v>
      </c>
      <c r="S373">
        <f>IF(COUNTIF($S$4:$S173,S173)=1,S173,0)</f>
        <v>0</v>
      </c>
      <c r="U373" t="str">
        <f t="shared" si="66"/>
        <v>0Unallocated</v>
      </c>
      <c r="AD373" t="e">
        <f t="shared" si="67"/>
        <v>#DIV/0!</v>
      </c>
    </row>
    <row r="374" spans="18:30" x14ac:dyDescent="0.25">
      <c r="R374" t="s">
        <v>67</v>
      </c>
      <c r="S374">
        <f>IF(COUNTIF($S$4:$S174,S174)=1,S174,0)</f>
        <v>0</v>
      </c>
      <c r="U374" t="str">
        <f t="shared" si="66"/>
        <v>0Unallocated</v>
      </c>
      <c r="AD374" t="e">
        <f t="shared" si="67"/>
        <v>#DIV/0!</v>
      </c>
    </row>
    <row r="375" spans="18:30" x14ac:dyDescent="0.25">
      <c r="R375" t="s">
        <v>67</v>
      </c>
      <c r="S375">
        <f>IF(COUNTIF($S$4:$S175,S175)=1,S175,0)</f>
        <v>0</v>
      </c>
      <c r="U375" t="str">
        <f t="shared" si="66"/>
        <v>0Unallocated</v>
      </c>
      <c r="AD375" t="e">
        <f t="shared" si="67"/>
        <v>#DIV/0!</v>
      </c>
    </row>
    <row r="376" spans="18:30" x14ac:dyDescent="0.25">
      <c r="R376" t="s">
        <v>67</v>
      </c>
      <c r="S376">
        <f>IF(COUNTIF($S$4:$S176,S176)=1,S176,0)</f>
        <v>0</v>
      </c>
      <c r="U376" t="str">
        <f t="shared" si="66"/>
        <v>0Unallocated</v>
      </c>
      <c r="AD376" t="e">
        <f t="shared" si="67"/>
        <v>#DIV/0!</v>
      </c>
    </row>
    <row r="377" spans="18:30" x14ac:dyDescent="0.25">
      <c r="R377" t="s">
        <v>67</v>
      </c>
      <c r="S377">
        <f>IF(COUNTIF($S$4:$S177,S177)=1,S177,0)</f>
        <v>0</v>
      </c>
      <c r="U377" t="str">
        <f t="shared" si="66"/>
        <v>0Unallocated</v>
      </c>
      <c r="AD377" t="e">
        <f t="shared" si="67"/>
        <v>#DIV/0!</v>
      </c>
    </row>
    <row r="378" spans="18:30" x14ac:dyDescent="0.25">
      <c r="R378" t="s">
        <v>67</v>
      </c>
      <c r="S378">
        <f>IF(COUNTIF($S$4:$S178,S178)=1,S178,0)</f>
        <v>0</v>
      </c>
      <c r="U378" t="str">
        <f t="shared" si="66"/>
        <v>0Unallocated</v>
      </c>
      <c r="AD378" t="e">
        <f t="shared" si="67"/>
        <v>#DIV/0!</v>
      </c>
    </row>
    <row r="379" spans="18:30" x14ac:dyDescent="0.25">
      <c r="R379" t="s">
        <v>67</v>
      </c>
      <c r="S379">
        <f>IF(COUNTIF($S$4:$S179,S179)=1,S179,0)</f>
        <v>0</v>
      </c>
      <c r="U379" t="str">
        <f t="shared" si="66"/>
        <v>0Unallocated</v>
      </c>
      <c r="AD379" t="e">
        <f t="shared" si="67"/>
        <v>#DIV/0!</v>
      </c>
    </row>
    <row r="380" spans="18:30" x14ac:dyDescent="0.25">
      <c r="R380" t="s">
        <v>67</v>
      </c>
      <c r="S380">
        <f>IF(COUNTIF($S$4:$S180,S180)=1,S180,0)</f>
        <v>0</v>
      </c>
      <c r="U380" t="str">
        <f t="shared" si="66"/>
        <v>0Unallocated</v>
      </c>
      <c r="AD380" t="e">
        <f t="shared" si="67"/>
        <v>#DIV/0!</v>
      </c>
    </row>
    <row r="381" spans="18:30" x14ac:dyDescent="0.25">
      <c r="R381" t="s">
        <v>67</v>
      </c>
      <c r="S381">
        <f>IF(COUNTIF($S$4:$S181,S181)=1,S181,0)</f>
        <v>0</v>
      </c>
      <c r="U381" t="str">
        <f t="shared" si="66"/>
        <v>0Unallocated</v>
      </c>
      <c r="AD381" t="e">
        <f t="shared" si="67"/>
        <v>#DIV/0!</v>
      </c>
    </row>
    <row r="382" spans="18:30" x14ac:dyDescent="0.25">
      <c r="R382" t="s">
        <v>67</v>
      </c>
      <c r="S382">
        <f>IF(COUNTIF($S$4:$S182,S182)=1,S182,0)</f>
        <v>0</v>
      </c>
      <c r="U382" t="str">
        <f t="shared" si="66"/>
        <v>0Unallocated</v>
      </c>
      <c r="AD382" t="e">
        <f t="shared" si="67"/>
        <v>#DIV/0!</v>
      </c>
    </row>
    <row r="383" spans="18:30" x14ac:dyDescent="0.25">
      <c r="R383" t="s">
        <v>67</v>
      </c>
      <c r="S383">
        <f>IF(COUNTIF($S$4:$S183,S183)=1,S183,0)</f>
        <v>0</v>
      </c>
      <c r="U383" t="str">
        <f t="shared" si="66"/>
        <v>0Unallocated</v>
      </c>
      <c r="AD383" t="e">
        <f t="shared" si="67"/>
        <v>#DIV/0!</v>
      </c>
    </row>
    <row r="384" spans="18:30" x14ac:dyDescent="0.25">
      <c r="R384" t="s">
        <v>67</v>
      </c>
      <c r="S384">
        <f>IF(COUNTIF($S$4:$S184,S184)=1,S184,0)</f>
        <v>0</v>
      </c>
      <c r="U384" t="str">
        <f t="shared" si="66"/>
        <v>0Unallocated</v>
      </c>
      <c r="AD384" t="e">
        <f t="shared" si="67"/>
        <v>#DIV/0!</v>
      </c>
    </row>
    <row r="385" spans="18:30" x14ac:dyDescent="0.25">
      <c r="R385" t="s">
        <v>67</v>
      </c>
      <c r="S385">
        <f>IF(COUNTIF($S$4:$S185,S185)=1,S185,0)</f>
        <v>0</v>
      </c>
      <c r="U385" t="str">
        <f t="shared" si="66"/>
        <v>0Unallocated</v>
      </c>
      <c r="AD385" t="e">
        <f t="shared" si="67"/>
        <v>#DIV/0!</v>
      </c>
    </row>
    <row r="386" spans="18:30" x14ac:dyDescent="0.25">
      <c r="R386" t="s">
        <v>67</v>
      </c>
      <c r="S386">
        <f>IF(COUNTIF($S$4:$S186,S186)=1,S186,0)</f>
        <v>0</v>
      </c>
      <c r="U386" t="str">
        <f t="shared" si="66"/>
        <v>0Unallocated</v>
      </c>
      <c r="AD386" t="e">
        <f t="shared" si="67"/>
        <v>#DIV/0!</v>
      </c>
    </row>
    <row r="387" spans="18:30" x14ac:dyDescent="0.25">
      <c r="R387" t="s">
        <v>67</v>
      </c>
      <c r="S387">
        <f>IF(COUNTIF($S$4:$S187,S187)=1,S187,0)</f>
        <v>0</v>
      </c>
      <c r="U387" t="str">
        <f t="shared" si="66"/>
        <v>0Unallocated</v>
      </c>
      <c r="AD387" t="e">
        <f t="shared" si="67"/>
        <v>#DIV/0!</v>
      </c>
    </row>
    <row r="388" spans="18:30" x14ac:dyDescent="0.25">
      <c r="R388" t="s">
        <v>67</v>
      </c>
      <c r="S388">
        <f>IF(COUNTIF($S$4:$S188,S188)=1,S188,0)</f>
        <v>0</v>
      </c>
      <c r="U388" t="str">
        <f t="shared" si="66"/>
        <v>0Unallocated</v>
      </c>
      <c r="AD388" t="e">
        <f t="shared" si="67"/>
        <v>#DIV/0!</v>
      </c>
    </row>
    <row r="389" spans="18:30" x14ac:dyDescent="0.25">
      <c r="R389" t="s">
        <v>67</v>
      </c>
      <c r="S389">
        <f>IF(COUNTIF($S$4:$S189,S189)=1,S189,0)</f>
        <v>0</v>
      </c>
      <c r="U389" t="str">
        <f t="shared" si="66"/>
        <v>0Unallocated</v>
      </c>
      <c r="AD389" t="e">
        <f t="shared" si="67"/>
        <v>#DIV/0!</v>
      </c>
    </row>
    <row r="390" spans="18:30" x14ac:dyDescent="0.25">
      <c r="R390" t="s">
        <v>67</v>
      </c>
      <c r="S390">
        <f>IF(COUNTIF($S$4:$S190,S190)=1,S190,0)</f>
        <v>0</v>
      </c>
      <c r="U390" t="str">
        <f t="shared" si="66"/>
        <v>0Unallocated</v>
      </c>
      <c r="AD390" t="e">
        <f t="shared" si="67"/>
        <v>#DIV/0!</v>
      </c>
    </row>
    <row r="391" spans="18:30" x14ac:dyDescent="0.25">
      <c r="R391" t="s">
        <v>67</v>
      </c>
      <c r="S391">
        <f>IF(COUNTIF($S$4:$S191,S191)=1,S191,0)</f>
        <v>0</v>
      </c>
      <c r="U391" t="str">
        <f t="shared" si="66"/>
        <v>0Unallocated</v>
      </c>
      <c r="AD391" t="e">
        <f t="shared" si="67"/>
        <v>#DIV/0!</v>
      </c>
    </row>
    <row r="392" spans="18:30" x14ac:dyDescent="0.25">
      <c r="R392" t="s">
        <v>67</v>
      </c>
      <c r="S392">
        <f>IF(COUNTIF($S$4:$S192,S192)=1,S192,0)</f>
        <v>0</v>
      </c>
      <c r="U392" t="str">
        <f t="shared" si="66"/>
        <v>0Unallocated</v>
      </c>
      <c r="AD392" t="e">
        <f t="shared" si="67"/>
        <v>#DIV/0!</v>
      </c>
    </row>
    <row r="393" spans="18:30" x14ac:dyDescent="0.25">
      <c r="R393" t="s">
        <v>67</v>
      </c>
      <c r="S393">
        <f>IF(COUNTIF($S$4:$S193,S193)=1,S193,0)</f>
        <v>0</v>
      </c>
      <c r="U393" t="str">
        <f t="shared" si="66"/>
        <v>0Unallocated</v>
      </c>
      <c r="AD393" t="e">
        <f t="shared" si="67"/>
        <v>#DIV/0!</v>
      </c>
    </row>
    <row r="394" spans="18:30" x14ac:dyDescent="0.25">
      <c r="R394" t="s">
        <v>67</v>
      </c>
      <c r="S394">
        <f>IF(COUNTIF($S$4:$S194,S194)=1,S194,0)</f>
        <v>0</v>
      </c>
      <c r="U394" t="str">
        <f t="shared" si="66"/>
        <v>0Unallocated</v>
      </c>
      <c r="AD394" t="e">
        <f t="shared" si="67"/>
        <v>#DIV/0!</v>
      </c>
    </row>
    <row r="395" spans="18:30" x14ac:dyDescent="0.25">
      <c r="R395" t="s">
        <v>67</v>
      </c>
      <c r="S395">
        <f>IF(COUNTIF($S$4:$S195,S195)=1,S195,0)</f>
        <v>0</v>
      </c>
      <c r="U395" t="str">
        <f t="shared" si="66"/>
        <v>0Unallocated</v>
      </c>
      <c r="AD395" t="e">
        <f t="shared" si="67"/>
        <v>#DIV/0!</v>
      </c>
    </row>
    <row r="396" spans="18:30" x14ac:dyDescent="0.25">
      <c r="R396" t="s">
        <v>67</v>
      </c>
      <c r="S396">
        <f>IF(COUNTIF($S$4:$S196,S196)=1,S196,0)</f>
        <v>0</v>
      </c>
      <c r="U396" t="str">
        <f t="shared" ref="U396:U401" si="68">+S396&amp;R396</f>
        <v>0Unallocated</v>
      </c>
      <c r="AD396" t="e">
        <f t="shared" si="67"/>
        <v>#DIV/0!</v>
      </c>
    </row>
    <row r="397" spans="18:30" x14ac:dyDescent="0.25">
      <c r="R397" t="s">
        <v>67</v>
      </c>
      <c r="S397">
        <f>IF(COUNTIF($S$4:$S197,S197)=1,S197,0)</f>
        <v>0</v>
      </c>
      <c r="U397" t="str">
        <f t="shared" si="68"/>
        <v>0Unallocated</v>
      </c>
      <c r="AD397" t="e">
        <f t="shared" ref="AD397:AD401" si="69">VLOOKUP(S397,$S$4:$AB$201,10,0)-SUMIF($S$4:$S$201,S397,$AD$4:$AD$201)</f>
        <v>#DIV/0!</v>
      </c>
    </row>
    <row r="398" spans="18:30" x14ac:dyDescent="0.25">
      <c r="R398" t="s">
        <v>67</v>
      </c>
      <c r="S398">
        <f>IF(COUNTIF($S$4:$S198,S198)=1,S198,0)</f>
        <v>0</v>
      </c>
      <c r="U398" t="str">
        <f t="shared" si="68"/>
        <v>0Unallocated</v>
      </c>
      <c r="AD398" t="e">
        <f t="shared" si="69"/>
        <v>#DIV/0!</v>
      </c>
    </row>
    <row r="399" spans="18:30" x14ac:dyDescent="0.25">
      <c r="R399" t="s">
        <v>67</v>
      </c>
      <c r="S399">
        <f>IF(COUNTIF($S$4:$S199,S199)=1,S199,0)</f>
        <v>0</v>
      </c>
      <c r="U399" t="str">
        <f t="shared" si="68"/>
        <v>0Unallocated</v>
      </c>
      <c r="AD399" t="e">
        <f t="shared" si="69"/>
        <v>#DIV/0!</v>
      </c>
    </row>
    <row r="400" spans="18:30" x14ac:dyDescent="0.25">
      <c r="R400" t="s">
        <v>67</v>
      </c>
      <c r="S400">
        <f>IF(COUNTIF($S$4:$S200,S200)=1,S200,0)</f>
        <v>0</v>
      </c>
      <c r="U400" t="str">
        <f t="shared" si="68"/>
        <v>0Unallocated</v>
      </c>
      <c r="AD400" t="e">
        <f t="shared" si="69"/>
        <v>#DIV/0!</v>
      </c>
    </row>
    <row r="401" spans="18:30" x14ac:dyDescent="0.25">
      <c r="R401" t="s">
        <v>67</v>
      </c>
      <c r="S401">
        <f>IF(COUNTIF($S$4:$S201,S201)=1,S201,0)</f>
        <v>0</v>
      </c>
      <c r="U401" t="str">
        <f t="shared" si="68"/>
        <v>0Unallocated</v>
      </c>
      <c r="AD401" t="e">
        <f t="shared" si="69"/>
        <v>#DIV/0!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824CE-489D-477E-A977-2736EF11768E}">
  <sheetPr codeName="工作表4"/>
  <dimension ref="A1:AB305"/>
  <sheetViews>
    <sheetView topLeftCell="E1" zoomScale="70" zoomScaleNormal="70" workbookViewId="0">
      <selection activeCell="Y6" sqref="Y6"/>
    </sheetView>
  </sheetViews>
  <sheetFormatPr defaultRowHeight="16.5" x14ac:dyDescent="0.25"/>
  <cols>
    <col min="1" max="1" width="11.125" bestFit="1" customWidth="1"/>
    <col min="3" max="3" width="17.125" bestFit="1" customWidth="1"/>
    <col min="4" max="4" width="24.875" bestFit="1" customWidth="1"/>
    <col min="5" max="5" width="13.375" bestFit="1" customWidth="1"/>
    <col min="6" max="6" width="26.75" bestFit="1" customWidth="1"/>
    <col min="7" max="7" width="9.625" bestFit="1" customWidth="1"/>
    <col min="8" max="8" width="14.625" bestFit="1" customWidth="1"/>
    <col min="9" max="9" width="9.125" customWidth="1"/>
    <col min="10" max="10" width="6" bestFit="1" customWidth="1"/>
    <col min="11" max="11" width="6" customWidth="1"/>
    <col min="14" max="14" width="21" bestFit="1" customWidth="1"/>
    <col min="15" max="15" width="23.375" bestFit="1" customWidth="1"/>
    <col min="25" max="25" width="10" bestFit="1" customWidth="1"/>
  </cols>
  <sheetData>
    <row r="1" spans="1:28" x14ac:dyDescent="0.25">
      <c r="A1" t="s">
        <v>54</v>
      </c>
      <c r="B1" t="str">
        <f>INDEX(Input!$A$6:$A$203,intrim2!C1)</f>
        <v>HKG-XX5</v>
      </c>
      <c r="C1">
        <v>5</v>
      </c>
    </row>
    <row r="3" spans="1:28" x14ac:dyDescent="0.25">
      <c r="D3">
        <f>COUNTIF(Intrim!S:S,intrim2!B1)</f>
        <v>3</v>
      </c>
      <c r="O3">
        <f>COUNTIF(Intrim!G:G,intrim2!B1)</f>
        <v>2</v>
      </c>
      <c r="Y3" t="str">
        <f>C6</f>
        <v>HKG-XX5</v>
      </c>
    </row>
    <row r="5" spans="1:28" x14ac:dyDescent="0.25">
      <c r="C5" s="10" t="s">
        <v>0</v>
      </c>
      <c r="D5" s="10" t="s">
        <v>7</v>
      </c>
      <c r="E5">
        <v>0</v>
      </c>
      <c r="N5" s="10" t="s">
        <v>55</v>
      </c>
      <c r="O5" s="10" t="s">
        <v>56</v>
      </c>
      <c r="P5">
        <v>0</v>
      </c>
      <c r="W5" t="s">
        <v>23</v>
      </c>
      <c r="X5" t="s">
        <v>24</v>
      </c>
      <c r="Y5" t="s">
        <v>25</v>
      </c>
      <c r="Z5" t="s">
        <v>26</v>
      </c>
      <c r="AA5" t="s">
        <v>29</v>
      </c>
      <c r="AB5" t="s">
        <v>31</v>
      </c>
    </row>
    <row r="6" spans="1:28" x14ac:dyDescent="0.25">
      <c r="A6" t="str">
        <f t="shared" ref="A6:A25" si="0">+B6&amp;C6</f>
        <v>1HKG-XX5</v>
      </c>
      <c r="B6">
        <v>1</v>
      </c>
      <c r="C6" t="str">
        <f>IF(ROW(C6)&lt;=$D$3+5,$B$1,"")</f>
        <v>HKG-XX5</v>
      </c>
      <c r="D6" t="str">
        <f ca="1">IFERROR(INDEX(Intrim!$R$4:$R$401,E6),"")</f>
        <v>HKG-GH4</v>
      </c>
      <c r="E6">
        <f ca="1">MATCH(intrim2!C6,OFFSET(Intrim!$S$4,E5,0):'Intrim'!$S$401,0)+E5</f>
        <v>10</v>
      </c>
      <c r="L6" t="str">
        <f>+M6&amp;N6</f>
        <v>1HKG-XX5</v>
      </c>
      <c r="M6">
        <v>1</v>
      </c>
      <c r="N6" t="str">
        <f>IF(ROW(N6)&lt;=$O$3+5,$B$1,"")</f>
        <v>HKG-XX5</v>
      </c>
      <c r="O6" t="str">
        <f ca="1">IFERROR(INDEX(Intrim!$F$4:$F$201,P6),"")</f>
        <v>HKG-AB1</v>
      </c>
      <c r="P6">
        <f ca="1">MATCH(intrim2!N6,OFFSET(Intrim!$G$4,P5,0):'Intrim'!$G$201,0)+P5</f>
        <v>8</v>
      </c>
      <c r="V6">
        <v>1</v>
      </c>
      <c r="W6">
        <f>IF(ROUNDUP(V6/$D$3,0)&lt;=$O$3,ROUNDUP(V6/$D$3,0),"")</f>
        <v>1</v>
      </c>
      <c r="X6">
        <f>IF(W6="","",COUNTIF($W$6:W6,W6))</f>
        <v>1</v>
      </c>
      <c r="Y6" t="str">
        <f ca="1">VLOOKUP(W6&amp;$Y$3,L:O,4,0)</f>
        <v>HKG-AB1</v>
      </c>
      <c r="Z6" t="str">
        <f ca="1">VLOOKUP(X6&amp;$Y$3,A:D,4,0)</f>
        <v>HKG-GH4</v>
      </c>
      <c r="AA6" t="str">
        <f ca="1">INDEX($N$6:$N$305,MATCH(Y6,$O$6:$O$305,0))</f>
        <v>HKG-XX5</v>
      </c>
      <c r="AB6">
        <f ca="1">VLOOKUP(Z6,Intrim!R:Z,9,0)</f>
        <v>5</v>
      </c>
    </row>
    <row r="7" spans="1:28" x14ac:dyDescent="0.25">
      <c r="A7" t="str">
        <f t="shared" si="0"/>
        <v>2HKG-XX5</v>
      </c>
      <c r="B7">
        <f>COUNTIF($C$6:C7,C7)</f>
        <v>2</v>
      </c>
      <c r="C7" t="str">
        <f t="shared" ref="C7:C70" si="1">IF(ROW(C7)&lt;=$D$3+5,$B$1,"")</f>
        <v>HKG-XX5</v>
      </c>
      <c r="D7" t="str">
        <f ca="1">IFERROR(INDEX(Intrim!$R$4:$R$401,E7),"")</f>
        <v>HKG-GH5</v>
      </c>
      <c r="E7">
        <f ca="1">MATCH(intrim2!C7,OFFSET(Intrim!$S$4,E6,0):'Intrim'!$S$401,0)+E6</f>
        <v>11</v>
      </c>
      <c r="L7" t="str">
        <f>+M7&amp;N7</f>
        <v>2HKG-XX5</v>
      </c>
      <c r="M7">
        <f>COUNTIF($N$6:N7,N7)</f>
        <v>2</v>
      </c>
      <c r="N7" t="str">
        <f t="shared" ref="N7:N70" si="2">IF(ROW(N7)&lt;=$O$3+5,$B$1,"")</f>
        <v>HKG-XX5</v>
      </c>
      <c r="O7" t="str">
        <f ca="1">IFERROR(INDEX(Intrim!$F$4:$F$201,P7),"")</f>
        <v>HKG-AB2</v>
      </c>
      <c r="P7">
        <f ca="1">MATCH(intrim2!N7,OFFSET(Intrim!$G$4,P6,0):'Intrim'!$G$201,0)+P6</f>
        <v>9</v>
      </c>
      <c r="V7">
        <v>2</v>
      </c>
      <c r="W7">
        <f t="shared" ref="W7:W70" si="3">IF(ROUNDUP(V7/$D$3,0)&lt;=$O$3,ROUNDUP(V7/$D$3,0),"")</f>
        <v>1</v>
      </c>
      <c r="X7">
        <f>IF(W7="","",COUNTIF($W$6:W7,W7))</f>
        <v>2</v>
      </c>
      <c r="Y7" t="str">
        <f t="shared" ref="Y7:Y70" ca="1" si="4">VLOOKUP(W7&amp;$Y$3,L:O,4,0)</f>
        <v>HKG-AB1</v>
      </c>
      <c r="Z7" t="str">
        <f t="shared" ref="Z7:Z70" ca="1" si="5">VLOOKUP(X7&amp;$Y$3,A:D,4,0)</f>
        <v>HKG-GH5</v>
      </c>
      <c r="AA7" t="str">
        <f t="shared" ref="AA7:AA70" ca="1" si="6">INDEX($N$6:$N$305,MATCH(Y7,$O$6:$O$305,0))</f>
        <v>HKG-XX5</v>
      </c>
      <c r="AB7">
        <f ca="1">VLOOKUP(Z7,Intrim!R:Z,9,0)</f>
        <v>75</v>
      </c>
    </row>
    <row r="8" spans="1:28" x14ac:dyDescent="0.25">
      <c r="A8" t="str">
        <f t="shared" si="0"/>
        <v>3HKG-XX5</v>
      </c>
      <c r="B8">
        <f>COUNTIF($C$6:C8,C8)</f>
        <v>3</v>
      </c>
      <c r="C8" t="str">
        <f t="shared" si="1"/>
        <v>HKG-XX5</v>
      </c>
      <c r="D8" t="str">
        <f ca="1">IFERROR(INDEX(Intrim!$R$4:$R$401,E8),"")</f>
        <v>Unallocated</v>
      </c>
      <c r="E8">
        <f ca="1">MATCH(intrim2!C8,OFFSET(Intrim!$S$4,E7,0):'Intrim'!$S$401,0)+E7</f>
        <v>210</v>
      </c>
      <c r="L8" t="str">
        <f t="shared" ref="L8" si="7">+M8&amp;N8</f>
        <v>1</v>
      </c>
      <c r="M8">
        <f>COUNTIF($N$6:N8,N8)</f>
        <v>1</v>
      </c>
      <c r="N8" t="str">
        <f t="shared" si="2"/>
        <v/>
      </c>
      <c r="O8" t="str">
        <f ca="1">IFERROR(INDEX(Intrim!$F$4:$F$201,P8),"")</f>
        <v/>
      </c>
      <c r="P8" t="e">
        <f ca="1">MATCH(intrim2!N8,OFFSET(Intrim!$G$4,P7,0):'Intrim'!$G$201,0)+P7</f>
        <v>#N/A</v>
      </c>
      <c r="V8">
        <v>3</v>
      </c>
      <c r="W8">
        <f t="shared" si="3"/>
        <v>1</v>
      </c>
      <c r="X8">
        <f>IF(W8="","",COUNTIF($W$6:W8,W8))</f>
        <v>3</v>
      </c>
      <c r="Y8" t="str">
        <f t="shared" ca="1" si="4"/>
        <v>HKG-AB1</v>
      </c>
      <c r="Z8" t="str">
        <f t="shared" ca="1" si="5"/>
        <v>Unallocated</v>
      </c>
      <c r="AA8" t="str">
        <f t="shared" ca="1" si="6"/>
        <v>HKG-XX5</v>
      </c>
      <c r="AB8">
        <f ca="1">VLOOKUP(Z8,Intrim!R:Z,9,0)</f>
        <v>0</v>
      </c>
    </row>
    <row r="9" spans="1:28" x14ac:dyDescent="0.25">
      <c r="A9" t="str">
        <f t="shared" si="0"/>
        <v>1</v>
      </c>
      <c r="B9">
        <f>COUNTIF($C$6:C9,C9)</f>
        <v>1</v>
      </c>
      <c r="C9" t="str">
        <f t="shared" si="1"/>
        <v/>
      </c>
      <c r="D9" t="str">
        <f ca="1">IFERROR(INDEX(Intrim!$R$4:$R$401,E9),"")</f>
        <v/>
      </c>
      <c r="E9" t="e">
        <f ca="1">MATCH(intrim2!C9,OFFSET(Intrim!$S$4,E8,0):'Intrim'!$S$401,0)+E8</f>
        <v>#N/A</v>
      </c>
      <c r="L9" t="str">
        <f t="shared" ref="L9:L72" si="8">+M9&amp;N9</f>
        <v>2</v>
      </c>
      <c r="M9">
        <f>COUNTIF($N$6:N9,N9)</f>
        <v>2</v>
      </c>
      <c r="N9" t="str">
        <f t="shared" si="2"/>
        <v/>
      </c>
      <c r="O9" t="str">
        <f ca="1">IFERROR(INDEX(Intrim!$F$4:$F$201,P9),"")</f>
        <v/>
      </c>
      <c r="P9" t="e">
        <f ca="1">MATCH(intrim2!N9,OFFSET(Intrim!$G$4,P8,0):'Intrim'!$G$201,0)+P8</f>
        <v>#N/A</v>
      </c>
      <c r="V9">
        <v>4</v>
      </c>
      <c r="W9">
        <f t="shared" si="3"/>
        <v>2</v>
      </c>
      <c r="X9">
        <f>IF(W9="","",COUNTIF($W$6:W9,W9))</f>
        <v>1</v>
      </c>
      <c r="Y9" t="str">
        <f t="shared" ca="1" si="4"/>
        <v>HKG-AB2</v>
      </c>
      <c r="Z9" t="str">
        <f t="shared" ca="1" si="5"/>
        <v>HKG-GH4</v>
      </c>
      <c r="AA9" t="str">
        <f t="shared" ca="1" si="6"/>
        <v>HKG-XX5</v>
      </c>
      <c r="AB9">
        <f ca="1">VLOOKUP(Z9,Intrim!R:Z,9,0)</f>
        <v>5</v>
      </c>
    </row>
    <row r="10" spans="1:28" x14ac:dyDescent="0.25">
      <c r="A10" t="str">
        <f t="shared" si="0"/>
        <v>2</v>
      </c>
      <c r="B10">
        <f>COUNTIF($C$6:C10,C10)</f>
        <v>2</v>
      </c>
      <c r="C10" t="str">
        <f t="shared" si="1"/>
        <v/>
      </c>
      <c r="D10" t="str">
        <f ca="1">IFERROR(INDEX(Intrim!$R$4:$R$401,E10),"")</f>
        <v/>
      </c>
      <c r="E10" t="e">
        <f ca="1">MATCH(intrim2!C10,OFFSET(Intrim!$S$4,E9,0):'Intrim'!$S$401,0)+E9</f>
        <v>#N/A</v>
      </c>
      <c r="L10" t="str">
        <f t="shared" si="8"/>
        <v>3</v>
      </c>
      <c r="M10">
        <f>COUNTIF($N$6:N10,N10)</f>
        <v>3</v>
      </c>
      <c r="N10" t="str">
        <f t="shared" si="2"/>
        <v/>
      </c>
      <c r="O10" t="str">
        <f ca="1">IFERROR(INDEX(Intrim!$F$4:$F$201,P10),"")</f>
        <v/>
      </c>
      <c r="P10" t="e">
        <f ca="1">MATCH(intrim2!N10,OFFSET(Intrim!$G$4,P9,0):'Intrim'!$G$201,0)+P9</f>
        <v>#N/A</v>
      </c>
      <c r="V10">
        <v>5</v>
      </c>
      <c r="W10">
        <f t="shared" si="3"/>
        <v>2</v>
      </c>
      <c r="X10">
        <f>IF(W10="","",COUNTIF($W$6:W10,W10))</f>
        <v>2</v>
      </c>
      <c r="Y10" t="str">
        <f t="shared" ca="1" si="4"/>
        <v>HKG-AB2</v>
      </c>
      <c r="Z10" t="str">
        <f t="shared" ca="1" si="5"/>
        <v>HKG-GH5</v>
      </c>
      <c r="AA10" t="str">
        <f t="shared" ca="1" si="6"/>
        <v>HKG-XX5</v>
      </c>
      <c r="AB10">
        <f ca="1">VLOOKUP(Z10,Intrim!R:Z,9,0)</f>
        <v>75</v>
      </c>
    </row>
    <row r="11" spans="1:28" x14ac:dyDescent="0.25">
      <c r="A11" t="str">
        <f t="shared" si="0"/>
        <v>3</v>
      </c>
      <c r="B11">
        <f>COUNTIF($C$6:C11,C11)</f>
        <v>3</v>
      </c>
      <c r="C11" t="str">
        <f t="shared" si="1"/>
        <v/>
      </c>
      <c r="D11" t="str">
        <f ca="1">IFERROR(INDEX(Intrim!$R$4:$R$401,E11),"")</f>
        <v/>
      </c>
      <c r="E11" t="e">
        <f ca="1">MATCH(intrim2!C11,OFFSET(Intrim!$S$4,E10,0):'Intrim'!$S$401,0)+E10</f>
        <v>#N/A</v>
      </c>
      <c r="L11" t="str">
        <f t="shared" si="8"/>
        <v>4</v>
      </c>
      <c r="M11">
        <f>COUNTIF($N$6:N11,N11)</f>
        <v>4</v>
      </c>
      <c r="N11" t="str">
        <f t="shared" si="2"/>
        <v/>
      </c>
      <c r="O11" t="str">
        <f ca="1">IFERROR(INDEX(Intrim!$F$4:$F$201,P11),"")</f>
        <v/>
      </c>
      <c r="P11" t="e">
        <f ca="1">MATCH(intrim2!N11,OFFSET(Intrim!$G$4,P10,0):'Intrim'!$G$201,0)+P10</f>
        <v>#N/A</v>
      </c>
      <c r="V11">
        <v>6</v>
      </c>
      <c r="W11">
        <f t="shared" si="3"/>
        <v>2</v>
      </c>
      <c r="X11">
        <f>IF(W11="","",COUNTIF($W$6:W11,W11))</f>
        <v>3</v>
      </c>
      <c r="Y11" t="str">
        <f t="shared" ca="1" si="4"/>
        <v>HKG-AB2</v>
      </c>
      <c r="Z11" t="str">
        <f t="shared" ca="1" si="5"/>
        <v>Unallocated</v>
      </c>
      <c r="AA11" t="str">
        <f t="shared" ca="1" si="6"/>
        <v>HKG-XX5</v>
      </c>
      <c r="AB11">
        <f ca="1">VLOOKUP(Z11,Intrim!R:Z,9,0)</f>
        <v>0</v>
      </c>
    </row>
    <row r="12" spans="1:28" x14ac:dyDescent="0.25">
      <c r="A12" t="str">
        <f t="shared" si="0"/>
        <v>4</v>
      </c>
      <c r="B12">
        <f>COUNTIF($C$6:C12,C12)</f>
        <v>4</v>
      </c>
      <c r="C12" t="str">
        <f t="shared" si="1"/>
        <v/>
      </c>
      <c r="D12" t="str">
        <f ca="1">IFERROR(INDEX(Intrim!$R$4:$R$401,E12),"")</f>
        <v/>
      </c>
      <c r="E12" t="e">
        <f ca="1">MATCH(intrim2!C12,OFFSET(Intrim!$S$4,E11,0):'Intrim'!$S$401,0)+E11</f>
        <v>#N/A</v>
      </c>
      <c r="L12" t="str">
        <f t="shared" si="8"/>
        <v>5</v>
      </c>
      <c r="M12">
        <f>COUNTIF($N$6:N12,N12)</f>
        <v>5</v>
      </c>
      <c r="N12" t="str">
        <f t="shared" si="2"/>
        <v/>
      </c>
      <c r="O12" t="str">
        <f ca="1">IFERROR(INDEX(Intrim!$F$4:$F$201,P12),"")</f>
        <v/>
      </c>
      <c r="P12" t="e">
        <f ca="1">MATCH(intrim2!N12,OFFSET(Intrim!$G$4,P11,0):'Intrim'!$G$201,0)+P11</f>
        <v>#N/A</v>
      </c>
      <c r="V12">
        <v>7</v>
      </c>
      <c r="W12" t="str">
        <f t="shared" si="3"/>
        <v/>
      </c>
      <c r="X12" t="str">
        <f>IF(W12="","",COUNTIF($W$6:W12,W12))</f>
        <v/>
      </c>
      <c r="Y12" t="e">
        <f t="shared" si="4"/>
        <v>#N/A</v>
      </c>
      <c r="Z12" t="e">
        <f t="shared" si="5"/>
        <v>#N/A</v>
      </c>
      <c r="AA12" t="e">
        <f t="shared" si="6"/>
        <v>#N/A</v>
      </c>
      <c r="AB12" t="e">
        <f>VLOOKUP(Z12,Intrim!R:Z,9,0)</f>
        <v>#N/A</v>
      </c>
    </row>
    <row r="13" spans="1:28" x14ac:dyDescent="0.25">
      <c r="A13" t="str">
        <f t="shared" si="0"/>
        <v>5</v>
      </c>
      <c r="B13">
        <f>COUNTIF($C$6:C13,C13)</f>
        <v>5</v>
      </c>
      <c r="C13" t="str">
        <f t="shared" si="1"/>
        <v/>
      </c>
      <c r="D13" t="str">
        <f ca="1">IFERROR(INDEX(Intrim!$R$4:$R$401,E13),"")</f>
        <v/>
      </c>
      <c r="E13" t="e">
        <f ca="1">MATCH(intrim2!C13,OFFSET(Intrim!$S$4,E12,0):'Intrim'!$S$401,0)+E12</f>
        <v>#N/A</v>
      </c>
      <c r="L13" t="str">
        <f t="shared" si="8"/>
        <v>6</v>
      </c>
      <c r="M13">
        <f>COUNTIF($N$6:N13,N13)</f>
        <v>6</v>
      </c>
      <c r="N13" t="str">
        <f t="shared" si="2"/>
        <v/>
      </c>
      <c r="O13" t="str">
        <f ca="1">IFERROR(INDEX(Intrim!$F$4:$F$201,P13),"")</f>
        <v/>
      </c>
      <c r="P13" t="e">
        <f ca="1">MATCH(intrim2!N13,OFFSET(Intrim!$G$4,P12,0):'Intrim'!$G$201,0)+P12</f>
        <v>#N/A</v>
      </c>
      <c r="V13">
        <v>8</v>
      </c>
      <c r="W13" t="str">
        <f t="shared" si="3"/>
        <v/>
      </c>
      <c r="X13" t="str">
        <f>IF(W13="","",COUNTIF($W$6:W13,W13))</f>
        <v/>
      </c>
      <c r="Y13" t="e">
        <f t="shared" si="4"/>
        <v>#N/A</v>
      </c>
      <c r="Z13" t="e">
        <f t="shared" si="5"/>
        <v>#N/A</v>
      </c>
      <c r="AA13" t="e">
        <f t="shared" si="6"/>
        <v>#N/A</v>
      </c>
      <c r="AB13" t="e">
        <f>VLOOKUP(Z13,Intrim!R:Z,9,0)</f>
        <v>#N/A</v>
      </c>
    </row>
    <row r="14" spans="1:28" x14ac:dyDescent="0.25">
      <c r="A14" t="str">
        <f t="shared" si="0"/>
        <v>6</v>
      </c>
      <c r="B14">
        <f>COUNTIF($C$6:C14,C14)</f>
        <v>6</v>
      </c>
      <c r="C14" t="str">
        <f t="shared" si="1"/>
        <v/>
      </c>
      <c r="D14" t="str">
        <f ca="1">IFERROR(INDEX(Intrim!$R$4:$R$401,E14),"")</f>
        <v/>
      </c>
      <c r="E14" t="e">
        <f ca="1">MATCH(intrim2!C14,OFFSET(Intrim!$S$4,E13,0):'Intrim'!$S$401,0)+E13</f>
        <v>#N/A</v>
      </c>
      <c r="L14" t="str">
        <f t="shared" si="8"/>
        <v>7</v>
      </c>
      <c r="M14">
        <f>COUNTIF($N$6:N14,N14)</f>
        <v>7</v>
      </c>
      <c r="N14" t="str">
        <f t="shared" si="2"/>
        <v/>
      </c>
      <c r="O14" t="str">
        <f ca="1">IFERROR(INDEX(Intrim!$F$4:$F$201,P14),"")</f>
        <v/>
      </c>
      <c r="P14" t="e">
        <f ca="1">MATCH(intrim2!N14,OFFSET(Intrim!$G$4,P13,0):'Intrim'!$G$201,0)+P13</f>
        <v>#N/A</v>
      </c>
      <c r="V14">
        <v>9</v>
      </c>
      <c r="W14" t="str">
        <f t="shared" si="3"/>
        <v/>
      </c>
      <c r="X14" t="str">
        <f>IF(W14="","",COUNTIF($W$6:W14,W14))</f>
        <v/>
      </c>
      <c r="Y14" t="e">
        <f t="shared" si="4"/>
        <v>#N/A</v>
      </c>
      <c r="Z14" t="e">
        <f t="shared" si="5"/>
        <v>#N/A</v>
      </c>
      <c r="AA14" t="e">
        <f t="shared" si="6"/>
        <v>#N/A</v>
      </c>
      <c r="AB14" t="e">
        <f>VLOOKUP(Z14,Intrim!R:Z,9,0)</f>
        <v>#N/A</v>
      </c>
    </row>
    <row r="15" spans="1:28" x14ac:dyDescent="0.25">
      <c r="A15" t="str">
        <f t="shared" si="0"/>
        <v>7</v>
      </c>
      <c r="B15">
        <f>COUNTIF($C$6:C15,C15)</f>
        <v>7</v>
      </c>
      <c r="C15" t="str">
        <f t="shared" si="1"/>
        <v/>
      </c>
      <c r="D15" t="str">
        <f ca="1">IFERROR(INDEX(Intrim!$R$4:$R$401,E15),"")</f>
        <v/>
      </c>
      <c r="E15" t="e">
        <f ca="1">MATCH(intrim2!C15,OFFSET(Intrim!$S$4,E14,0):'Intrim'!$S$401,0)+E14</f>
        <v>#N/A</v>
      </c>
      <c r="L15" t="str">
        <f t="shared" si="8"/>
        <v>8</v>
      </c>
      <c r="M15">
        <f>COUNTIF($N$6:N15,N15)</f>
        <v>8</v>
      </c>
      <c r="N15" t="str">
        <f t="shared" si="2"/>
        <v/>
      </c>
      <c r="O15" t="str">
        <f ca="1">IFERROR(INDEX(Intrim!$F$4:$F$201,P15),"")</f>
        <v/>
      </c>
      <c r="P15" t="e">
        <f ca="1">MATCH(intrim2!N15,OFFSET(Intrim!$G$4,P14,0):'Intrim'!$G$201,0)+P14</f>
        <v>#N/A</v>
      </c>
      <c r="V15">
        <v>10</v>
      </c>
      <c r="W15" t="str">
        <f t="shared" si="3"/>
        <v/>
      </c>
      <c r="X15" t="str">
        <f>IF(W15="","",COUNTIF($W$6:W15,W15))</f>
        <v/>
      </c>
      <c r="Y15" t="e">
        <f t="shared" si="4"/>
        <v>#N/A</v>
      </c>
      <c r="Z15" t="e">
        <f t="shared" si="5"/>
        <v>#N/A</v>
      </c>
      <c r="AA15" t="e">
        <f t="shared" si="6"/>
        <v>#N/A</v>
      </c>
      <c r="AB15" t="e">
        <f>VLOOKUP(Z15,Intrim!R:Z,9,0)</f>
        <v>#N/A</v>
      </c>
    </row>
    <row r="16" spans="1:28" x14ac:dyDescent="0.25">
      <c r="A16" t="str">
        <f t="shared" si="0"/>
        <v>8</v>
      </c>
      <c r="B16">
        <f>COUNTIF($C$6:C16,C16)</f>
        <v>8</v>
      </c>
      <c r="C16" t="str">
        <f t="shared" si="1"/>
        <v/>
      </c>
      <c r="D16" t="str">
        <f ca="1">IFERROR(INDEX(Intrim!$R$4:$R$401,E16),"")</f>
        <v/>
      </c>
      <c r="E16" t="e">
        <f ca="1">MATCH(intrim2!C16,OFFSET(Intrim!$S$4,E15,0):'Intrim'!$S$401,0)+E15</f>
        <v>#N/A</v>
      </c>
      <c r="L16" t="str">
        <f t="shared" si="8"/>
        <v>9</v>
      </c>
      <c r="M16">
        <f>COUNTIF($N$6:N16,N16)</f>
        <v>9</v>
      </c>
      <c r="N16" t="str">
        <f t="shared" si="2"/>
        <v/>
      </c>
      <c r="O16" t="str">
        <f ca="1">IFERROR(INDEX(Intrim!$F$4:$F$201,P16),"")</f>
        <v/>
      </c>
      <c r="P16" t="e">
        <f ca="1">MATCH(intrim2!N16,OFFSET(Intrim!$G$4,P15,0):'Intrim'!$G$201,0)+P15</f>
        <v>#N/A</v>
      </c>
      <c r="V16">
        <v>11</v>
      </c>
      <c r="W16" t="str">
        <f t="shared" si="3"/>
        <v/>
      </c>
      <c r="X16" t="str">
        <f>IF(W16="","",COUNTIF($W$6:W16,W16))</f>
        <v/>
      </c>
      <c r="Y16" t="e">
        <f t="shared" si="4"/>
        <v>#N/A</v>
      </c>
      <c r="Z16" t="e">
        <f t="shared" si="5"/>
        <v>#N/A</v>
      </c>
      <c r="AA16" t="e">
        <f t="shared" si="6"/>
        <v>#N/A</v>
      </c>
      <c r="AB16" t="e">
        <f>VLOOKUP(Z16,Intrim!R:Z,9,0)</f>
        <v>#N/A</v>
      </c>
    </row>
    <row r="17" spans="1:28" x14ac:dyDescent="0.25">
      <c r="A17" t="str">
        <f t="shared" si="0"/>
        <v>9</v>
      </c>
      <c r="B17">
        <f>COUNTIF($C$6:C17,C17)</f>
        <v>9</v>
      </c>
      <c r="C17" t="str">
        <f t="shared" si="1"/>
        <v/>
      </c>
      <c r="D17" t="str">
        <f ca="1">IFERROR(INDEX(Intrim!$R$4:$R$401,E17),"")</f>
        <v/>
      </c>
      <c r="E17" t="e">
        <f ca="1">MATCH(intrim2!C17,OFFSET(Intrim!$S$4,E16,0):'Intrim'!$S$401,0)+E16</f>
        <v>#N/A</v>
      </c>
      <c r="L17" t="str">
        <f t="shared" si="8"/>
        <v>10</v>
      </c>
      <c r="M17">
        <f>COUNTIF($N$6:N17,N17)</f>
        <v>10</v>
      </c>
      <c r="N17" t="str">
        <f t="shared" si="2"/>
        <v/>
      </c>
      <c r="O17" t="str">
        <f ca="1">IFERROR(INDEX(Intrim!$F$4:$F$201,P17),"")</f>
        <v/>
      </c>
      <c r="P17" t="e">
        <f ca="1">MATCH(intrim2!N17,OFFSET(Intrim!$G$4,P16,0):'Intrim'!$G$201,0)+P16</f>
        <v>#N/A</v>
      </c>
      <c r="V17">
        <v>12</v>
      </c>
      <c r="W17" t="str">
        <f t="shared" si="3"/>
        <v/>
      </c>
      <c r="X17" t="str">
        <f>IF(W17="","",COUNTIF($W$6:W17,W17))</f>
        <v/>
      </c>
      <c r="Y17" t="e">
        <f t="shared" si="4"/>
        <v>#N/A</v>
      </c>
      <c r="Z17" t="e">
        <f t="shared" si="5"/>
        <v>#N/A</v>
      </c>
      <c r="AA17" t="e">
        <f t="shared" si="6"/>
        <v>#N/A</v>
      </c>
      <c r="AB17" t="e">
        <f>VLOOKUP(Z17,Intrim!R:Z,9,0)</f>
        <v>#N/A</v>
      </c>
    </row>
    <row r="18" spans="1:28" x14ac:dyDescent="0.25">
      <c r="A18" t="str">
        <f t="shared" si="0"/>
        <v>10</v>
      </c>
      <c r="B18">
        <f>COUNTIF($C$6:C18,C18)</f>
        <v>10</v>
      </c>
      <c r="C18" t="str">
        <f t="shared" si="1"/>
        <v/>
      </c>
      <c r="D18" t="str">
        <f ca="1">IFERROR(INDEX(Intrim!$R$4:$R$401,E18),"")</f>
        <v/>
      </c>
      <c r="E18" t="e">
        <f ca="1">MATCH(intrim2!C18,OFFSET(Intrim!$S$4,E17,0):'Intrim'!$S$401,0)+E17</f>
        <v>#N/A</v>
      </c>
      <c r="L18" t="str">
        <f t="shared" si="8"/>
        <v>11</v>
      </c>
      <c r="M18">
        <f>COUNTIF($N$6:N18,N18)</f>
        <v>11</v>
      </c>
      <c r="N18" t="str">
        <f t="shared" si="2"/>
        <v/>
      </c>
      <c r="O18" t="str">
        <f ca="1">IFERROR(INDEX(Intrim!$F$4:$F$201,P18),"")</f>
        <v/>
      </c>
      <c r="P18" t="e">
        <f ca="1">MATCH(intrim2!N18,OFFSET(Intrim!$G$4,P17,0):'Intrim'!$G$201,0)+P17</f>
        <v>#N/A</v>
      </c>
      <c r="V18">
        <v>13</v>
      </c>
      <c r="W18" t="str">
        <f t="shared" si="3"/>
        <v/>
      </c>
      <c r="X18" t="str">
        <f>IF(W18="","",COUNTIF($W$6:W18,W18))</f>
        <v/>
      </c>
      <c r="Y18" t="e">
        <f t="shared" si="4"/>
        <v>#N/A</v>
      </c>
      <c r="Z18" t="e">
        <f t="shared" si="5"/>
        <v>#N/A</v>
      </c>
      <c r="AA18" t="e">
        <f t="shared" si="6"/>
        <v>#N/A</v>
      </c>
      <c r="AB18" t="e">
        <f>VLOOKUP(Z18,Intrim!R:Z,9,0)</f>
        <v>#N/A</v>
      </c>
    </row>
    <row r="19" spans="1:28" x14ac:dyDescent="0.25">
      <c r="A19" t="str">
        <f t="shared" si="0"/>
        <v>11</v>
      </c>
      <c r="B19">
        <f>COUNTIF($C$6:C19,C19)</f>
        <v>11</v>
      </c>
      <c r="C19" t="str">
        <f t="shared" si="1"/>
        <v/>
      </c>
      <c r="D19" t="str">
        <f ca="1">IFERROR(INDEX(Intrim!$R$4:$R$401,E19),"")</f>
        <v/>
      </c>
      <c r="E19" t="e">
        <f ca="1">MATCH(intrim2!C19,OFFSET(Intrim!$S$4,E18,0):'Intrim'!$S$401,0)+E18</f>
        <v>#N/A</v>
      </c>
      <c r="L19" t="str">
        <f t="shared" si="8"/>
        <v>12</v>
      </c>
      <c r="M19">
        <f>COUNTIF($N$6:N19,N19)</f>
        <v>12</v>
      </c>
      <c r="N19" t="str">
        <f t="shared" si="2"/>
        <v/>
      </c>
      <c r="O19" t="str">
        <f ca="1">IFERROR(INDEX(Intrim!$F$4:$F$201,P19),"")</f>
        <v/>
      </c>
      <c r="P19" t="e">
        <f ca="1">MATCH(intrim2!N19,OFFSET(Intrim!$G$4,P18,0):'Intrim'!$G$201,0)+P18</f>
        <v>#N/A</v>
      </c>
      <c r="V19">
        <v>14</v>
      </c>
      <c r="W19" t="str">
        <f t="shared" si="3"/>
        <v/>
      </c>
      <c r="X19" t="str">
        <f>IF(W19="","",COUNTIF($W$6:W19,W19))</f>
        <v/>
      </c>
      <c r="Y19" t="e">
        <f t="shared" si="4"/>
        <v>#N/A</v>
      </c>
      <c r="Z19" t="e">
        <f t="shared" si="5"/>
        <v>#N/A</v>
      </c>
      <c r="AA19" t="e">
        <f t="shared" si="6"/>
        <v>#N/A</v>
      </c>
      <c r="AB19" t="e">
        <f>VLOOKUP(Z19,Intrim!R:Z,9,0)</f>
        <v>#N/A</v>
      </c>
    </row>
    <row r="20" spans="1:28" x14ac:dyDescent="0.25">
      <c r="A20" t="str">
        <f t="shared" si="0"/>
        <v>12</v>
      </c>
      <c r="B20">
        <f>COUNTIF($C$6:C20,C20)</f>
        <v>12</v>
      </c>
      <c r="C20" t="str">
        <f t="shared" si="1"/>
        <v/>
      </c>
      <c r="D20" t="str">
        <f ca="1">IFERROR(INDEX(Intrim!$R$4:$R$401,E20),"")</f>
        <v/>
      </c>
      <c r="E20" t="e">
        <f ca="1">MATCH(intrim2!C20,OFFSET(Intrim!$S$4,E19,0):'Intrim'!$S$401,0)+E19</f>
        <v>#N/A</v>
      </c>
      <c r="L20" t="str">
        <f t="shared" si="8"/>
        <v>13</v>
      </c>
      <c r="M20">
        <f>COUNTIF($N$6:N20,N20)</f>
        <v>13</v>
      </c>
      <c r="N20" t="str">
        <f t="shared" si="2"/>
        <v/>
      </c>
      <c r="O20" t="str">
        <f ca="1">IFERROR(INDEX(Intrim!$F$4:$F$201,P20),"")</f>
        <v/>
      </c>
      <c r="P20" t="e">
        <f ca="1">MATCH(intrim2!N20,OFFSET(Intrim!$G$4,P19,0):'Intrim'!$G$201,0)+P19</f>
        <v>#N/A</v>
      </c>
      <c r="V20">
        <v>15</v>
      </c>
      <c r="W20" t="str">
        <f t="shared" si="3"/>
        <v/>
      </c>
      <c r="X20" t="str">
        <f>IF(W20="","",COUNTIF($W$6:W20,W20))</f>
        <v/>
      </c>
      <c r="Y20" t="e">
        <f t="shared" si="4"/>
        <v>#N/A</v>
      </c>
      <c r="Z20" t="e">
        <f t="shared" si="5"/>
        <v>#N/A</v>
      </c>
      <c r="AA20" t="e">
        <f t="shared" si="6"/>
        <v>#N/A</v>
      </c>
      <c r="AB20" t="e">
        <f>VLOOKUP(Z20,Intrim!R:Z,9,0)</f>
        <v>#N/A</v>
      </c>
    </row>
    <row r="21" spans="1:28" x14ac:dyDescent="0.25">
      <c r="A21" t="str">
        <f t="shared" si="0"/>
        <v>13</v>
      </c>
      <c r="B21">
        <f>COUNTIF($C$6:C21,C21)</f>
        <v>13</v>
      </c>
      <c r="C21" t="str">
        <f t="shared" si="1"/>
        <v/>
      </c>
      <c r="D21" t="str">
        <f ca="1">IFERROR(INDEX(Intrim!$R$4:$R$401,E21),"")</f>
        <v/>
      </c>
      <c r="E21" t="e">
        <f ca="1">MATCH(intrim2!C21,OFFSET(Intrim!$S$4,E20,0):'Intrim'!$S$401,0)+E20</f>
        <v>#N/A</v>
      </c>
      <c r="L21" t="str">
        <f t="shared" si="8"/>
        <v>14</v>
      </c>
      <c r="M21">
        <f>COUNTIF($N$6:N21,N21)</f>
        <v>14</v>
      </c>
      <c r="N21" t="str">
        <f t="shared" si="2"/>
        <v/>
      </c>
      <c r="O21" t="str">
        <f ca="1">IFERROR(INDEX(Intrim!$F$4:$F$201,P21),"")</f>
        <v/>
      </c>
      <c r="P21" t="e">
        <f ca="1">MATCH(intrim2!N21,OFFSET(Intrim!$G$4,P20,0):'Intrim'!$G$201,0)+P20</f>
        <v>#N/A</v>
      </c>
      <c r="V21">
        <v>16</v>
      </c>
      <c r="W21" t="str">
        <f t="shared" si="3"/>
        <v/>
      </c>
      <c r="X21" t="str">
        <f>IF(W21="","",COUNTIF($W$6:W21,W21))</f>
        <v/>
      </c>
      <c r="Y21" t="e">
        <f t="shared" si="4"/>
        <v>#N/A</v>
      </c>
      <c r="Z21" t="e">
        <f t="shared" si="5"/>
        <v>#N/A</v>
      </c>
      <c r="AA21" t="e">
        <f t="shared" si="6"/>
        <v>#N/A</v>
      </c>
      <c r="AB21" t="e">
        <f>VLOOKUP(Z21,Intrim!R:Z,9,0)</f>
        <v>#N/A</v>
      </c>
    </row>
    <row r="22" spans="1:28" x14ac:dyDescent="0.25">
      <c r="A22" t="str">
        <f t="shared" si="0"/>
        <v>14</v>
      </c>
      <c r="B22">
        <f>COUNTIF($C$6:C22,C22)</f>
        <v>14</v>
      </c>
      <c r="C22" t="str">
        <f t="shared" si="1"/>
        <v/>
      </c>
      <c r="D22" t="str">
        <f ca="1">IFERROR(INDEX(Intrim!$R$4:$R$401,E22),"")</f>
        <v/>
      </c>
      <c r="E22" t="e">
        <f ca="1">MATCH(intrim2!C22,OFFSET(Intrim!$S$4,E21,0):'Intrim'!$S$401,0)+E21</f>
        <v>#N/A</v>
      </c>
      <c r="L22" t="str">
        <f t="shared" si="8"/>
        <v>15</v>
      </c>
      <c r="M22">
        <f>COUNTIF($N$6:N22,N22)</f>
        <v>15</v>
      </c>
      <c r="N22" t="str">
        <f t="shared" si="2"/>
        <v/>
      </c>
      <c r="O22" t="str">
        <f ca="1">IFERROR(INDEX(Intrim!$F$4:$F$201,P22),"")</f>
        <v/>
      </c>
      <c r="P22" t="e">
        <f ca="1">MATCH(intrim2!N22,OFFSET(Intrim!$G$4,P21,0):'Intrim'!$G$201,0)+P21</f>
        <v>#N/A</v>
      </c>
      <c r="V22">
        <v>17</v>
      </c>
      <c r="W22" t="str">
        <f t="shared" si="3"/>
        <v/>
      </c>
      <c r="X22" t="str">
        <f>IF(W22="","",COUNTIF($W$6:W22,W22))</f>
        <v/>
      </c>
      <c r="Y22" t="e">
        <f t="shared" si="4"/>
        <v>#N/A</v>
      </c>
      <c r="Z22" t="e">
        <f t="shared" si="5"/>
        <v>#N/A</v>
      </c>
      <c r="AA22" t="e">
        <f t="shared" si="6"/>
        <v>#N/A</v>
      </c>
      <c r="AB22" t="e">
        <f>VLOOKUP(Z22,Intrim!R:Z,9,0)</f>
        <v>#N/A</v>
      </c>
    </row>
    <row r="23" spans="1:28" x14ac:dyDescent="0.25">
      <c r="A23" t="str">
        <f t="shared" si="0"/>
        <v>15</v>
      </c>
      <c r="B23">
        <f>COUNTIF($C$6:C23,C23)</f>
        <v>15</v>
      </c>
      <c r="C23" t="str">
        <f t="shared" si="1"/>
        <v/>
      </c>
      <c r="D23" t="str">
        <f ca="1">IFERROR(INDEX(Intrim!$R$4:$R$401,E23),"")</f>
        <v/>
      </c>
      <c r="E23" t="e">
        <f ca="1">MATCH(intrim2!C23,OFFSET(Intrim!$S$4,E22,0):'Intrim'!$S$401,0)+E22</f>
        <v>#N/A</v>
      </c>
      <c r="L23" t="str">
        <f t="shared" si="8"/>
        <v>16</v>
      </c>
      <c r="M23">
        <f>COUNTIF($N$6:N23,N23)</f>
        <v>16</v>
      </c>
      <c r="N23" t="str">
        <f t="shared" si="2"/>
        <v/>
      </c>
      <c r="O23" t="str">
        <f ca="1">IFERROR(INDEX(Intrim!$F$4:$F$201,P23),"")</f>
        <v/>
      </c>
      <c r="P23" t="e">
        <f ca="1">MATCH(intrim2!N23,OFFSET(Intrim!$G$4,P22,0):'Intrim'!$G$201,0)+P22</f>
        <v>#N/A</v>
      </c>
      <c r="V23">
        <v>18</v>
      </c>
      <c r="W23" t="str">
        <f t="shared" si="3"/>
        <v/>
      </c>
      <c r="X23" t="str">
        <f>IF(W23="","",COUNTIF($W$6:W23,W23))</f>
        <v/>
      </c>
      <c r="Y23" t="e">
        <f t="shared" si="4"/>
        <v>#N/A</v>
      </c>
      <c r="Z23" t="e">
        <f t="shared" si="5"/>
        <v>#N/A</v>
      </c>
      <c r="AA23" t="e">
        <f t="shared" si="6"/>
        <v>#N/A</v>
      </c>
      <c r="AB23" t="e">
        <f>VLOOKUP(Z23,Intrim!R:Z,9,0)</f>
        <v>#N/A</v>
      </c>
    </row>
    <row r="24" spans="1:28" x14ac:dyDescent="0.25">
      <c r="A24" t="str">
        <f t="shared" si="0"/>
        <v>16</v>
      </c>
      <c r="B24">
        <f>COUNTIF($C$6:C24,C24)</f>
        <v>16</v>
      </c>
      <c r="C24" t="str">
        <f t="shared" si="1"/>
        <v/>
      </c>
      <c r="D24" t="str">
        <f ca="1">IFERROR(INDEX(Intrim!$R$4:$R$401,E24),"")</f>
        <v/>
      </c>
      <c r="E24" t="e">
        <f ca="1">MATCH(intrim2!C24,OFFSET(Intrim!$S$4,E23,0):'Intrim'!$S$401,0)+E23</f>
        <v>#N/A</v>
      </c>
      <c r="L24" t="str">
        <f t="shared" si="8"/>
        <v>17</v>
      </c>
      <c r="M24">
        <f>COUNTIF($N$6:N24,N24)</f>
        <v>17</v>
      </c>
      <c r="N24" t="str">
        <f t="shared" si="2"/>
        <v/>
      </c>
      <c r="O24" t="str">
        <f ca="1">IFERROR(INDEX(Intrim!$F$4:$F$201,P24),"")</f>
        <v/>
      </c>
      <c r="P24" t="e">
        <f ca="1">MATCH(intrim2!N24,OFFSET(Intrim!$G$4,P23,0):'Intrim'!$G$201,0)+P23</f>
        <v>#N/A</v>
      </c>
      <c r="V24">
        <v>19</v>
      </c>
      <c r="W24" t="str">
        <f t="shared" si="3"/>
        <v/>
      </c>
      <c r="X24" t="str">
        <f>IF(W24="","",COUNTIF($W$6:W24,W24))</f>
        <v/>
      </c>
      <c r="Y24" t="e">
        <f t="shared" si="4"/>
        <v>#N/A</v>
      </c>
      <c r="Z24" t="e">
        <f t="shared" si="5"/>
        <v>#N/A</v>
      </c>
      <c r="AA24" t="e">
        <f t="shared" si="6"/>
        <v>#N/A</v>
      </c>
      <c r="AB24" t="e">
        <f>VLOOKUP(Z24,Intrim!R:Z,9,0)</f>
        <v>#N/A</v>
      </c>
    </row>
    <row r="25" spans="1:28" x14ac:dyDescent="0.25">
      <c r="A25" t="str">
        <f t="shared" si="0"/>
        <v>17</v>
      </c>
      <c r="B25">
        <f>COUNTIF($C$6:C25,C25)</f>
        <v>17</v>
      </c>
      <c r="C25" t="str">
        <f t="shared" si="1"/>
        <v/>
      </c>
      <c r="D25" t="str">
        <f ca="1">IFERROR(INDEX(Intrim!$R$4:$R$401,E25),"")</f>
        <v/>
      </c>
      <c r="E25" t="e">
        <f ca="1">MATCH(intrim2!C25,OFFSET(Intrim!$S$4,E24,0):'Intrim'!$S$401,0)+E24</f>
        <v>#N/A</v>
      </c>
      <c r="L25" t="str">
        <f t="shared" si="8"/>
        <v>18</v>
      </c>
      <c r="M25">
        <f>COUNTIF($N$6:N25,N25)</f>
        <v>18</v>
      </c>
      <c r="N25" t="str">
        <f t="shared" si="2"/>
        <v/>
      </c>
      <c r="O25" t="str">
        <f ca="1">IFERROR(INDEX(Intrim!$F$4:$F$201,P25),"")</f>
        <v/>
      </c>
      <c r="P25" t="e">
        <f ca="1">MATCH(intrim2!N25,OFFSET(Intrim!$G$4,P24,0):'Intrim'!$G$201,0)+P24</f>
        <v>#N/A</v>
      </c>
      <c r="V25">
        <v>20</v>
      </c>
      <c r="W25" t="str">
        <f t="shared" si="3"/>
        <v/>
      </c>
      <c r="X25" t="str">
        <f>IF(W25="","",COUNTIF($W$6:W25,W25))</f>
        <v/>
      </c>
      <c r="Y25" t="e">
        <f t="shared" si="4"/>
        <v>#N/A</v>
      </c>
      <c r="Z25" t="e">
        <f t="shared" si="5"/>
        <v>#N/A</v>
      </c>
      <c r="AA25" t="e">
        <f t="shared" si="6"/>
        <v>#N/A</v>
      </c>
      <c r="AB25" t="e">
        <f>VLOOKUP(Z25,Intrim!R:Z,9,0)</f>
        <v>#N/A</v>
      </c>
    </row>
    <row r="26" spans="1:28" x14ac:dyDescent="0.25">
      <c r="A26" t="str">
        <f t="shared" ref="A26:A71" si="9">+B26&amp;C26</f>
        <v>18</v>
      </c>
      <c r="B26">
        <f>COUNTIF($C$6:C26,C26)</f>
        <v>18</v>
      </c>
      <c r="C26" t="str">
        <f t="shared" si="1"/>
        <v/>
      </c>
      <c r="D26" t="str">
        <f ca="1">IFERROR(INDEX(Intrim!$R$4:$R$401,E26),"")</f>
        <v/>
      </c>
      <c r="E26" t="e">
        <f ca="1">MATCH(intrim2!C26,OFFSET(Intrim!$S$4,E25,0):'Intrim'!$S$401,0)+E25</f>
        <v>#N/A</v>
      </c>
      <c r="L26" t="str">
        <f t="shared" si="8"/>
        <v>19</v>
      </c>
      <c r="M26">
        <f>COUNTIF($N$6:N26,N26)</f>
        <v>19</v>
      </c>
      <c r="N26" t="str">
        <f t="shared" si="2"/>
        <v/>
      </c>
      <c r="O26" t="str">
        <f ca="1">IFERROR(INDEX(Intrim!$F$4:$F$201,P26),"")</f>
        <v/>
      </c>
      <c r="P26" t="e">
        <f ca="1">MATCH(intrim2!N26,OFFSET(Intrim!$G$4,P25,0):'Intrim'!$G$201,0)+P25</f>
        <v>#N/A</v>
      </c>
      <c r="V26">
        <v>21</v>
      </c>
      <c r="W26" t="str">
        <f t="shared" si="3"/>
        <v/>
      </c>
      <c r="X26" t="str">
        <f>IF(W26="","",COUNTIF($W$6:W26,W26))</f>
        <v/>
      </c>
      <c r="Y26" t="e">
        <f t="shared" si="4"/>
        <v>#N/A</v>
      </c>
      <c r="Z26" t="e">
        <f t="shared" si="5"/>
        <v>#N/A</v>
      </c>
      <c r="AA26" t="e">
        <f t="shared" si="6"/>
        <v>#N/A</v>
      </c>
      <c r="AB26" t="e">
        <f>VLOOKUP(Z26,Intrim!R:Z,9,0)</f>
        <v>#N/A</v>
      </c>
    </row>
    <row r="27" spans="1:28" x14ac:dyDescent="0.25">
      <c r="A27" t="str">
        <f t="shared" si="9"/>
        <v>19</v>
      </c>
      <c r="B27">
        <f>COUNTIF($C$6:C27,C27)</f>
        <v>19</v>
      </c>
      <c r="C27" t="str">
        <f t="shared" si="1"/>
        <v/>
      </c>
      <c r="D27" t="str">
        <f ca="1">IFERROR(INDEX(Intrim!$R$4:$R$401,E27),"")</f>
        <v/>
      </c>
      <c r="E27" t="e">
        <f ca="1">MATCH(intrim2!C27,OFFSET(Intrim!$S$4,E26,0):'Intrim'!$S$401,0)+E26</f>
        <v>#N/A</v>
      </c>
      <c r="L27" t="str">
        <f t="shared" si="8"/>
        <v>20</v>
      </c>
      <c r="M27">
        <f>COUNTIF($N$6:N27,N27)</f>
        <v>20</v>
      </c>
      <c r="N27" t="str">
        <f t="shared" si="2"/>
        <v/>
      </c>
      <c r="O27" t="str">
        <f ca="1">IFERROR(INDEX(Intrim!$F$4:$F$201,P27),"")</f>
        <v/>
      </c>
      <c r="P27" t="e">
        <f ca="1">MATCH(intrim2!N27,OFFSET(Intrim!$G$4,P26,0):'Intrim'!$G$201,0)+P26</f>
        <v>#N/A</v>
      </c>
      <c r="V27">
        <v>22</v>
      </c>
      <c r="W27" t="str">
        <f t="shared" si="3"/>
        <v/>
      </c>
      <c r="X27" t="str">
        <f>IF(W27="","",COUNTIF($W$6:W27,W27))</f>
        <v/>
      </c>
      <c r="Y27" t="e">
        <f t="shared" si="4"/>
        <v>#N/A</v>
      </c>
      <c r="Z27" t="e">
        <f t="shared" si="5"/>
        <v>#N/A</v>
      </c>
      <c r="AA27" t="e">
        <f t="shared" si="6"/>
        <v>#N/A</v>
      </c>
      <c r="AB27" t="e">
        <f>VLOOKUP(Z27,Intrim!R:Z,9,0)</f>
        <v>#N/A</v>
      </c>
    </row>
    <row r="28" spans="1:28" x14ac:dyDescent="0.25">
      <c r="A28" t="str">
        <f t="shared" si="9"/>
        <v>20</v>
      </c>
      <c r="B28">
        <f>COUNTIF($C$6:C28,C28)</f>
        <v>20</v>
      </c>
      <c r="C28" t="str">
        <f t="shared" si="1"/>
        <v/>
      </c>
      <c r="D28" t="str">
        <f ca="1">IFERROR(INDEX(Intrim!$R$4:$R$401,E28),"")</f>
        <v/>
      </c>
      <c r="E28" t="e">
        <f ca="1">MATCH(intrim2!C28,OFFSET(Intrim!$S$4,E27,0):'Intrim'!$S$401,0)+E27</f>
        <v>#N/A</v>
      </c>
      <c r="L28" t="str">
        <f t="shared" si="8"/>
        <v>21</v>
      </c>
      <c r="M28">
        <f>COUNTIF($N$6:N28,N28)</f>
        <v>21</v>
      </c>
      <c r="N28" t="str">
        <f t="shared" si="2"/>
        <v/>
      </c>
      <c r="O28" t="str">
        <f ca="1">IFERROR(INDEX(Intrim!$F$4:$F$201,P28),"")</f>
        <v/>
      </c>
      <c r="P28" t="e">
        <f ca="1">MATCH(intrim2!N28,OFFSET(Intrim!$G$4,P27,0):'Intrim'!$G$201,0)+P27</f>
        <v>#N/A</v>
      </c>
      <c r="V28">
        <v>23</v>
      </c>
      <c r="W28" t="str">
        <f t="shared" si="3"/>
        <v/>
      </c>
      <c r="X28" t="str">
        <f>IF(W28="","",COUNTIF($W$6:W28,W28))</f>
        <v/>
      </c>
      <c r="Y28" t="e">
        <f t="shared" si="4"/>
        <v>#N/A</v>
      </c>
      <c r="Z28" t="e">
        <f t="shared" si="5"/>
        <v>#N/A</v>
      </c>
      <c r="AA28" t="e">
        <f t="shared" si="6"/>
        <v>#N/A</v>
      </c>
      <c r="AB28" t="e">
        <f>VLOOKUP(Z28,Intrim!R:Z,9,0)</f>
        <v>#N/A</v>
      </c>
    </row>
    <row r="29" spans="1:28" x14ac:dyDescent="0.25">
      <c r="A29" t="str">
        <f t="shared" si="9"/>
        <v>21</v>
      </c>
      <c r="B29">
        <f>COUNTIF($C$6:C29,C29)</f>
        <v>21</v>
      </c>
      <c r="C29" t="str">
        <f t="shared" si="1"/>
        <v/>
      </c>
      <c r="D29" t="str">
        <f ca="1">IFERROR(INDEX(Intrim!$R$4:$R$401,E29),"")</f>
        <v/>
      </c>
      <c r="E29" t="e">
        <f ca="1">MATCH(intrim2!C29,OFFSET(Intrim!$S$4,E28,0):'Intrim'!$S$401,0)+E28</f>
        <v>#N/A</v>
      </c>
      <c r="L29" t="str">
        <f t="shared" si="8"/>
        <v>22</v>
      </c>
      <c r="M29">
        <f>COUNTIF($N$6:N29,N29)</f>
        <v>22</v>
      </c>
      <c r="N29" t="str">
        <f t="shared" si="2"/>
        <v/>
      </c>
      <c r="O29" t="str">
        <f ca="1">IFERROR(INDEX(Intrim!$F$4:$F$201,P29),"")</f>
        <v/>
      </c>
      <c r="P29" t="e">
        <f ca="1">MATCH(intrim2!N29,OFFSET(Intrim!$G$4,P28,0):'Intrim'!$G$201,0)+P28</f>
        <v>#N/A</v>
      </c>
      <c r="V29">
        <v>24</v>
      </c>
      <c r="W29" t="str">
        <f t="shared" si="3"/>
        <v/>
      </c>
      <c r="X29" t="str">
        <f>IF(W29="","",COUNTIF($W$6:W29,W29))</f>
        <v/>
      </c>
      <c r="Y29" t="e">
        <f t="shared" si="4"/>
        <v>#N/A</v>
      </c>
      <c r="Z29" t="e">
        <f t="shared" si="5"/>
        <v>#N/A</v>
      </c>
      <c r="AA29" t="e">
        <f t="shared" si="6"/>
        <v>#N/A</v>
      </c>
      <c r="AB29" t="e">
        <f>VLOOKUP(Z29,Intrim!R:Z,9,0)</f>
        <v>#N/A</v>
      </c>
    </row>
    <row r="30" spans="1:28" x14ac:dyDescent="0.25">
      <c r="A30" t="str">
        <f t="shared" si="9"/>
        <v>22</v>
      </c>
      <c r="B30">
        <f>COUNTIF($C$6:C30,C30)</f>
        <v>22</v>
      </c>
      <c r="C30" t="str">
        <f t="shared" si="1"/>
        <v/>
      </c>
      <c r="D30" t="str">
        <f ca="1">IFERROR(INDEX(Intrim!$R$4:$R$401,E30),"")</f>
        <v/>
      </c>
      <c r="E30" t="e">
        <f ca="1">MATCH(intrim2!C30,OFFSET(Intrim!$S$4,E29,0):'Intrim'!$S$401,0)+E29</f>
        <v>#N/A</v>
      </c>
      <c r="L30" t="str">
        <f t="shared" si="8"/>
        <v>23</v>
      </c>
      <c r="M30">
        <f>COUNTIF($N$6:N30,N30)</f>
        <v>23</v>
      </c>
      <c r="N30" t="str">
        <f t="shared" si="2"/>
        <v/>
      </c>
      <c r="O30" t="str">
        <f ca="1">IFERROR(INDEX(Intrim!$F$4:$F$201,P30),"")</f>
        <v/>
      </c>
      <c r="P30" t="e">
        <f ca="1">MATCH(intrim2!N30,OFFSET(Intrim!$G$4,P29,0):'Intrim'!$G$201,0)+P29</f>
        <v>#N/A</v>
      </c>
      <c r="V30">
        <v>25</v>
      </c>
      <c r="W30" t="str">
        <f t="shared" si="3"/>
        <v/>
      </c>
      <c r="X30" t="str">
        <f>IF(W30="","",COUNTIF($W$6:W30,W30))</f>
        <v/>
      </c>
      <c r="Y30" t="e">
        <f t="shared" si="4"/>
        <v>#N/A</v>
      </c>
      <c r="Z30" t="e">
        <f t="shared" si="5"/>
        <v>#N/A</v>
      </c>
      <c r="AA30" t="e">
        <f t="shared" si="6"/>
        <v>#N/A</v>
      </c>
      <c r="AB30" t="e">
        <f>VLOOKUP(Z30,Intrim!R:Z,9,0)</f>
        <v>#N/A</v>
      </c>
    </row>
    <row r="31" spans="1:28" x14ac:dyDescent="0.25">
      <c r="A31" t="str">
        <f t="shared" si="9"/>
        <v>23</v>
      </c>
      <c r="B31">
        <f>COUNTIF($C$6:C31,C31)</f>
        <v>23</v>
      </c>
      <c r="C31" t="str">
        <f t="shared" si="1"/>
        <v/>
      </c>
      <c r="D31" t="str">
        <f ca="1">IFERROR(INDEX(Intrim!$R$4:$R$401,E31),"")</f>
        <v/>
      </c>
      <c r="E31" t="e">
        <f ca="1">MATCH(intrim2!C31,OFFSET(Intrim!$S$4,E30,0):'Intrim'!$S$401,0)+E30</f>
        <v>#N/A</v>
      </c>
      <c r="L31" t="str">
        <f t="shared" si="8"/>
        <v>24</v>
      </c>
      <c r="M31">
        <f>COUNTIF($N$6:N31,N31)</f>
        <v>24</v>
      </c>
      <c r="N31" t="str">
        <f t="shared" si="2"/>
        <v/>
      </c>
      <c r="O31" t="str">
        <f ca="1">IFERROR(INDEX(Intrim!$F$4:$F$201,P31),"")</f>
        <v/>
      </c>
      <c r="P31" t="e">
        <f ca="1">MATCH(intrim2!N31,OFFSET(Intrim!$G$4,P30,0):'Intrim'!$G$201,0)+P30</f>
        <v>#N/A</v>
      </c>
      <c r="V31">
        <v>26</v>
      </c>
      <c r="W31" t="str">
        <f t="shared" si="3"/>
        <v/>
      </c>
      <c r="X31" t="str">
        <f>IF(W31="","",COUNTIF($W$6:W31,W31))</f>
        <v/>
      </c>
      <c r="Y31" t="e">
        <f t="shared" si="4"/>
        <v>#N/A</v>
      </c>
      <c r="Z31" t="e">
        <f t="shared" si="5"/>
        <v>#N/A</v>
      </c>
      <c r="AA31" t="e">
        <f t="shared" si="6"/>
        <v>#N/A</v>
      </c>
      <c r="AB31" t="e">
        <f>VLOOKUP(Z31,Intrim!R:Z,9,0)</f>
        <v>#N/A</v>
      </c>
    </row>
    <row r="32" spans="1:28" x14ac:dyDescent="0.25">
      <c r="A32" t="str">
        <f t="shared" si="9"/>
        <v>24</v>
      </c>
      <c r="B32">
        <f>COUNTIF($C$6:C32,C32)</f>
        <v>24</v>
      </c>
      <c r="C32" t="str">
        <f t="shared" si="1"/>
        <v/>
      </c>
      <c r="D32" t="str">
        <f ca="1">IFERROR(INDEX(Intrim!$R$4:$R$401,E32),"")</f>
        <v/>
      </c>
      <c r="E32" t="e">
        <f ca="1">MATCH(intrim2!C32,OFFSET(Intrim!$S$4,E31,0):'Intrim'!$S$401,0)+E31</f>
        <v>#N/A</v>
      </c>
      <c r="L32" t="str">
        <f t="shared" si="8"/>
        <v>25</v>
      </c>
      <c r="M32">
        <f>COUNTIF($N$6:N32,N32)</f>
        <v>25</v>
      </c>
      <c r="N32" t="str">
        <f t="shared" si="2"/>
        <v/>
      </c>
      <c r="O32" t="str">
        <f ca="1">IFERROR(INDEX(Intrim!$F$4:$F$201,P32),"")</f>
        <v/>
      </c>
      <c r="P32" t="e">
        <f ca="1">MATCH(intrim2!N32,OFFSET(Intrim!$G$4,P31,0):'Intrim'!$G$201,0)+P31</f>
        <v>#N/A</v>
      </c>
      <c r="V32">
        <v>27</v>
      </c>
      <c r="W32" t="str">
        <f t="shared" si="3"/>
        <v/>
      </c>
      <c r="X32" t="str">
        <f>IF(W32="","",COUNTIF($W$6:W32,W32))</f>
        <v/>
      </c>
      <c r="Y32" t="e">
        <f t="shared" si="4"/>
        <v>#N/A</v>
      </c>
      <c r="Z32" t="e">
        <f t="shared" si="5"/>
        <v>#N/A</v>
      </c>
      <c r="AA32" t="e">
        <f t="shared" si="6"/>
        <v>#N/A</v>
      </c>
      <c r="AB32" t="e">
        <f>VLOOKUP(Z32,Intrim!R:Z,9,0)</f>
        <v>#N/A</v>
      </c>
    </row>
    <row r="33" spans="1:28" x14ac:dyDescent="0.25">
      <c r="A33" t="str">
        <f t="shared" si="9"/>
        <v>25</v>
      </c>
      <c r="B33">
        <f>COUNTIF($C$6:C33,C33)</f>
        <v>25</v>
      </c>
      <c r="C33" t="str">
        <f t="shared" si="1"/>
        <v/>
      </c>
      <c r="D33" t="str">
        <f ca="1">IFERROR(INDEX(Intrim!$R$4:$R$401,E33),"")</f>
        <v/>
      </c>
      <c r="E33" t="e">
        <f ca="1">MATCH(intrim2!C33,OFFSET(Intrim!$S$4,E32,0):'Intrim'!$S$401,0)+E32</f>
        <v>#N/A</v>
      </c>
      <c r="L33" t="str">
        <f t="shared" si="8"/>
        <v>26</v>
      </c>
      <c r="M33">
        <f>COUNTIF($N$6:N33,N33)</f>
        <v>26</v>
      </c>
      <c r="N33" t="str">
        <f t="shared" si="2"/>
        <v/>
      </c>
      <c r="O33" t="str">
        <f ca="1">IFERROR(INDEX(Intrim!$F$4:$F$201,P33),"")</f>
        <v/>
      </c>
      <c r="P33" t="e">
        <f ca="1">MATCH(intrim2!N33,OFFSET(Intrim!$G$4,P32,0):'Intrim'!$G$201,0)+P32</f>
        <v>#N/A</v>
      </c>
      <c r="V33">
        <v>28</v>
      </c>
      <c r="W33" t="str">
        <f t="shared" si="3"/>
        <v/>
      </c>
      <c r="X33" t="str">
        <f>IF(W33="","",COUNTIF($W$6:W33,W33))</f>
        <v/>
      </c>
      <c r="Y33" t="e">
        <f t="shared" si="4"/>
        <v>#N/A</v>
      </c>
      <c r="Z33" t="e">
        <f t="shared" si="5"/>
        <v>#N/A</v>
      </c>
      <c r="AA33" t="e">
        <f t="shared" si="6"/>
        <v>#N/A</v>
      </c>
      <c r="AB33" t="e">
        <f>VLOOKUP(Z33,Intrim!R:Z,9,0)</f>
        <v>#N/A</v>
      </c>
    </row>
    <row r="34" spans="1:28" x14ac:dyDescent="0.25">
      <c r="A34" t="str">
        <f t="shared" si="9"/>
        <v>26</v>
      </c>
      <c r="B34">
        <f>COUNTIF($C$6:C34,C34)</f>
        <v>26</v>
      </c>
      <c r="C34" t="str">
        <f t="shared" si="1"/>
        <v/>
      </c>
      <c r="D34" t="str">
        <f ca="1">IFERROR(INDEX(Intrim!$R$4:$R$401,E34),"")</f>
        <v/>
      </c>
      <c r="E34" t="e">
        <f ca="1">MATCH(intrim2!C34,OFFSET(Intrim!$S$4,E33,0):'Intrim'!$S$401,0)+E33</f>
        <v>#N/A</v>
      </c>
      <c r="L34" t="str">
        <f t="shared" si="8"/>
        <v>27</v>
      </c>
      <c r="M34">
        <f>COUNTIF($N$6:N34,N34)</f>
        <v>27</v>
      </c>
      <c r="N34" t="str">
        <f t="shared" si="2"/>
        <v/>
      </c>
      <c r="O34" t="str">
        <f ca="1">IFERROR(INDEX(Intrim!$F$4:$F$201,P34),"")</f>
        <v/>
      </c>
      <c r="P34" t="e">
        <f ca="1">MATCH(intrim2!N34,OFFSET(Intrim!$G$4,P33,0):'Intrim'!$G$201,0)+P33</f>
        <v>#N/A</v>
      </c>
      <c r="V34">
        <v>29</v>
      </c>
      <c r="W34" t="str">
        <f t="shared" si="3"/>
        <v/>
      </c>
      <c r="X34" t="str">
        <f>IF(W34="","",COUNTIF($W$6:W34,W34))</f>
        <v/>
      </c>
      <c r="Y34" t="e">
        <f t="shared" si="4"/>
        <v>#N/A</v>
      </c>
      <c r="Z34" t="e">
        <f t="shared" si="5"/>
        <v>#N/A</v>
      </c>
      <c r="AA34" t="e">
        <f t="shared" si="6"/>
        <v>#N/A</v>
      </c>
      <c r="AB34" t="e">
        <f>VLOOKUP(Z34,Intrim!R:Z,9,0)</f>
        <v>#N/A</v>
      </c>
    </row>
    <row r="35" spans="1:28" x14ac:dyDescent="0.25">
      <c r="A35" t="str">
        <f t="shared" si="9"/>
        <v>27</v>
      </c>
      <c r="B35">
        <f>COUNTIF($C$6:C35,C35)</f>
        <v>27</v>
      </c>
      <c r="C35" t="str">
        <f t="shared" si="1"/>
        <v/>
      </c>
      <c r="D35" t="str">
        <f ca="1">IFERROR(INDEX(Intrim!$R$4:$R$401,E35),"")</f>
        <v/>
      </c>
      <c r="E35" t="e">
        <f ca="1">MATCH(intrim2!C35,OFFSET(Intrim!$S$4,E34,0):'Intrim'!$S$401,0)+E34</f>
        <v>#N/A</v>
      </c>
      <c r="L35" t="str">
        <f t="shared" si="8"/>
        <v>28</v>
      </c>
      <c r="M35">
        <f>COUNTIF($N$6:N35,N35)</f>
        <v>28</v>
      </c>
      <c r="N35" t="str">
        <f t="shared" si="2"/>
        <v/>
      </c>
      <c r="O35" t="str">
        <f ca="1">IFERROR(INDEX(Intrim!$F$4:$F$201,P35),"")</f>
        <v/>
      </c>
      <c r="P35" t="e">
        <f ca="1">MATCH(intrim2!N35,OFFSET(Intrim!$G$4,P34,0):'Intrim'!$G$201,0)+P34</f>
        <v>#N/A</v>
      </c>
      <c r="V35">
        <v>30</v>
      </c>
      <c r="W35" t="str">
        <f t="shared" si="3"/>
        <v/>
      </c>
      <c r="X35" t="str">
        <f>IF(W35="","",COUNTIF($W$6:W35,W35))</f>
        <v/>
      </c>
      <c r="Y35" t="e">
        <f t="shared" si="4"/>
        <v>#N/A</v>
      </c>
      <c r="Z35" t="e">
        <f t="shared" si="5"/>
        <v>#N/A</v>
      </c>
      <c r="AA35" t="e">
        <f t="shared" si="6"/>
        <v>#N/A</v>
      </c>
      <c r="AB35" t="e">
        <f>VLOOKUP(Z35,Intrim!R:Z,9,0)</f>
        <v>#N/A</v>
      </c>
    </row>
    <row r="36" spans="1:28" x14ac:dyDescent="0.25">
      <c r="A36" t="str">
        <f t="shared" si="9"/>
        <v>28</v>
      </c>
      <c r="B36">
        <f>COUNTIF($C$6:C36,C36)</f>
        <v>28</v>
      </c>
      <c r="C36" t="str">
        <f t="shared" si="1"/>
        <v/>
      </c>
      <c r="D36" t="str">
        <f ca="1">IFERROR(INDEX(Intrim!$R$4:$R$401,E36),"")</f>
        <v/>
      </c>
      <c r="E36" t="e">
        <f ca="1">MATCH(intrim2!C36,OFFSET(Intrim!$S$4,E35,0):'Intrim'!$S$401,0)+E35</f>
        <v>#N/A</v>
      </c>
      <c r="L36" t="str">
        <f t="shared" si="8"/>
        <v>29</v>
      </c>
      <c r="M36">
        <f>COUNTIF($N$6:N36,N36)</f>
        <v>29</v>
      </c>
      <c r="N36" t="str">
        <f t="shared" si="2"/>
        <v/>
      </c>
      <c r="O36" t="str">
        <f ca="1">IFERROR(INDEX(Intrim!$F$4:$F$201,P36),"")</f>
        <v/>
      </c>
      <c r="P36" t="e">
        <f ca="1">MATCH(intrim2!N36,OFFSET(Intrim!$G$4,P35,0):'Intrim'!$G$201,0)+P35</f>
        <v>#N/A</v>
      </c>
      <c r="V36">
        <v>31</v>
      </c>
      <c r="W36" t="str">
        <f t="shared" si="3"/>
        <v/>
      </c>
      <c r="X36" t="str">
        <f>IF(W36="","",COUNTIF($W$6:W36,W36))</f>
        <v/>
      </c>
      <c r="Y36" t="e">
        <f t="shared" si="4"/>
        <v>#N/A</v>
      </c>
      <c r="Z36" t="e">
        <f t="shared" si="5"/>
        <v>#N/A</v>
      </c>
      <c r="AA36" t="e">
        <f t="shared" si="6"/>
        <v>#N/A</v>
      </c>
      <c r="AB36" t="e">
        <f>VLOOKUP(Z36,Intrim!R:Z,9,0)</f>
        <v>#N/A</v>
      </c>
    </row>
    <row r="37" spans="1:28" x14ac:dyDescent="0.25">
      <c r="A37" t="str">
        <f t="shared" si="9"/>
        <v>29</v>
      </c>
      <c r="B37">
        <f>COUNTIF($C$6:C37,C37)</f>
        <v>29</v>
      </c>
      <c r="C37" t="str">
        <f t="shared" si="1"/>
        <v/>
      </c>
      <c r="D37" t="str">
        <f ca="1">IFERROR(INDEX(Intrim!$R$4:$R$401,E37),"")</f>
        <v/>
      </c>
      <c r="E37" t="e">
        <f ca="1">MATCH(intrim2!C37,OFFSET(Intrim!$S$4,E36,0):'Intrim'!$S$401,0)+E36</f>
        <v>#N/A</v>
      </c>
      <c r="L37" t="str">
        <f t="shared" si="8"/>
        <v>30</v>
      </c>
      <c r="M37">
        <f>COUNTIF($N$6:N37,N37)</f>
        <v>30</v>
      </c>
      <c r="N37" t="str">
        <f t="shared" si="2"/>
        <v/>
      </c>
      <c r="O37" t="str">
        <f ca="1">IFERROR(INDEX(Intrim!$F$4:$F$201,P37),"")</f>
        <v/>
      </c>
      <c r="P37" t="e">
        <f ca="1">MATCH(intrim2!N37,OFFSET(Intrim!$G$4,P36,0):'Intrim'!$G$201,0)+P36</f>
        <v>#N/A</v>
      </c>
      <c r="V37">
        <v>32</v>
      </c>
      <c r="W37" t="str">
        <f t="shared" si="3"/>
        <v/>
      </c>
      <c r="X37" t="str">
        <f>IF(W37="","",COUNTIF($W$6:W37,W37))</f>
        <v/>
      </c>
      <c r="Y37" t="e">
        <f t="shared" si="4"/>
        <v>#N/A</v>
      </c>
      <c r="Z37" t="e">
        <f t="shared" si="5"/>
        <v>#N/A</v>
      </c>
      <c r="AA37" t="e">
        <f t="shared" si="6"/>
        <v>#N/A</v>
      </c>
      <c r="AB37" t="e">
        <f>VLOOKUP(Z37,Intrim!R:Z,9,0)</f>
        <v>#N/A</v>
      </c>
    </row>
    <row r="38" spans="1:28" x14ac:dyDescent="0.25">
      <c r="A38" t="str">
        <f t="shared" si="9"/>
        <v>30</v>
      </c>
      <c r="B38">
        <f>COUNTIF($C$6:C38,C38)</f>
        <v>30</v>
      </c>
      <c r="C38" t="str">
        <f t="shared" si="1"/>
        <v/>
      </c>
      <c r="D38" t="str">
        <f ca="1">IFERROR(INDEX(Intrim!$R$4:$R$401,E38),"")</f>
        <v/>
      </c>
      <c r="E38" t="e">
        <f ca="1">MATCH(intrim2!C38,OFFSET(Intrim!$S$4,E37,0):'Intrim'!$S$401,0)+E37</f>
        <v>#N/A</v>
      </c>
      <c r="L38" t="str">
        <f t="shared" si="8"/>
        <v>31</v>
      </c>
      <c r="M38">
        <f>COUNTIF($N$6:N38,N38)</f>
        <v>31</v>
      </c>
      <c r="N38" t="str">
        <f t="shared" si="2"/>
        <v/>
      </c>
      <c r="O38" t="str">
        <f ca="1">IFERROR(INDEX(Intrim!$F$4:$F$201,P38),"")</f>
        <v/>
      </c>
      <c r="P38" t="e">
        <f ca="1">MATCH(intrim2!N38,OFFSET(Intrim!$G$4,P37,0):'Intrim'!$G$201,0)+P37</f>
        <v>#N/A</v>
      </c>
      <c r="V38">
        <v>33</v>
      </c>
      <c r="W38" t="str">
        <f t="shared" si="3"/>
        <v/>
      </c>
      <c r="X38" t="str">
        <f>IF(W38="","",COUNTIF($W$6:W38,W38))</f>
        <v/>
      </c>
      <c r="Y38" t="e">
        <f t="shared" si="4"/>
        <v>#N/A</v>
      </c>
      <c r="Z38" t="e">
        <f t="shared" si="5"/>
        <v>#N/A</v>
      </c>
      <c r="AA38" t="e">
        <f t="shared" si="6"/>
        <v>#N/A</v>
      </c>
      <c r="AB38" t="e">
        <f>VLOOKUP(Z38,Intrim!R:Z,9,0)</f>
        <v>#N/A</v>
      </c>
    </row>
    <row r="39" spans="1:28" x14ac:dyDescent="0.25">
      <c r="A39" t="str">
        <f t="shared" si="9"/>
        <v>31</v>
      </c>
      <c r="B39">
        <f>COUNTIF($C$6:C39,C39)</f>
        <v>31</v>
      </c>
      <c r="C39" t="str">
        <f t="shared" si="1"/>
        <v/>
      </c>
      <c r="D39" t="str">
        <f ca="1">IFERROR(INDEX(Intrim!$R$4:$R$401,E39),"")</f>
        <v/>
      </c>
      <c r="E39" t="e">
        <f ca="1">MATCH(intrim2!C39,OFFSET(Intrim!$S$4,E38,0):'Intrim'!$S$401,0)+E38</f>
        <v>#N/A</v>
      </c>
      <c r="L39" t="str">
        <f t="shared" si="8"/>
        <v>32</v>
      </c>
      <c r="M39">
        <f>COUNTIF($N$6:N39,N39)</f>
        <v>32</v>
      </c>
      <c r="N39" t="str">
        <f t="shared" si="2"/>
        <v/>
      </c>
      <c r="O39" t="str">
        <f ca="1">IFERROR(INDEX(Intrim!$F$4:$F$201,P39),"")</f>
        <v/>
      </c>
      <c r="P39" t="e">
        <f ca="1">MATCH(intrim2!N39,OFFSET(Intrim!$G$4,P38,0):'Intrim'!$G$201,0)+P38</f>
        <v>#N/A</v>
      </c>
      <c r="V39">
        <v>34</v>
      </c>
      <c r="W39" t="str">
        <f t="shared" si="3"/>
        <v/>
      </c>
      <c r="X39" t="str">
        <f>IF(W39="","",COUNTIF($W$6:W39,W39))</f>
        <v/>
      </c>
      <c r="Y39" t="e">
        <f t="shared" si="4"/>
        <v>#N/A</v>
      </c>
      <c r="Z39" t="e">
        <f t="shared" si="5"/>
        <v>#N/A</v>
      </c>
      <c r="AA39" t="e">
        <f t="shared" si="6"/>
        <v>#N/A</v>
      </c>
      <c r="AB39" t="e">
        <f>VLOOKUP(Z39,Intrim!R:Z,9,0)</f>
        <v>#N/A</v>
      </c>
    </row>
    <row r="40" spans="1:28" x14ac:dyDescent="0.25">
      <c r="A40" t="str">
        <f t="shared" si="9"/>
        <v>32</v>
      </c>
      <c r="B40">
        <f>COUNTIF($C$6:C40,C40)</f>
        <v>32</v>
      </c>
      <c r="C40" t="str">
        <f t="shared" si="1"/>
        <v/>
      </c>
      <c r="D40" t="str">
        <f ca="1">IFERROR(INDEX(Intrim!$R$4:$R$401,E40),"")</f>
        <v/>
      </c>
      <c r="E40" t="e">
        <f ca="1">MATCH(intrim2!C40,OFFSET(Intrim!$S$4,E39,0):'Intrim'!$S$401,0)+E39</f>
        <v>#N/A</v>
      </c>
      <c r="L40" t="str">
        <f t="shared" si="8"/>
        <v>33</v>
      </c>
      <c r="M40">
        <f>COUNTIF($N$6:N40,N40)</f>
        <v>33</v>
      </c>
      <c r="N40" t="str">
        <f t="shared" si="2"/>
        <v/>
      </c>
      <c r="O40" t="str">
        <f ca="1">IFERROR(INDEX(Intrim!$F$4:$F$201,P40),"")</f>
        <v/>
      </c>
      <c r="P40" t="e">
        <f ca="1">MATCH(intrim2!N40,OFFSET(Intrim!$G$4,P39,0):'Intrim'!$G$201,0)+P39</f>
        <v>#N/A</v>
      </c>
      <c r="V40">
        <v>35</v>
      </c>
      <c r="W40" t="str">
        <f t="shared" si="3"/>
        <v/>
      </c>
      <c r="X40" t="str">
        <f>IF(W40="","",COUNTIF($W$6:W40,W40))</f>
        <v/>
      </c>
      <c r="Y40" t="e">
        <f t="shared" si="4"/>
        <v>#N/A</v>
      </c>
      <c r="Z40" t="e">
        <f t="shared" si="5"/>
        <v>#N/A</v>
      </c>
      <c r="AA40" t="e">
        <f t="shared" si="6"/>
        <v>#N/A</v>
      </c>
      <c r="AB40" t="e">
        <f>VLOOKUP(Z40,Intrim!R:Z,9,0)</f>
        <v>#N/A</v>
      </c>
    </row>
    <row r="41" spans="1:28" x14ac:dyDescent="0.25">
      <c r="A41" t="str">
        <f t="shared" si="9"/>
        <v>33</v>
      </c>
      <c r="B41">
        <f>COUNTIF($C$6:C41,C41)</f>
        <v>33</v>
      </c>
      <c r="C41" t="str">
        <f t="shared" si="1"/>
        <v/>
      </c>
      <c r="D41" t="str">
        <f ca="1">IFERROR(INDEX(Intrim!$R$4:$R$401,E41),"")</f>
        <v/>
      </c>
      <c r="E41" t="e">
        <f ca="1">MATCH(intrim2!C41,OFFSET(Intrim!$S$4,E40,0):'Intrim'!$S$401,0)+E40</f>
        <v>#N/A</v>
      </c>
      <c r="L41" t="str">
        <f t="shared" si="8"/>
        <v>34</v>
      </c>
      <c r="M41">
        <f>COUNTIF($N$6:N41,N41)</f>
        <v>34</v>
      </c>
      <c r="N41" t="str">
        <f t="shared" si="2"/>
        <v/>
      </c>
      <c r="O41" t="str">
        <f ca="1">IFERROR(INDEX(Intrim!$F$4:$F$201,P41),"")</f>
        <v/>
      </c>
      <c r="P41" t="e">
        <f ca="1">MATCH(intrim2!N41,OFFSET(Intrim!$G$4,P40,0):'Intrim'!$G$201,0)+P40</f>
        <v>#N/A</v>
      </c>
      <c r="V41">
        <v>36</v>
      </c>
      <c r="W41" t="str">
        <f t="shared" si="3"/>
        <v/>
      </c>
      <c r="X41" t="str">
        <f>IF(W41="","",COUNTIF($W$6:W41,W41))</f>
        <v/>
      </c>
      <c r="Y41" t="e">
        <f t="shared" si="4"/>
        <v>#N/A</v>
      </c>
      <c r="Z41" t="e">
        <f t="shared" si="5"/>
        <v>#N/A</v>
      </c>
      <c r="AA41" t="e">
        <f t="shared" si="6"/>
        <v>#N/A</v>
      </c>
      <c r="AB41" t="e">
        <f>VLOOKUP(Z41,Intrim!R:Z,9,0)</f>
        <v>#N/A</v>
      </c>
    </row>
    <row r="42" spans="1:28" x14ac:dyDescent="0.25">
      <c r="A42" t="str">
        <f t="shared" si="9"/>
        <v>34</v>
      </c>
      <c r="B42">
        <f>COUNTIF($C$6:C42,C42)</f>
        <v>34</v>
      </c>
      <c r="C42" t="str">
        <f t="shared" si="1"/>
        <v/>
      </c>
      <c r="D42" t="str">
        <f ca="1">IFERROR(INDEX(Intrim!$R$4:$R$401,E42),"")</f>
        <v/>
      </c>
      <c r="E42" t="e">
        <f ca="1">MATCH(intrim2!C42,OFFSET(Intrim!$S$4,E41,0):'Intrim'!$S$401,0)+E41</f>
        <v>#N/A</v>
      </c>
      <c r="L42" t="str">
        <f t="shared" si="8"/>
        <v>35</v>
      </c>
      <c r="M42">
        <f>COUNTIF($N$6:N42,N42)</f>
        <v>35</v>
      </c>
      <c r="N42" t="str">
        <f t="shared" si="2"/>
        <v/>
      </c>
      <c r="O42" t="str">
        <f ca="1">IFERROR(INDEX(Intrim!$F$4:$F$201,P42),"")</f>
        <v/>
      </c>
      <c r="P42" t="e">
        <f ca="1">MATCH(intrim2!N42,OFFSET(Intrim!$G$4,P41,0):'Intrim'!$G$201,0)+P41</f>
        <v>#N/A</v>
      </c>
      <c r="V42">
        <v>37</v>
      </c>
      <c r="W42" t="str">
        <f t="shared" si="3"/>
        <v/>
      </c>
      <c r="X42" t="str">
        <f>IF(W42="","",COUNTIF($W$6:W42,W42))</f>
        <v/>
      </c>
      <c r="Y42" t="e">
        <f t="shared" si="4"/>
        <v>#N/A</v>
      </c>
      <c r="Z42" t="e">
        <f t="shared" si="5"/>
        <v>#N/A</v>
      </c>
      <c r="AA42" t="e">
        <f t="shared" si="6"/>
        <v>#N/A</v>
      </c>
      <c r="AB42" t="e">
        <f>VLOOKUP(Z42,Intrim!R:Z,9,0)</f>
        <v>#N/A</v>
      </c>
    </row>
    <row r="43" spans="1:28" x14ac:dyDescent="0.25">
      <c r="A43" t="str">
        <f t="shared" si="9"/>
        <v>35</v>
      </c>
      <c r="B43">
        <f>COUNTIF($C$6:C43,C43)</f>
        <v>35</v>
      </c>
      <c r="C43" t="str">
        <f t="shared" si="1"/>
        <v/>
      </c>
      <c r="D43" t="str">
        <f ca="1">IFERROR(INDEX(Intrim!$R$4:$R$401,E43),"")</f>
        <v/>
      </c>
      <c r="E43" t="e">
        <f ca="1">MATCH(intrim2!C43,OFFSET(Intrim!$S$4,E42,0):'Intrim'!$S$401,0)+E42</f>
        <v>#N/A</v>
      </c>
      <c r="L43" t="str">
        <f t="shared" si="8"/>
        <v>36</v>
      </c>
      <c r="M43">
        <f>COUNTIF($N$6:N43,N43)</f>
        <v>36</v>
      </c>
      <c r="N43" t="str">
        <f t="shared" si="2"/>
        <v/>
      </c>
      <c r="O43" t="str">
        <f ca="1">IFERROR(INDEX(Intrim!$F$4:$F$201,P43),"")</f>
        <v/>
      </c>
      <c r="P43" t="e">
        <f ca="1">MATCH(intrim2!N43,OFFSET(Intrim!$G$4,P42,0):'Intrim'!$G$201,0)+P42</f>
        <v>#N/A</v>
      </c>
      <c r="V43">
        <v>38</v>
      </c>
      <c r="W43" t="str">
        <f t="shared" si="3"/>
        <v/>
      </c>
      <c r="X43" t="str">
        <f>IF(W43="","",COUNTIF($W$6:W43,W43))</f>
        <v/>
      </c>
      <c r="Y43" t="e">
        <f t="shared" si="4"/>
        <v>#N/A</v>
      </c>
      <c r="Z43" t="e">
        <f t="shared" si="5"/>
        <v>#N/A</v>
      </c>
      <c r="AA43" t="e">
        <f t="shared" si="6"/>
        <v>#N/A</v>
      </c>
      <c r="AB43" t="e">
        <f>VLOOKUP(Z43,Intrim!R:Z,9,0)</f>
        <v>#N/A</v>
      </c>
    </row>
    <row r="44" spans="1:28" x14ac:dyDescent="0.25">
      <c r="A44" t="str">
        <f t="shared" si="9"/>
        <v>36</v>
      </c>
      <c r="B44">
        <f>COUNTIF($C$6:C44,C44)</f>
        <v>36</v>
      </c>
      <c r="C44" t="str">
        <f t="shared" si="1"/>
        <v/>
      </c>
      <c r="D44" t="str">
        <f ca="1">IFERROR(INDEX(Intrim!$R$4:$R$401,E44),"")</f>
        <v/>
      </c>
      <c r="E44" t="e">
        <f ca="1">MATCH(intrim2!C44,OFFSET(Intrim!$S$4,E43,0):'Intrim'!$S$401,0)+E43</f>
        <v>#N/A</v>
      </c>
      <c r="L44" t="str">
        <f t="shared" si="8"/>
        <v>37</v>
      </c>
      <c r="M44">
        <f>COUNTIF($N$6:N44,N44)</f>
        <v>37</v>
      </c>
      <c r="N44" t="str">
        <f t="shared" si="2"/>
        <v/>
      </c>
      <c r="O44" t="str">
        <f ca="1">IFERROR(INDEX(Intrim!$F$4:$F$201,P44),"")</f>
        <v/>
      </c>
      <c r="P44" t="e">
        <f ca="1">MATCH(intrim2!N44,OFFSET(Intrim!$G$4,P43,0):'Intrim'!$G$201,0)+P43</f>
        <v>#N/A</v>
      </c>
      <c r="V44">
        <v>39</v>
      </c>
      <c r="W44" t="str">
        <f t="shared" si="3"/>
        <v/>
      </c>
      <c r="X44" t="str">
        <f>IF(W44="","",COUNTIF($W$6:W44,W44))</f>
        <v/>
      </c>
      <c r="Y44" t="e">
        <f t="shared" si="4"/>
        <v>#N/A</v>
      </c>
      <c r="Z44" t="e">
        <f t="shared" si="5"/>
        <v>#N/A</v>
      </c>
      <c r="AA44" t="e">
        <f t="shared" si="6"/>
        <v>#N/A</v>
      </c>
      <c r="AB44" t="e">
        <f>VLOOKUP(Z44,Intrim!R:Z,9,0)</f>
        <v>#N/A</v>
      </c>
    </row>
    <row r="45" spans="1:28" x14ac:dyDescent="0.25">
      <c r="A45" t="str">
        <f t="shared" si="9"/>
        <v>37</v>
      </c>
      <c r="B45">
        <f>COUNTIF($C$6:C45,C45)</f>
        <v>37</v>
      </c>
      <c r="C45" t="str">
        <f t="shared" si="1"/>
        <v/>
      </c>
      <c r="D45" t="str">
        <f ca="1">IFERROR(INDEX(Intrim!$R$4:$R$401,E45),"")</f>
        <v/>
      </c>
      <c r="E45" t="e">
        <f ca="1">MATCH(intrim2!C45,OFFSET(Intrim!$S$4,E44,0):'Intrim'!$S$401,0)+E44</f>
        <v>#N/A</v>
      </c>
      <c r="L45" t="str">
        <f t="shared" si="8"/>
        <v>38</v>
      </c>
      <c r="M45">
        <f>COUNTIF($N$6:N45,N45)</f>
        <v>38</v>
      </c>
      <c r="N45" t="str">
        <f t="shared" si="2"/>
        <v/>
      </c>
      <c r="O45" t="str">
        <f ca="1">IFERROR(INDEX(Intrim!$F$4:$F$201,P45),"")</f>
        <v/>
      </c>
      <c r="P45" t="e">
        <f ca="1">MATCH(intrim2!N45,OFFSET(Intrim!$G$4,P44,0):'Intrim'!$G$201,0)+P44</f>
        <v>#N/A</v>
      </c>
      <c r="V45">
        <v>40</v>
      </c>
      <c r="W45" t="str">
        <f t="shared" si="3"/>
        <v/>
      </c>
      <c r="X45" t="str">
        <f>IF(W45="","",COUNTIF($W$6:W45,W45))</f>
        <v/>
      </c>
      <c r="Y45" t="e">
        <f t="shared" si="4"/>
        <v>#N/A</v>
      </c>
      <c r="Z45" t="e">
        <f t="shared" si="5"/>
        <v>#N/A</v>
      </c>
      <c r="AA45" t="e">
        <f t="shared" si="6"/>
        <v>#N/A</v>
      </c>
      <c r="AB45" t="e">
        <f>VLOOKUP(Z45,Intrim!R:Z,9,0)</f>
        <v>#N/A</v>
      </c>
    </row>
    <row r="46" spans="1:28" x14ac:dyDescent="0.25">
      <c r="A46" t="str">
        <f t="shared" si="9"/>
        <v>38</v>
      </c>
      <c r="B46">
        <f>COUNTIF($C$6:C46,C46)</f>
        <v>38</v>
      </c>
      <c r="C46" t="str">
        <f t="shared" si="1"/>
        <v/>
      </c>
      <c r="D46" t="str">
        <f ca="1">IFERROR(INDEX(Intrim!$R$4:$R$401,E46),"")</f>
        <v/>
      </c>
      <c r="E46" t="e">
        <f ca="1">MATCH(intrim2!C46,OFFSET(Intrim!$S$4,E45,0):'Intrim'!$S$401,0)+E45</f>
        <v>#N/A</v>
      </c>
      <c r="L46" t="str">
        <f t="shared" si="8"/>
        <v>39</v>
      </c>
      <c r="M46">
        <f>COUNTIF($N$6:N46,N46)</f>
        <v>39</v>
      </c>
      <c r="N46" t="str">
        <f t="shared" si="2"/>
        <v/>
      </c>
      <c r="O46" t="str">
        <f ca="1">IFERROR(INDEX(Intrim!$F$4:$F$201,P46),"")</f>
        <v/>
      </c>
      <c r="P46" t="e">
        <f ca="1">MATCH(intrim2!N46,OFFSET(Intrim!$G$4,P45,0):'Intrim'!$G$201,0)+P45</f>
        <v>#N/A</v>
      </c>
      <c r="V46">
        <v>41</v>
      </c>
      <c r="W46" t="str">
        <f t="shared" si="3"/>
        <v/>
      </c>
      <c r="X46" t="str">
        <f>IF(W46="","",COUNTIF($W$6:W46,W46))</f>
        <v/>
      </c>
      <c r="Y46" t="e">
        <f t="shared" si="4"/>
        <v>#N/A</v>
      </c>
      <c r="Z46" t="e">
        <f t="shared" si="5"/>
        <v>#N/A</v>
      </c>
      <c r="AA46" t="e">
        <f t="shared" si="6"/>
        <v>#N/A</v>
      </c>
      <c r="AB46" t="e">
        <f>VLOOKUP(Z46,Intrim!R:Z,9,0)</f>
        <v>#N/A</v>
      </c>
    </row>
    <row r="47" spans="1:28" x14ac:dyDescent="0.25">
      <c r="A47" t="str">
        <f t="shared" si="9"/>
        <v>39</v>
      </c>
      <c r="B47">
        <f>COUNTIF($C$6:C47,C47)</f>
        <v>39</v>
      </c>
      <c r="C47" t="str">
        <f t="shared" si="1"/>
        <v/>
      </c>
      <c r="D47" t="str">
        <f ca="1">IFERROR(INDEX(Intrim!$R$4:$R$401,E47),"")</f>
        <v/>
      </c>
      <c r="E47" t="e">
        <f ca="1">MATCH(intrim2!C47,OFFSET(Intrim!$S$4,E46,0):'Intrim'!$S$401,0)+E46</f>
        <v>#N/A</v>
      </c>
      <c r="L47" t="str">
        <f t="shared" si="8"/>
        <v>40</v>
      </c>
      <c r="M47">
        <f>COUNTIF($N$6:N47,N47)</f>
        <v>40</v>
      </c>
      <c r="N47" t="str">
        <f t="shared" si="2"/>
        <v/>
      </c>
      <c r="O47" t="str">
        <f ca="1">IFERROR(INDEX(Intrim!$F$4:$F$201,P47),"")</f>
        <v/>
      </c>
      <c r="P47" t="e">
        <f ca="1">MATCH(intrim2!N47,OFFSET(Intrim!$G$4,P46,0):'Intrim'!$G$201,0)+P46</f>
        <v>#N/A</v>
      </c>
      <c r="V47">
        <v>42</v>
      </c>
      <c r="W47" t="str">
        <f t="shared" si="3"/>
        <v/>
      </c>
      <c r="X47" t="str">
        <f>IF(W47="","",COUNTIF($W$6:W47,W47))</f>
        <v/>
      </c>
      <c r="Y47" t="e">
        <f t="shared" si="4"/>
        <v>#N/A</v>
      </c>
      <c r="Z47" t="e">
        <f t="shared" si="5"/>
        <v>#N/A</v>
      </c>
      <c r="AA47" t="e">
        <f t="shared" si="6"/>
        <v>#N/A</v>
      </c>
      <c r="AB47" t="e">
        <f>VLOOKUP(Z47,Intrim!R:Z,9,0)</f>
        <v>#N/A</v>
      </c>
    </row>
    <row r="48" spans="1:28" x14ac:dyDescent="0.25">
      <c r="A48" t="str">
        <f t="shared" si="9"/>
        <v>40</v>
      </c>
      <c r="B48">
        <f>COUNTIF($C$6:C48,C48)</f>
        <v>40</v>
      </c>
      <c r="C48" t="str">
        <f t="shared" si="1"/>
        <v/>
      </c>
      <c r="D48" t="str">
        <f ca="1">IFERROR(INDEX(Intrim!$R$4:$R$401,E48),"")</f>
        <v/>
      </c>
      <c r="E48" t="e">
        <f ca="1">MATCH(intrim2!C48,OFFSET(Intrim!$S$4,E47,0):'Intrim'!$S$401,0)+E47</f>
        <v>#N/A</v>
      </c>
      <c r="L48" t="str">
        <f t="shared" si="8"/>
        <v>41</v>
      </c>
      <c r="M48">
        <f>COUNTIF($N$6:N48,N48)</f>
        <v>41</v>
      </c>
      <c r="N48" t="str">
        <f t="shared" si="2"/>
        <v/>
      </c>
      <c r="O48" t="str">
        <f ca="1">IFERROR(INDEX(Intrim!$F$4:$F$201,P48),"")</f>
        <v/>
      </c>
      <c r="P48" t="e">
        <f ca="1">MATCH(intrim2!N48,OFFSET(Intrim!$G$4,P47,0):'Intrim'!$G$201,0)+P47</f>
        <v>#N/A</v>
      </c>
      <c r="V48">
        <v>43</v>
      </c>
      <c r="W48" t="str">
        <f t="shared" si="3"/>
        <v/>
      </c>
      <c r="X48" t="str">
        <f>IF(W48="","",COUNTIF($W$6:W48,W48))</f>
        <v/>
      </c>
      <c r="Y48" t="e">
        <f t="shared" si="4"/>
        <v>#N/A</v>
      </c>
      <c r="Z48" t="e">
        <f t="shared" si="5"/>
        <v>#N/A</v>
      </c>
      <c r="AA48" t="e">
        <f t="shared" si="6"/>
        <v>#N/A</v>
      </c>
      <c r="AB48" t="e">
        <f>VLOOKUP(Z48,Intrim!R:Z,9,0)</f>
        <v>#N/A</v>
      </c>
    </row>
    <row r="49" spans="1:28" x14ac:dyDescent="0.25">
      <c r="A49" t="str">
        <f t="shared" si="9"/>
        <v>41</v>
      </c>
      <c r="B49">
        <f>COUNTIF($C$6:C49,C49)</f>
        <v>41</v>
      </c>
      <c r="C49" t="str">
        <f t="shared" si="1"/>
        <v/>
      </c>
      <c r="D49" t="str">
        <f ca="1">IFERROR(INDEX(Intrim!$R$4:$R$401,E49),"")</f>
        <v/>
      </c>
      <c r="E49" t="e">
        <f ca="1">MATCH(intrim2!C49,OFFSET(Intrim!$S$4,E48,0):'Intrim'!$S$401,0)+E48</f>
        <v>#N/A</v>
      </c>
      <c r="L49" t="str">
        <f t="shared" si="8"/>
        <v>42</v>
      </c>
      <c r="M49">
        <f>COUNTIF($N$6:N49,N49)</f>
        <v>42</v>
      </c>
      <c r="N49" t="str">
        <f t="shared" si="2"/>
        <v/>
      </c>
      <c r="O49" t="str">
        <f ca="1">IFERROR(INDEX(Intrim!$F$4:$F$201,P49),"")</f>
        <v/>
      </c>
      <c r="P49" t="e">
        <f ca="1">MATCH(intrim2!N49,OFFSET(Intrim!$G$4,P48,0):'Intrim'!$G$201,0)+P48</f>
        <v>#N/A</v>
      </c>
      <c r="V49">
        <v>44</v>
      </c>
      <c r="W49" t="str">
        <f t="shared" si="3"/>
        <v/>
      </c>
      <c r="X49" t="str">
        <f>IF(W49="","",COUNTIF($W$6:W49,W49))</f>
        <v/>
      </c>
      <c r="Y49" t="e">
        <f t="shared" si="4"/>
        <v>#N/A</v>
      </c>
      <c r="Z49" t="e">
        <f t="shared" si="5"/>
        <v>#N/A</v>
      </c>
      <c r="AA49" t="e">
        <f t="shared" si="6"/>
        <v>#N/A</v>
      </c>
      <c r="AB49" t="e">
        <f>VLOOKUP(Z49,Intrim!R:Z,9,0)</f>
        <v>#N/A</v>
      </c>
    </row>
    <row r="50" spans="1:28" x14ac:dyDescent="0.25">
      <c r="A50" t="str">
        <f t="shared" si="9"/>
        <v>42</v>
      </c>
      <c r="B50">
        <f>COUNTIF($C$6:C50,C50)</f>
        <v>42</v>
      </c>
      <c r="C50" t="str">
        <f t="shared" si="1"/>
        <v/>
      </c>
      <c r="D50" t="str">
        <f ca="1">IFERROR(INDEX(Intrim!$R$4:$R$401,E50),"")</f>
        <v/>
      </c>
      <c r="E50" t="e">
        <f ca="1">MATCH(intrim2!C50,OFFSET(Intrim!$S$4,E49,0):'Intrim'!$S$401,0)+E49</f>
        <v>#N/A</v>
      </c>
      <c r="L50" t="str">
        <f t="shared" si="8"/>
        <v>43</v>
      </c>
      <c r="M50">
        <f>COUNTIF($N$6:N50,N50)</f>
        <v>43</v>
      </c>
      <c r="N50" t="str">
        <f t="shared" si="2"/>
        <v/>
      </c>
      <c r="O50" t="str">
        <f ca="1">IFERROR(INDEX(Intrim!$F$4:$F$201,P50),"")</f>
        <v/>
      </c>
      <c r="P50" t="e">
        <f ca="1">MATCH(intrim2!N50,OFFSET(Intrim!$G$4,P49,0):'Intrim'!$G$201,0)+P49</f>
        <v>#N/A</v>
      </c>
      <c r="V50">
        <v>45</v>
      </c>
      <c r="W50" t="str">
        <f t="shared" si="3"/>
        <v/>
      </c>
      <c r="X50" t="str">
        <f>IF(W50="","",COUNTIF($W$6:W50,W50))</f>
        <v/>
      </c>
      <c r="Y50" t="e">
        <f t="shared" si="4"/>
        <v>#N/A</v>
      </c>
      <c r="Z50" t="e">
        <f t="shared" si="5"/>
        <v>#N/A</v>
      </c>
      <c r="AA50" t="e">
        <f t="shared" si="6"/>
        <v>#N/A</v>
      </c>
      <c r="AB50" t="e">
        <f>VLOOKUP(Z50,Intrim!R:Z,9,0)</f>
        <v>#N/A</v>
      </c>
    </row>
    <row r="51" spans="1:28" x14ac:dyDescent="0.25">
      <c r="A51" t="str">
        <f t="shared" si="9"/>
        <v>43</v>
      </c>
      <c r="B51">
        <f>COUNTIF($C$6:C51,C51)</f>
        <v>43</v>
      </c>
      <c r="C51" t="str">
        <f t="shared" si="1"/>
        <v/>
      </c>
      <c r="D51" t="str">
        <f ca="1">IFERROR(INDEX(Intrim!$R$4:$R$401,E51),"")</f>
        <v/>
      </c>
      <c r="E51" t="e">
        <f ca="1">MATCH(intrim2!C51,OFFSET(Intrim!$S$4,E50,0):'Intrim'!$S$401,0)+E50</f>
        <v>#N/A</v>
      </c>
      <c r="L51" t="str">
        <f t="shared" si="8"/>
        <v>44</v>
      </c>
      <c r="M51">
        <f>COUNTIF($N$6:N51,N51)</f>
        <v>44</v>
      </c>
      <c r="N51" t="str">
        <f t="shared" si="2"/>
        <v/>
      </c>
      <c r="O51" t="str">
        <f ca="1">IFERROR(INDEX(Intrim!$F$4:$F$201,P51),"")</f>
        <v/>
      </c>
      <c r="P51" t="e">
        <f ca="1">MATCH(intrim2!N51,OFFSET(Intrim!$G$4,P50,0):'Intrim'!$G$201,0)+P50</f>
        <v>#N/A</v>
      </c>
      <c r="V51">
        <v>46</v>
      </c>
      <c r="W51" t="str">
        <f t="shared" si="3"/>
        <v/>
      </c>
      <c r="X51" t="str">
        <f>IF(W51="","",COUNTIF($W$6:W51,W51))</f>
        <v/>
      </c>
      <c r="Y51" t="e">
        <f t="shared" si="4"/>
        <v>#N/A</v>
      </c>
      <c r="Z51" t="e">
        <f t="shared" si="5"/>
        <v>#N/A</v>
      </c>
      <c r="AA51" t="e">
        <f t="shared" si="6"/>
        <v>#N/A</v>
      </c>
      <c r="AB51" t="e">
        <f>VLOOKUP(Z51,Intrim!R:Z,9,0)</f>
        <v>#N/A</v>
      </c>
    </row>
    <row r="52" spans="1:28" x14ac:dyDescent="0.25">
      <c r="A52" t="str">
        <f t="shared" si="9"/>
        <v>44</v>
      </c>
      <c r="B52">
        <f>COUNTIF($C$6:C52,C52)</f>
        <v>44</v>
      </c>
      <c r="C52" t="str">
        <f t="shared" si="1"/>
        <v/>
      </c>
      <c r="D52" t="str">
        <f ca="1">IFERROR(INDEX(Intrim!$R$4:$R$401,E52),"")</f>
        <v/>
      </c>
      <c r="E52" t="e">
        <f ca="1">MATCH(intrim2!C52,OFFSET(Intrim!$S$4,E51,0):'Intrim'!$S$401,0)+E51</f>
        <v>#N/A</v>
      </c>
      <c r="L52" t="str">
        <f t="shared" si="8"/>
        <v>45</v>
      </c>
      <c r="M52">
        <f>COUNTIF($N$6:N52,N52)</f>
        <v>45</v>
      </c>
      <c r="N52" t="str">
        <f t="shared" si="2"/>
        <v/>
      </c>
      <c r="O52" t="str">
        <f ca="1">IFERROR(INDEX(Intrim!$F$4:$F$201,P52),"")</f>
        <v/>
      </c>
      <c r="P52" t="e">
        <f ca="1">MATCH(intrim2!N52,OFFSET(Intrim!$G$4,P51,0):'Intrim'!$G$201,0)+P51</f>
        <v>#N/A</v>
      </c>
      <c r="V52">
        <v>47</v>
      </c>
      <c r="W52" t="str">
        <f t="shared" si="3"/>
        <v/>
      </c>
      <c r="X52" t="str">
        <f>IF(W52="","",COUNTIF($W$6:W52,W52))</f>
        <v/>
      </c>
      <c r="Y52" t="e">
        <f t="shared" si="4"/>
        <v>#N/A</v>
      </c>
      <c r="Z52" t="e">
        <f t="shared" si="5"/>
        <v>#N/A</v>
      </c>
      <c r="AA52" t="e">
        <f t="shared" si="6"/>
        <v>#N/A</v>
      </c>
      <c r="AB52" t="e">
        <f>VLOOKUP(Z52,Intrim!R:Z,9,0)</f>
        <v>#N/A</v>
      </c>
    </row>
    <row r="53" spans="1:28" x14ac:dyDescent="0.25">
      <c r="A53" t="str">
        <f t="shared" si="9"/>
        <v>45</v>
      </c>
      <c r="B53">
        <f>COUNTIF($C$6:C53,C53)</f>
        <v>45</v>
      </c>
      <c r="C53" t="str">
        <f t="shared" si="1"/>
        <v/>
      </c>
      <c r="D53" t="str">
        <f ca="1">IFERROR(INDEX(Intrim!$R$4:$R$401,E53),"")</f>
        <v/>
      </c>
      <c r="E53" t="e">
        <f ca="1">MATCH(intrim2!C53,OFFSET(Intrim!$S$4,E52,0):'Intrim'!$S$401,0)+E52</f>
        <v>#N/A</v>
      </c>
      <c r="L53" t="str">
        <f t="shared" si="8"/>
        <v>46</v>
      </c>
      <c r="M53">
        <f>COUNTIF($N$6:N53,N53)</f>
        <v>46</v>
      </c>
      <c r="N53" t="str">
        <f t="shared" si="2"/>
        <v/>
      </c>
      <c r="O53" t="str">
        <f ca="1">IFERROR(INDEX(Intrim!$F$4:$F$201,P53),"")</f>
        <v/>
      </c>
      <c r="P53" t="e">
        <f ca="1">MATCH(intrim2!N53,OFFSET(Intrim!$G$4,P52,0):'Intrim'!$G$201,0)+P52</f>
        <v>#N/A</v>
      </c>
      <c r="V53">
        <v>48</v>
      </c>
      <c r="W53" t="str">
        <f t="shared" si="3"/>
        <v/>
      </c>
      <c r="X53" t="str">
        <f>IF(W53="","",COUNTIF($W$6:W53,W53))</f>
        <v/>
      </c>
      <c r="Y53" t="e">
        <f t="shared" si="4"/>
        <v>#N/A</v>
      </c>
      <c r="Z53" t="e">
        <f t="shared" si="5"/>
        <v>#N/A</v>
      </c>
      <c r="AA53" t="e">
        <f t="shared" si="6"/>
        <v>#N/A</v>
      </c>
      <c r="AB53" t="e">
        <f>VLOOKUP(Z53,Intrim!R:Z,9,0)</f>
        <v>#N/A</v>
      </c>
    </row>
    <row r="54" spans="1:28" x14ac:dyDescent="0.25">
      <c r="A54" t="str">
        <f t="shared" si="9"/>
        <v>46</v>
      </c>
      <c r="B54">
        <f>COUNTIF($C$6:C54,C54)</f>
        <v>46</v>
      </c>
      <c r="C54" t="str">
        <f t="shared" si="1"/>
        <v/>
      </c>
      <c r="D54" t="str">
        <f ca="1">IFERROR(INDEX(Intrim!$R$4:$R$401,E54),"")</f>
        <v/>
      </c>
      <c r="E54" t="e">
        <f ca="1">MATCH(intrim2!C54,OFFSET(Intrim!$S$4,E53,0):'Intrim'!$S$401,0)+E53</f>
        <v>#N/A</v>
      </c>
      <c r="L54" t="str">
        <f t="shared" si="8"/>
        <v>47</v>
      </c>
      <c r="M54">
        <f>COUNTIF($N$6:N54,N54)</f>
        <v>47</v>
      </c>
      <c r="N54" t="str">
        <f t="shared" si="2"/>
        <v/>
      </c>
      <c r="O54" t="str">
        <f ca="1">IFERROR(INDEX(Intrim!$F$4:$F$201,P54),"")</f>
        <v/>
      </c>
      <c r="P54" t="e">
        <f ca="1">MATCH(intrim2!N54,OFFSET(Intrim!$G$4,P53,0):'Intrim'!$G$201,0)+P53</f>
        <v>#N/A</v>
      </c>
      <c r="V54">
        <v>49</v>
      </c>
      <c r="W54" t="str">
        <f t="shared" si="3"/>
        <v/>
      </c>
      <c r="X54" t="str">
        <f>IF(W54="","",COUNTIF($W$6:W54,W54))</f>
        <v/>
      </c>
      <c r="Y54" t="e">
        <f t="shared" si="4"/>
        <v>#N/A</v>
      </c>
      <c r="Z54" t="e">
        <f t="shared" si="5"/>
        <v>#N/A</v>
      </c>
      <c r="AA54" t="e">
        <f t="shared" si="6"/>
        <v>#N/A</v>
      </c>
      <c r="AB54" t="e">
        <f>VLOOKUP(Z54,Intrim!R:Z,9,0)</f>
        <v>#N/A</v>
      </c>
    </row>
    <row r="55" spans="1:28" x14ac:dyDescent="0.25">
      <c r="A55" t="str">
        <f t="shared" si="9"/>
        <v>47</v>
      </c>
      <c r="B55">
        <f>COUNTIF($C$6:C55,C55)</f>
        <v>47</v>
      </c>
      <c r="C55" t="str">
        <f t="shared" si="1"/>
        <v/>
      </c>
      <c r="D55" t="str">
        <f ca="1">IFERROR(INDEX(Intrim!$R$4:$R$401,E55),"")</f>
        <v/>
      </c>
      <c r="E55" t="e">
        <f ca="1">MATCH(intrim2!C55,OFFSET(Intrim!$S$4,E54,0):'Intrim'!$S$401,0)+E54</f>
        <v>#N/A</v>
      </c>
      <c r="L55" t="str">
        <f t="shared" si="8"/>
        <v>48</v>
      </c>
      <c r="M55">
        <f>COUNTIF($N$6:N55,N55)</f>
        <v>48</v>
      </c>
      <c r="N55" t="str">
        <f t="shared" si="2"/>
        <v/>
      </c>
      <c r="O55" t="str">
        <f ca="1">IFERROR(INDEX(Intrim!$F$4:$F$201,P55),"")</f>
        <v/>
      </c>
      <c r="P55" t="e">
        <f ca="1">MATCH(intrim2!N55,OFFSET(Intrim!$G$4,P54,0):'Intrim'!$G$201,0)+P54</f>
        <v>#N/A</v>
      </c>
      <c r="V55">
        <v>50</v>
      </c>
      <c r="W55" t="str">
        <f t="shared" si="3"/>
        <v/>
      </c>
      <c r="X55" t="str">
        <f>IF(W55="","",COUNTIF($W$6:W55,W55))</f>
        <v/>
      </c>
      <c r="Y55" t="e">
        <f t="shared" si="4"/>
        <v>#N/A</v>
      </c>
      <c r="Z55" t="e">
        <f t="shared" si="5"/>
        <v>#N/A</v>
      </c>
      <c r="AA55" t="e">
        <f t="shared" si="6"/>
        <v>#N/A</v>
      </c>
      <c r="AB55" t="e">
        <f>VLOOKUP(Z55,Intrim!R:Z,9,0)</f>
        <v>#N/A</v>
      </c>
    </row>
    <row r="56" spans="1:28" x14ac:dyDescent="0.25">
      <c r="A56" t="str">
        <f t="shared" si="9"/>
        <v>48</v>
      </c>
      <c r="B56">
        <f>COUNTIF($C$6:C56,C56)</f>
        <v>48</v>
      </c>
      <c r="C56" t="str">
        <f t="shared" si="1"/>
        <v/>
      </c>
      <c r="D56" t="str">
        <f ca="1">IFERROR(INDEX(Intrim!$R$4:$R$401,E56),"")</f>
        <v/>
      </c>
      <c r="E56" t="e">
        <f ca="1">MATCH(intrim2!C56,OFFSET(Intrim!$S$4,E55,0):'Intrim'!$S$401,0)+E55</f>
        <v>#N/A</v>
      </c>
      <c r="L56" t="str">
        <f t="shared" si="8"/>
        <v>49</v>
      </c>
      <c r="M56">
        <f>COUNTIF($N$6:N56,N56)</f>
        <v>49</v>
      </c>
      <c r="N56" t="str">
        <f t="shared" si="2"/>
        <v/>
      </c>
      <c r="O56" t="str">
        <f ca="1">IFERROR(INDEX(Intrim!$F$4:$F$201,P56),"")</f>
        <v/>
      </c>
      <c r="P56" t="e">
        <f ca="1">MATCH(intrim2!N56,OFFSET(Intrim!$G$4,P55,0):'Intrim'!$G$201,0)+P55</f>
        <v>#N/A</v>
      </c>
      <c r="V56">
        <v>51</v>
      </c>
      <c r="W56" t="str">
        <f t="shared" si="3"/>
        <v/>
      </c>
      <c r="X56" t="str">
        <f>IF(W56="","",COUNTIF($W$6:W56,W56))</f>
        <v/>
      </c>
      <c r="Y56" t="e">
        <f t="shared" si="4"/>
        <v>#N/A</v>
      </c>
      <c r="Z56" t="e">
        <f t="shared" si="5"/>
        <v>#N/A</v>
      </c>
      <c r="AA56" t="e">
        <f t="shared" si="6"/>
        <v>#N/A</v>
      </c>
      <c r="AB56" t="e">
        <f>VLOOKUP(Z56,Intrim!R:Z,9,0)</f>
        <v>#N/A</v>
      </c>
    </row>
    <row r="57" spans="1:28" x14ac:dyDescent="0.25">
      <c r="A57" t="str">
        <f t="shared" si="9"/>
        <v>49</v>
      </c>
      <c r="B57">
        <f>COUNTIF($C$6:C57,C57)</f>
        <v>49</v>
      </c>
      <c r="C57" t="str">
        <f t="shared" si="1"/>
        <v/>
      </c>
      <c r="D57" t="str">
        <f ca="1">IFERROR(INDEX(Intrim!$R$4:$R$401,E57),"")</f>
        <v/>
      </c>
      <c r="E57" t="e">
        <f ca="1">MATCH(intrim2!C57,OFFSET(Intrim!$S$4,E56,0):'Intrim'!$S$401,0)+E56</f>
        <v>#N/A</v>
      </c>
      <c r="L57" t="str">
        <f t="shared" si="8"/>
        <v>50</v>
      </c>
      <c r="M57">
        <f>COUNTIF($N$6:N57,N57)</f>
        <v>50</v>
      </c>
      <c r="N57" t="str">
        <f t="shared" si="2"/>
        <v/>
      </c>
      <c r="O57" t="str">
        <f ca="1">IFERROR(INDEX(Intrim!$F$4:$F$201,P57),"")</f>
        <v/>
      </c>
      <c r="P57" t="e">
        <f ca="1">MATCH(intrim2!N57,OFFSET(Intrim!$G$4,P56,0):'Intrim'!$G$201,0)+P56</f>
        <v>#N/A</v>
      </c>
      <c r="V57">
        <v>52</v>
      </c>
      <c r="W57" t="str">
        <f t="shared" si="3"/>
        <v/>
      </c>
      <c r="X57" t="str">
        <f>IF(W57="","",COUNTIF($W$6:W57,W57))</f>
        <v/>
      </c>
      <c r="Y57" t="e">
        <f t="shared" si="4"/>
        <v>#N/A</v>
      </c>
      <c r="Z57" t="e">
        <f t="shared" si="5"/>
        <v>#N/A</v>
      </c>
      <c r="AA57" t="e">
        <f t="shared" si="6"/>
        <v>#N/A</v>
      </c>
      <c r="AB57" t="e">
        <f>VLOOKUP(Z57,Intrim!R:Z,9,0)</f>
        <v>#N/A</v>
      </c>
    </row>
    <row r="58" spans="1:28" x14ac:dyDescent="0.25">
      <c r="A58" t="str">
        <f t="shared" si="9"/>
        <v>50</v>
      </c>
      <c r="B58">
        <f>COUNTIF($C$6:C58,C58)</f>
        <v>50</v>
      </c>
      <c r="C58" t="str">
        <f t="shared" si="1"/>
        <v/>
      </c>
      <c r="D58" t="str">
        <f ca="1">IFERROR(INDEX(Intrim!$R$4:$R$401,E58),"")</f>
        <v/>
      </c>
      <c r="E58" t="e">
        <f ca="1">MATCH(intrim2!C58,OFFSET(Intrim!$S$4,E57,0):'Intrim'!$S$401,0)+E57</f>
        <v>#N/A</v>
      </c>
      <c r="L58" t="str">
        <f t="shared" si="8"/>
        <v>51</v>
      </c>
      <c r="M58">
        <f>COUNTIF($N$6:N58,N58)</f>
        <v>51</v>
      </c>
      <c r="N58" t="str">
        <f t="shared" si="2"/>
        <v/>
      </c>
      <c r="O58" t="str">
        <f ca="1">IFERROR(INDEX(Intrim!$F$4:$F$201,P58),"")</f>
        <v/>
      </c>
      <c r="P58" t="e">
        <f ca="1">MATCH(intrim2!N58,OFFSET(Intrim!$G$4,P57,0):'Intrim'!$G$201,0)+P57</f>
        <v>#N/A</v>
      </c>
      <c r="V58">
        <v>53</v>
      </c>
      <c r="W58" t="str">
        <f t="shared" si="3"/>
        <v/>
      </c>
      <c r="X58" t="str">
        <f>IF(W58="","",COUNTIF($W$6:W58,W58))</f>
        <v/>
      </c>
      <c r="Y58" t="e">
        <f t="shared" si="4"/>
        <v>#N/A</v>
      </c>
      <c r="Z58" t="e">
        <f t="shared" si="5"/>
        <v>#N/A</v>
      </c>
      <c r="AA58" t="e">
        <f t="shared" si="6"/>
        <v>#N/A</v>
      </c>
      <c r="AB58" t="e">
        <f>VLOOKUP(Z58,Intrim!R:Z,9,0)</f>
        <v>#N/A</v>
      </c>
    </row>
    <row r="59" spans="1:28" x14ac:dyDescent="0.25">
      <c r="A59" t="str">
        <f t="shared" si="9"/>
        <v>51</v>
      </c>
      <c r="B59">
        <f>COUNTIF($C$6:C59,C59)</f>
        <v>51</v>
      </c>
      <c r="C59" t="str">
        <f t="shared" si="1"/>
        <v/>
      </c>
      <c r="D59" t="str">
        <f ca="1">IFERROR(INDEX(Intrim!$R$4:$R$401,E59),"")</f>
        <v/>
      </c>
      <c r="E59" t="e">
        <f ca="1">MATCH(intrim2!C59,OFFSET(Intrim!$S$4,E58,0):'Intrim'!$S$401,0)+E58</f>
        <v>#N/A</v>
      </c>
      <c r="L59" t="str">
        <f t="shared" si="8"/>
        <v>52</v>
      </c>
      <c r="M59">
        <f>COUNTIF($N$6:N59,N59)</f>
        <v>52</v>
      </c>
      <c r="N59" t="str">
        <f t="shared" si="2"/>
        <v/>
      </c>
      <c r="O59" t="str">
        <f ca="1">IFERROR(INDEX(Intrim!$F$4:$F$201,P59),"")</f>
        <v/>
      </c>
      <c r="P59" t="e">
        <f ca="1">MATCH(intrim2!N59,OFFSET(Intrim!$G$4,P58,0):'Intrim'!$G$201,0)+P58</f>
        <v>#N/A</v>
      </c>
      <c r="V59">
        <v>54</v>
      </c>
      <c r="W59" t="str">
        <f t="shared" si="3"/>
        <v/>
      </c>
      <c r="X59" t="str">
        <f>IF(W59="","",COUNTIF($W$6:W59,W59))</f>
        <v/>
      </c>
      <c r="Y59" t="e">
        <f t="shared" si="4"/>
        <v>#N/A</v>
      </c>
      <c r="Z59" t="e">
        <f t="shared" si="5"/>
        <v>#N/A</v>
      </c>
      <c r="AA59" t="e">
        <f t="shared" si="6"/>
        <v>#N/A</v>
      </c>
      <c r="AB59" t="e">
        <f>VLOOKUP(Z59,Intrim!R:Z,9,0)</f>
        <v>#N/A</v>
      </c>
    </row>
    <row r="60" spans="1:28" x14ac:dyDescent="0.25">
      <c r="A60" t="str">
        <f t="shared" si="9"/>
        <v>52</v>
      </c>
      <c r="B60">
        <f>COUNTIF($C$6:C60,C60)</f>
        <v>52</v>
      </c>
      <c r="C60" t="str">
        <f t="shared" si="1"/>
        <v/>
      </c>
      <c r="D60" t="str">
        <f ca="1">IFERROR(INDEX(Intrim!$R$4:$R$401,E60),"")</f>
        <v/>
      </c>
      <c r="E60" t="e">
        <f ca="1">MATCH(intrim2!C60,OFFSET(Intrim!$S$4,E59,0):'Intrim'!$S$401,0)+E59</f>
        <v>#N/A</v>
      </c>
      <c r="L60" t="str">
        <f t="shared" si="8"/>
        <v>53</v>
      </c>
      <c r="M60">
        <f>COUNTIF($N$6:N60,N60)</f>
        <v>53</v>
      </c>
      <c r="N60" t="str">
        <f t="shared" si="2"/>
        <v/>
      </c>
      <c r="O60" t="str">
        <f ca="1">IFERROR(INDEX(Intrim!$F$4:$F$201,P60),"")</f>
        <v/>
      </c>
      <c r="P60" t="e">
        <f ca="1">MATCH(intrim2!N60,OFFSET(Intrim!$G$4,P59,0):'Intrim'!$G$201,0)+P59</f>
        <v>#N/A</v>
      </c>
      <c r="V60">
        <v>55</v>
      </c>
      <c r="W60" t="str">
        <f t="shared" si="3"/>
        <v/>
      </c>
      <c r="X60" t="str">
        <f>IF(W60="","",COUNTIF($W$6:W60,W60))</f>
        <v/>
      </c>
      <c r="Y60" t="e">
        <f t="shared" si="4"/>
        <v>#N/A</v>
      </c>
      <c r="Z60" t="e">
        <f t="shared" si="5"/>
        <v>#N/A</v>
      </c>
      <c r="AA60" t="e">
        <f t="shared" si="6"/>
        <v>#N/A</v>
      </c>
      <c r="AB60" t="e">
        <f>VLOOKUP(Z60,Intrim!R:Z,9,0)</f>
        <v>#N/A</v>
      </c>
    </row>
    <row r="61" spans="1:28" x14ac:dyDescent="0.25">
      <c r="A61" t="str">
        <f t="shared" si="9"/>
        <v>53</v>
      </c>
      <c r="B61">
        <f>COUNTIF($C$6:C61,C61)</f>
        <v>53</v>
      </c>
      <c r="C61" t="str">
        <f t="shared" si="1"/>
        <v/>
      </c>
      <c r="D61" t="str">
        <f ca="1">IFERROR(INDEX(Intrim!$R$4:$R$401,E61),"")</f>
        <v/>
      </c>
      <c r="E61" t="e">
        <f ca="1">MATCH(intrim2!C61,OFFSET(Intrim!$S$4,E60,0):'Intrim'!$S$401,0)+E60</f>
        <v>#N/A</v>
      </c>
      <c r="L61" t="str">
        <f t="shared" si="8"/>
        <v>54</v>
      </c>
      <c r="M61">
        <f>COUNTIF($N$6:N61,N61)</f>
        <v>54</v>
      </c>
      <c r="N61" t="str">
        <f t="shared" si="2"/>
        <v/>
      </c>
      <c r="O61" t="str">
        <f ca="1">IFERROR(INDEX(Intrim!$F$4:$F$201,P61),"")</f>
        <v/>
      </c>
      <c r="P61" t="e">
        <f ca="1">MATCH(intrim2!N61,OFFSET(Intrim!$G$4,P60,0):'Intrim'!$G$201,0)+P60</f>
        <v>#N/A</v>
      </c>
      <c r="V61">
        <v>56</v>
      </c>
      <c r="W61" t="str">
        <f t="shared" si="3"/>
        <v/>
      </c>
      <c r="X61" t="str">
        <f>IF(W61="","",COUNTIF($W$6:W61,W61))</f>
        <v/>
      </c>
      <c r="Y61" t="e">
        <f t="shared" si="4"/>
        <v>#N/A</v>
      </c>
      <c r="Z61" t="e">
        <f t="shared" si="5"/>
        <v>#N/A</v>
      </c>
      <c r="AA61" t="e">
        <f t="shared" si="6"/>
        <v>#N/A</v>
      </c>
      <c r="AB61" t="e">
        <f>VLOOKUP(Z61,Intrim!R:Z,9,0)</f>
        <v>#N/A</v>
      </c>
    </row>
    <row r="62" spans="1:28" x14ac:dyDescent="0.25">
      <c r="A62" t="str">
        <f t="shared" si="9"/>
        <v>54</v>
      </c>
      <c r="B62">
        <f>COUNTIF($C$6:C62,C62)</f>
        <v>54</v>
      </c>
      <c r="C62" t="str">
        <f t="shared" si="1"/>
        <v/>
      </c>
      <c r="D62" t="str">
        <f ca="1">IFERROR(INDEX(Intrim!$R$4:$R$401,E62),"")</f>
        <v/>
      </c>
      <c r="E62" t="e">
        <f ca="1">MATCH(intrim2!C62,OFFSET(Intrim!$S$4,E61,0):'Intrim'!$S$401,0)+E61</f>
        <v>#N/A</v>
      </c>
      <c r="L62" t="str">
        <f t="shared" si="8"/>
        <v>55</v>
      </c>
      <c r="M62">
        <f>COUNTIF($N$6:N62,N62)</f>
        <v>55</v>
      </c>
      <c r="N62" t="str">
        <f t="shared" si="2"/>
        <v/>
      </c>
      <c r="O62" t="str">
        <f ca="1">IFERROR(INDEX(Intrim!$F$4:$F$201,P62),"")</f>
        <v/>
      </c>
      <c r="P62" t="e">
        <f ca="1">MATCH(intrim2!N62,OFFSET(Intrim!$G$4,P61,0):'Intrim'!$G$201,0)+P61</f>
        <v>#N/A</v>
      </c>
      <c r="V62">
        <v>57</v>
      </c>
      <c r="W62" t="str">
        <f t="shared" si="3"/>
        <v/>
      </c>
      <c r="X62" t="str">
        <f>IF(W62="","",COUNTIF($W$6:W62,W62))</f>
        <v/>
      </c>
      <c r="Y62" t="e">
        <f t="shared" si="4"/>
        <v>#N/A</v>
      </c>
      <c r="Z62" t="e">
        <f t="shared" si="5"/>
        <v>#N/A</v>
      </c>
      <c r="AA62" t="e">
        <f t="shared" si="6"/>
        <v>#N/A</v>
      </c>
      <c r="AB62" t="e">
        <f>VLOOKUP(Z62,Intrim!R:Z,9,0)</f>
        <v>#N/A</v>
      </c>
    </row>
    <row r="63" spans="1:28" x14ac:dyDescent="0.25">
      <c r="A63" t="str">
        <f t="shared" si="9"/>
        <v>55</v>
      </c>
      <c r="B63">
        <f>COUNTIF($C$6:C63,C63)</f>
        <v>55</v>
      </c>
      <c r="C63" t="str">
        <f t="shared" si="1"/>
        <v/>
      </c>
      <c r="D63" t="str">
        <f ca="1">IFERROR(INDEX(Intrim!$R$4:$R$401,E63),"")</f>
        <v/>
      </c>
      <c r="E63" t="e">
        <f ca="1">MATCH(intrim2!C63,OFFSET(Intrim!$S$4,E62,0):'Intrim'!$S$401,0)+E62</f>
        <v>#N/A</v>
      </c>
      <c r="L63" t="str">
        <f t="shared" si="8"/>
        <v>56</v>
      </c>
      <c r="M63">
        <f>COUNTIF($N$6:N63,N63)</f>
        <v>56</v>
      </c>
      <c r="N63" t="str">
        <f t="shared" si="2"/>
        <v/>
      </c>
      <c r="O63" t="str">
        <f ca="1">IFERROR(INDEX(Intrim!$F$4:$F$201,P63),"")</f>
        <v/>
      </c>
      <c r="P63" t="e">
        <f ca="1">MATCH(intrim2!N63,OFFSET(Intrim!$G$4,P62,0):'Intrim'!$G$201,0)+P62</f>
        <v>#N/A</v>
      </c>
      <c r="V63">
        <v>58</v>
      </c>
      <c r="W63" t="str">
        <f t="shared" si="3"/>
        <v/>
      </c>
      <c r="X63" t="str">
        <f>IF(W63="","",COUNTIF($W$6:W63,W63))</f>
        <v/>
      </c>
      <c r="Y63" t="e">
        <f t="shared" si="4"/>
        <v>#N/A</v>
      </c>
      <c r="Z63" t="e">
        <f t="shared" si="5"/>
        <v>#N/A</v>
      </c>
      <c r="AA63" t="e">
        <f t="shared" si="6"/>
        <v>#N/A</v>
      </c>
      <c r="AB63" t="e">
        <f>VLOOKUP(Z63,Intrim!R:Z,9,0)</f>
        <v>#N/A</v>
      </c>
    </row>
    <row r="64" spans="1:28" x14ac:dyDescent="0.25">
      <c r="A64" t="str">
        <f t="shared" si="9"/>
        <v>56</v>
      </c>
      <c r="B64">
        <f>COUNTIF($C$6:C64,C64)</f>
        <v>56</v>
      </c>
      <c r="C64" t="str">
        <f t="shared" si="1"/>
        <v/>
      </c>
      <c r="D64" t="str">
        <f ca="1">IFERROR(INDEX(Intrim!$R$4:$R$401,E64),"")</f>
        <v/>
      </c>
      <c r="E64" t="e">
        <f ca="1">MATCH(intrim2!C64,OFFSET(Intrim!$S$4,E63,0):'Intrim'!$S$401,0)+E63</f>
        <v>#N/A</v>
      </c>
      <c r="L64" t="str">
        <f t="shared" si="8"/>
        <v>57</v>
      </c>
      <c r="M64">
        <f>COUNTIF($N$6:N64,N64)</f>
        <v>57</v>
      </c>
      <c r="N64" t="str">
        <f t="shared" si="2"/>
        <v/>
      </c>
      <c r="O64" t="str">
        <f ca="1">IFERROR(INDEX(Intrim!$F$4:$F$201,P64),"")</f>
        <v/>
      </c>
      <c r="P64" t="e">
        <f ca="1">MATCH(intrim2!N64,OFFSET(Intrim!$G$4,P63,0):'Intrim'!$G$201,0)+P63</f>
        <v>#N/A</v>
      </c>
      <c r="V64">
        <v>59</v>
      </c>
      <c r="W64" t="str">
        <f t="shared" si="3"/>
        <v/>
      </c>
      <c r="X64" t="str">
        <f>IF(W64="","",COUNTIF($W$6:W64,W64))</f>
        <v/>
      </c>
      <c r="Y64" t="e">
        <f t="shared" si="4"/>
        <v>#N/A</v>
      </c>
      <c r="Z64" t="e">
        <f t="shared" si="5"/>
        <v>#N/A</v>
      </c>
      <c r="AA64" t="e">
        <f t="shared" si="6"/>
        <v>#N/A</v>
      </c>
      <c r="AB64" t="e">
        <f>VLOOKUP(Z64,Intrim!R:Z,9,0)</f>
        <v>#N/A</v>
      </c>
    </row>
    <row r="65" spans="1:28" x14ac:dyDescent="0.25">
      <c r="A65" t="str">
        <f t="shared" si="9"/>
        <v>57</v>
      </c>
      <c r="B65">
        <f>COUNTIF($C$6:C65,C65)</f>
        <v>57</v>
      </c>
      <c r="C65" t="str">
        <f t="shared" si="1"/>
        <v/>
      </c>
      <c r="D65" t="str">
        <f ca="1">IFERROR(INDEX(Intrim!$R$4:$R$401,E65),"")</f>
        <v/>
      </c>
      <c r="E65" t="e">
        <f ca="1">MATCH(intrim2!C65,OFFSET(Intrim!$S$4,E64,0):'Intrim'!$S$401,0)+E64</f>
        <v>#N/A</v>
      </c>
      <c r="L65" t="str">
        <f t="shared" si="8"/>
        <v>58</v>
      </c>
      <c r="M65">
        <f>COUNTIF($N$6:N65,N65)</f>
        <v>58</v>
      </c>
      <c r="N65" t="str">
        <f t="shared" si="2"/>
        <v/>
      </c>
      <c r="O65" t="str">
        <f ca="1">IFERROR(INDEX(Intrim!$F$4:$F$201,P65),"")</f>
        <v/>
      </c>
      <c r="P65" t="e">
        <f ca="1">MATCH(intrim2!N65,OFFSET(Intrim!$G$4,P64,0):'Intrim'!$G$201,0)+P64</f>
        <v>#N/A</v>
      </c>
      <c r="V65">
        <v>60</v>
      </c>
      <c r="W65" t="str">
        <f t="shared" si="3"/>
        <v/>
      </c>
      <c r="X65" t="str">
        <f>IF(W65="","",COUNTIF($W$6:W65,W65))</f>
        <v/>
      </c>
      <c r="Y65" t="e">
        <f t="shared" si="4"/>
        <v>#N/A</v>
      </c>
      <c r="Z65" t="e">
        <f t="shared" si="5"/>
        <v>#N/A</v>
      </c>
      <c r="AA65" t="e">
        <f t="shared" si="6"/>
        <v>#N/A</v>
      </c>
      <c r="AB65" t="e">
        <f>VLOOKUP(Z65,Intrim!R:Z,9,0)</f>
        <v>#N/A</v>
      </c>
    </row>
    <row r="66" spans="1:28" x14ac:dyDescent="0.25">
      <c r="A66" t="str">
        <f t="shared" si="9"/>
        <v>58</v>
      </c>
      <c r="B66">
        <f>COUNTIF($C$6:C66,C66)</f>
        <v>58</v>
      </c>
      <c r="C66" t="str">
        <f t="shared" si="1"/>
        <v/>
      </c>
      <c r="D66" t="str">
        <f ca="1">IFERROR(INDEX(Intrim!$R$4:$R$401,E66),"")</f>
        <v/>
      </c>
      <c r="E66" t="e">
        <f ca="1">MATCH(intrim2!C66,OFFSET(Intrim!$S$4,E65,0):'Intrim'!$S$401,0)+E65</f>
        <v>#N/A</v>
      </c>
      <c r="L66" t="str">
        <f t="shared" si="8"/>
        <v>59</v>
      </c>
      <c r="M66">
        <f>COUNTIF($N$6:N66,N66)</f>
        <v>59</v>
      </c>
      <c r="N66" t="str">
        <f t="shared" si="2"/>
        <v/>
      </c>
      <c r="O66" t="str">
        <f ca="1">IFERROR(INDEX(Intrim!$F$4:$F$201,P66),"")</f>
        <v/>
      </c>
      <c r="P66" t="e">
        <f ca="1">MATCH(intrim2!N66,OFFSET(Intrim!$G$4,P65,0):'Intrim'!$G$201,0)+P65</f>
        <v>#N/A</v>
      </c>
      <c r="V66">
        <v>61</v>
      </c>
      <c r="W66" t="str">
        <f t="shared" si="3"/>
        <v/>
      </c>
      <c r="X66" t="str">
        <f>IF(W66="","",COUNTIF($W$6:W66,W66))</f>
        <v/>
      </c>
      <c r="Y66" t="e">
        <f t="shared" si="4"/>
        <v>#N/A</v>
      </c>
      <c r="Z66" t="e">
        <f t="shared" si="5"/>
        <v>#N/A</v>
      </c>
      <c r="AA66" t="e">
        <f t="shared" si="6"/>
        <v>#N/A</v>
      </c>
      <c r="AB66" t="e">
        <f>VLOOKUP(Z66,Intrim!R:Z,9,0)</f>
        <v>#N/A</v>
      </c>
    </row>
    <row r="67" spans="1:28" x14ac:dyDescent="0.25">
      <c r="A67" t="str">
        <f t="shared" si="9"/>
        <v>59</v>
      </c>
      <c r="B67">
        <f>COUNTIF($C$6:C67,C67)</f>
        <v>59</v>
      </c>
      <c r="C67" t="str">
        <f t="shared" si="1"/>
        <v/>
      </c>
      <c r="D67" t="str">
        <f ca="1">IFERROR(INDEX(Intrim!$R$4:$R$401,E67),"")</f>
        <v/>
      </c>
      <c r="E67" t="e">
        <f ca="1">MATCH(intrim2!C67,OFFSET(Intrim!$S$4,E66,0):'Intrim'!$S$401,0)+E66</f>
        <v>#N/A</v>
      </c>
      <c r="L67" t="str">
        <f t="shared" si="8"/>
        <v>60</v>
      </c>
      <c r="M67">
        <f>COUNTIF($N$6:N67,N67)</f>
        <v>60</v>
      </c>
      <c r="N67" t="str">
        <f t="shared" si="2"/>
        <v/>
      </c>
      <c r="O67" t="str">
        <f ca="1">IFERROR(INDEX(Intrim!$F$4:$F$201,P67),"")</f>
        <v/>
      </c>
      <c r="P67" t="e">
        <f ca="1">MATCH(intrim2!N67,OFFSET(Intrim!$G$4,P66,0):'Intrim'!$G$201,0)+P66</f>
        <v>#N/A</v>
      </c>
      <c r="V67">
        <v>62</v>
      </c>
      <c r="W67" t="str">
        <f t="shared" si="3"/>
        <v/>
      </c>
      <c r="X67" t="str">
        <f>IF(W67="","",COUNTIF($W$6:W67,W67))</f>
        <v/>
      </c>
      <c r="Y67" t="e">
        <f t="shared" si="4"/>
        <v>#N/A</v>
      </c>
      <c r="Z67" t="e">
        <f t="shared" si="5"/>
        <v>#N/A</v>
      </c>
      <c r="AA67" t="e">
        <f t="shared" si="6"/>
        <v>#N/A</v>
      </c>
      <c r="AB67" t="e">
        <f>VLOOKUP(Z67,Intrim!R:Z,9,0)</f>
        <v>#N/A</v>
      </c>
    </row>
    <row r="68" spans="1:28" x14ac:dyDescent="0.25">
      <c r="A68" t="str">
        <f t="shared" si="9"/>
        <v>60</v>
      </c>
      <c r="B68">
        <f>COUNTIF($C$6:C68,C68)</f>
        <v>60</v>
      </c>
      <c r="C68" t="str">
        <f t="shared" si="1"/>
        <v/>
      </c>
      <c r="D68" t="str">
        <f ca="1">IFERROR(INDEX(Intrim!$R$4:$R$401,E68),"")</f>
        <v/>
      </c>
      <c r="E68" t="e">
        <f ca="1">MATCH(intrim2!C68,OFFSET(Intrim!$S$4,E67,0):'Intrim'!$S$401,0)+E67</f>
        <v>#N/A</v>
      </c>
      <c r="L68" t="str">
        <f t="shared" si="8"/>
        <v>61</v>
      </c>
      <c r="M68">
        <f>COUNTIF($N$6:N68,N68)</f>
        <v>61</v>
      </c>
      <c r="N68" t="str">
        <f t="shared" si="2"/>
        <v/>
      </c>
      <c r="O68" t="str">
        <f ca="1">IFERROR(INDEX(Intrim!$F$4:$F$201,P68),"")</f>
        <v/>
      </c>
      <c r="P68" t="e">
        <f ca="1">MATCH(intrim2!N68,OFFSET(Intrim!$G$4,P67,0):'Intrim'!$G$201,0)+P67</f>
        <v>#N/A</v>
      </c>
      <c r="V68">
        <v>63</v>
      </c>
      <c r="W68" t="str">
        <f t="shared" si="3"/>
        <v/>
      </c>
      <c r="X68" t="str">
        <f>IF(W68="","",COUNTIF($W$6:W68,W68))</f>
        <v/>
      </c>
      <c r="Y68" t="e">
        <f t="shared" si="4"/>
        <v>#N/A</v>
      </c>
      <c r="Z68" t="e">
        <f t="shared" si="5"/>
        <v>#N/A</v>
      </c>
      <c r="AA68" t="e">
        <f t="shared" si="6"/>
        <v>#N/A</v>
      </c>
      <c r="AB68" t="e">
        <f>VLOOKUP(Z68,Intrim!R:Z,9,0)</f>
        <v>#N/A</v>
      </c>
    </row>
    <row r="69" spans="1:28" x14ac:dyDescent="0.25">
      <c r="A69" t="str">
        <f t="shared" si="9"/>
        <v>61</v>
      </c>
      <c r="B69">
        <f>COUNTIF($C$6:C69,C69)</f>
        <v>61</v>
      </c>
      <c r="C69" t="str">
        <f t="shared" si="1"/>
        <v/>
      </c>
      <c r="D69" t="str">
        <f ca="1">IFERROR(INDEX(Intrim!$R$4:$R$401,E69),"")</f>
        <v/>
      </c>
      <c r="E69" t="e">
        <f ca="1">MATCH(intrim2!C69,OFFSET(Intrim!$S$4,E68,0):'Intrim'!$S$401,0)+E68</f>
        <v>#N/A</v>
      </c>
      <c r="L69" t="str">
        <f t="shared" si="8"/>
        <v>62</v>
      </c>
      <c r="M69">
        <f>COUNTIF($N$6:N69,N69)</f>
        <v>62</v>
      </c>
      <c r="N69" t="str">
        <f t="shared" si="2"/>
        <v/>
      </c>
      <c r="O69" t="str">
        <f ca="1">IFERROR(INDEX(Intrim!$F$4:$F$201,P69),"")</f>
        <v/>
      </c>
      <c r="P69" t="e">
        <f ca="1">MATCH(intrim2!N69,OFFSET(Intrim!$G$4,P68,0):'Intrim'!$G$201,0)+P68</f>
        <v>#N/A</v>
      </c>
      <c r="V69">
        <v>64</v>
      </c>
      <c r="W69" t="str">
        <f t="shared" si="3"/>
        <v/>
      </c>
      <c r="X69" t="str">
        <f>IF(W69="","",COUNTIF($W$6:W69,W69))</f>
        <v/>
      </c>
      <c r="Y69" t="e">
        <f t="shared" si="4"/>
        <v>#N/A</v>
      </c>
      <c r="Z69" t="e">
        <f t="shared" si="5"/>
        <v>#N/A</v>
      </c>
      <c r="AA69" t="e">
        <f t="shared" si="6"/>
        <v>#N/A</v>
      </c>
      <c r="AB69" t="e">
        <f>VLOOKUP(Z69,Intrim!R:Z,9,0)</f>
        <v>#N/A</v>
      </c>
    </row>
    <row r="70" spans="1:28" x14ac:dyDescent="0.25">
      <c r="A70" t="str">
        <f t="shared" si="9"/>
        <v>62</v>
      </c>
      <c r="B70">
        <f>COUNTIF($C$6:C70,C70)</f>
        <v>62</v>
      </c>
      <c r="C70" t="str">
        <f t="shared" si="1"/>
        <v/>
      </c>
      <c r="D70" t="str">
        <f ca="1">IFERROR(INDEX(Intrim!$R$4:$R$401,E70),"")</f>
        <v/>
      </c>
      <c r="E70" t="e">
        <f ca="1">MATCH(intrim2!C70,OFFSET(Intrim!$S$4,E69,0):'Intrim'!$S$401,0)+E69</f>
        <v>#N/A</v>
      </c>
      <c r="L70" t="str">
        <f t="shared" si="8"/>
        <v>63</v>
      </c>
      <c r="M70">
        <f>COUNTIF($N$6:N70,N70)</f>
        <v>63</v>
      </c>
      <c r="N70" t="str">
        <f t="shared" si="2"/>
        <v/>
      </c>
      <c r="O70" t="str">
        <f ca="1">IFERROR(INDEX(Intrim!$F$4:$F$201,P70),"")</f>
        <v/>
      </c>
      <c r="P70" t="e">
        <f ca="1">MATCH(intrim2!N70,OFFSET(Intrim!$G$4,P69,0):'Intrim'!$G$201,0)+P69</f>
        <v>#N/A</v>
      </c>
      <c r="V70">
        <v>65</v>
      </c>
      <c r="W70" t="str">
        <f t="shared" si="3"/>
        <v/>
      </c>
      <c r="X70" t="str">
        <f>IF(W70="","",COUNTIF($W$6:W70,W70))</f>
        <v/>
      </c>
      <c r="Y70" t="e">
        <f t="shared" si="4"/>
        <v>#N/A</v>
      </c>
      <c r="Z70" t="e">
        <f t="shared" si="5"/>
        <v>#N/A</v>
      </c>
      <c r="AA70" t="e">
        <f t="shared" si="6"/>
        <v>#N/A</v>
      </c>
      <c r="AB70" t="e">
        <f>VLOOKUP(Z70,Intrim!R:Z,9,0)</f>
        <v>#N/A</v>
      </c>
    </row>
    <row r="71" spans="1:28" x14ac:dyDescent="0.25">
      <c r="A71" t="str">
        <f t="shared" si="9"/>
        <v>63</v>
      </c>
      <c r="B71">
        <f>COUNTIF($C$6:C71,C71)</f>
        <v>63</v>
      </c>
      <c r="C71" t="str">
        <f t="shared" ref="C71:C134" si="10">IF(ROW(C71)&lt;=$D$3+5,$B$1,"")</f>
        <v/>
      </c>
      <c r="D71" t="str">
        <f ca="1">IFERROR(INDEX(Intrim!$R$4:$R$401,E71),"")</f>
        <v/>
      </c>
      <c r="E71" t="e">
        <f ca="1">MATCH(intrim2!C71,OFFSET(Intrim!$S$4,E70,0):'Intrim'!$S$401,0)+E70</f>
        <v>#N/A</v>
      </c>
      <c r="L71" t="str">
        <f t="shared" si="8"/>
        <v>64</v>
      </c>
      <c r="M71">
        <f>COUNTIF($N$6:N71,N71)</f>
        <v>64</v>
      </c>
      <c r="N71" t="str">
        <f t="shared" ref="N71:N134" si="11">IF(ROW(N71)&lt;=$O$3+5,$B$1,"")</f>
        <v/>
      </c>
      <c r="O71" t="str">
        <f ca="1">IFERROR(INDEX(Intrim!$F$4:$F$201,P71),"")</f>
        <v/>
      </c>
      <c r="P71" t="e">
        <f ca="1">MATCH(intrim2!N71,OFFSET(Intrim!$G$4,P70,0):'Intrim'!$G$201,0)+P70</f>
        <v>#N/A</v>
      </c>
      <c r="V71">
        <v>66</v>
      </c>
      <c r="W71" t="str">
        <f t="shared" ref="W71:W134" si="12">IF(ROUNDUP(V71/$D$3,0)&lt;=$O$3,ROUNDUP(V71/$D$3,0),"")</f>
        <v/>
      </c>
      <c r="X71" t="str">
        <f>IF(W71="","",COUNTIF($W$6:W71,W71))</f>
        <v/>
      </c>
      <c r="Y71" t="e">
        <f t="shared" ref="Y71:Y134" si="13">VLOOKUP(W71&amp;$Y$3,L:O,4,0)</f>
        <v>#N/A</v>
      </c>
      <c r="Z71" t="e">
        <f t="shared" ref="Z71:Z134" si="14">VLOOKUP(X71&amp;$Y$3,A:D,4,0)</f>
        <v>#N/A</v>
      </c>
      <c r="AA71" t="e">
        <f t="shared" ref="AA71:AA134" si="15">INDEX($N$6:$N$305,MATCH(Y71,$O$6:$O$305,0))</f>
        <v>#N/A</v>
      </c>
      <c r="AB71" t="e">
        <f>VLOOKUP(Z71,Intrim!R:Z,9,0)</f>
        <v>#N/A</v>
      </c>
    </row>
    <row r="72" spans="1:28" x14ac:dyDescent="0.25">
      <c r="A72" t="str">
        <f t="shared" ref="A72:A135" si="16">+B72&amp;C72</f>
        <v>64</v>
      </c>
      <c r="B72">
        <f>COUNTIF($C$6:C72,C72)</f>
        <v>64</v>
      </c>
      <c r="C72" t="str">
        <f t="shared" si="10"/>
        <v/>
      </c>
      <c r="D72" t="str">
        <f ca="1">IFERROR(INDEX(Intrim!$R$4:$R$401,E72),"")</f>
        <v/>
      </c>
      <c r="E72" t="e">
        <f ca="1">MATCH(intrim2!C72,OFFSET(Intrim!$S$4,E71,0):'Intrim'!$S$401,0)+E71</f>
        <v>#N/A</v>
      </c>
      <c r="L72" t="str">
        <f t="shared" si="8"/>
        <v>65</v>
      </c>
      <c r="M72">
        <f>COUNTIF($N$6:N72,N72)</f>
        <v>65</v>
      </c>
      <c r="N72" t="str">
        <f t="shared" si="11"/>
        <v/>
      </c>
      <c r="O72" t="str">
        <f ca="1">IFERROR(INDEX(Intrim!$F$4:$F$201,P72),"")</f>
        <v/>
      </c>
      <c r="P72" t="e">
        <f ca="1">MATCH(intrim2!N72,OFFSET(Intrim!$G$4,P71,0):'Intrim'!$G$201,0)+P71</f>
        <v>#N/A</v>
      </c>
      <c r="V72">
        <v>67</v>
      </c>
      <c r="W72" t="str">
        <f t="shared" si="12"/>
        <v/>
      </c>
      <c r="X72" t="str">
        <f>IF(W72="","",COUNTIF($W$6:W72,W72))</f>
        <v/>
      </c>
      <c r="Y72" t="e">
        <f t="shared" si="13"/>
        <v>#N/A</v>
      </c>
      <c r="Z72" t="e">
        <f t="shared" si="14"/>
        <v>#N/A</v>
      </c>
      <c r="AA72" t="e">
        <f t="shared" si="15"/>
        <v>#N/A</v>
      </c>
      <c r="AB72" t="e">
        <f>VLOOKUP(Z72,Intrim!R:Z,9,0)</f>
        <v>#N/A</v>
      </c>
    </row>
    <row r="73" spans="1:28" x14ac:dyDescent="0.25">
      <c r="A73" t="str">
        <f t="shared" si="16"/>
        <v>65</v>
      </c>
      <c r="B73">
        <f>COUNTIF($C$6:C73,C73)</f>
        <v>65</v>
      </c>
      <c r="C73" t="str">
        <f t="shared" si="10"/>
        <v/>
      </c>
      <c r="D73" t="str">
        <f ca="1">IFERROR(INDEX(Intrim!$R$4:$R$401,E73),"")</f>
        <v/>
      </c>
      <c r="E73" t="e">
        <f ca="1">MATCH(intrim2!C73,OFFSET(Intrim!$S$4,E72,0):'Intrim'!$S$401,0)+E72</f>
        <v>#N/A</v>
      </c>
      <c r="L73" t="str">
        <f t="shared" ref="L73:L136" si="17">+M73&amp;N73</f>
        <v>66</v>
      </c>
      <c r="M73">
        <f>COUNTIF($N$6:N73,N73)</f>
        <v>66</v>
      </c>
      <c r="N73" t="str">
        <f t="shared" si="11"/>
        <v/>
      </c>
      <c r="O73" t="str">
        <f ca="1">IFERROR(INDEX(Intrim!$F$4:$F$201,P73),"")</f>
        <v/>
      </c>
      <c r="P73" t="e">
        <f ca="1">MATCH(intrim2!N73,OFFSET(Intrim!$G$4,P72,0):'Intrim'!$G$201,0)+P72</f>
        <v>#N/A</v>
      </c>
      <c r="V73">
        <v>68</v>
      </c>
      <c r="W73" t="str">
        <f t="shared" si="12"/>
        <v/>
      </c>
      <c r="X73" t="str">
        <f>IF(W73="","",COUNTIF($W$6:W73,W73))</f>
        <v/>
      </c>
      <c r="Y73" t="e">
        <f t="shared" si="13"/>
        <v>#N/A</v>
      </c>
      <c r="Z73" t="e">
        <f t="shared" si="14"/>
        <v>#N/A</v>
      </c>
      <c r="AA73" t="e">
        <f t="shared" si="15"/>
        <v>#N/A</v>
      </c>
      <c r="AB73" t="e">
        <f>VLOOKUP(Z73,Intrim!R:Z,9,0)</f>
        <v>#N/A</v>
      </c>
    </row>
    <row r="74" spans="1:28" x14ac:dyDescent="0.25">
      <c r="A74" t="str">
        <f t="shared" si="16"/>
        <v>66</v>
      </c>
      <c r="B74">
        <f>COUNTIF($C$6:C74,C74)</f>
        <v>66</v>
      </c>
      <c r="C74" t="str">
        <f t="shared" si="10"/>
        <v/>
      </c>
      <c r="D74" t="str">
        <f ca="1">IFERROR(INDEX(Intrim!$R$4:$R$401,E74),"")</f>
        <v/>
      </c>
      <c r="E74" t="e">
        <f ca="1">MATCH(intrim2!C74,OFFSET(Intrim!$S$4,E73,0):'Intrim'!$S$401,0)+E73</f>
        <v>#N/A</v>
      </c>
      <c r="L74" t="str">
        <f t="shared" si="17"/>
        <v>67</v>
      </c>
      <c r="M74">
        <f>COUNTIF($N$6:N74,N74)</f>
        <v>67</v>
      </c>
      <c r="N74" t="str">
        <f t="shared" si="11"/>
        <v/>
      </c>
      <c r="O74" t="str">
        <f ca="1">IFERROR(INDEX(Intrim!$F$4:$F$201,P74),"")</f>
        <v/>
      </c>
      <c r="P74" t="e">
        <f ca="1">MATCH(intrim2!N74,OFFSET(Intrim!$G$4,P73,0):'Intrim'!$G$201,0)+P73</f>
        <v>#N/A</v>
      </c>
      <c r="V74">
        <v>69</v>
      </c>
      <c r="W74" t="str">
        <f t="shared" si="12"/>
        <v/>
      </c>
      <c r="X74" t="str">
        <f>IF(W74="","",COUNTIF($W$6:W74,W74))</f>
        <v/>
      </c>
      <c r="Y74" t="e">
        <f t="shared" si="13"/>
        <v>#N/A</v>
      </c>
      <c r="Z74" t="e">
        <f t="shared" si="14"/>
        <v>#N/A</v>
      </c>
      <c r="AA74" t="e">
        <f t="shared" si="15"/>
        <v>#N/A</v>
      </c>
      <c r="AB74" t="e">
        <f>VLOOKUP(Z74,Intrim!R:Z,9,0)</f>
        <v>#N/A</v>
      </c>
    </row>
    <row r="75" spans="1:28" x14ac:dyDescent="0.25">
      <c r="A75" t="str">
        <f t="shared" si="16"/>
        <v>67</v>
      </c>
      <c r="B75">
        <f>COUNTIF($C$6:C75,C75)</f>
        <v>67</v>
      </c>
      <c r="C75" t="str">
        <f t="shared" si="10"/>
        <v/>
      </c>
      <c r="D75" t="str">
        <f ca="1">IFERROR(INDEX(Intrim!$R$4:$R$401,E75),"")</f>
        <v/>
      </c>
      <c r="E75" t="e">
        <f ca="1">MATCH(intrim2!C75,OFFSET(Intrim!$S$4,E74,0):'Intrim'!$S$401,0)+E74</f>
        <v>#N/A</v>
      </c>
      <c r="L75" t="str">
        <f t="shared" si="17"/>
        <v>68</v>
      </c>
      <c r="M75">
        <f>COUNTIF($N$6:N75,N75)</f>
        <v>68</v>
      </c>
      <c r="N75" t="str">
        <f t="shared" si="11"/>
        <v/>
      </c>
      <c r="O75" t="str">
        <f ca="1">IFERROR(INDEX(Intrim!$F$4:$F$201,P75),"")</f>
        <v/>
      </c>
      <c r="P75" t="e">
        <f ca="1">MATCH(intrim2!N75,OFFSET(Intrim!$G$4,P74,0):'Intrim'!$G$201,0)+P74</f>
        <v>#N/A</v>
      </c>
      <c r="V75">
        <v>70</v>
      </c>
      <c r="W75" t="str">
        <f t="shared" si="12"/>
        <v/>
      </c>
      <c r="X75" t="str">
        <f>IF(W75="","",COUNTIF($W$6:W75,W75))</f>
        <v/>
      </c>
      <c r="Y75" t="e">
        <f t="shared" si="13"/>
        <v>#N/A</v>
      </c>
      <c r="Z75" t="e">
        <f t="shared" si="14"/>
        <v>#N/A</v>
      </c>
      <c r="AA75" t="e">
        <f t="shared" si="15"/>
        <v>#N/A</v>
      </c>
      <c r="AB75" t="e">
        <f>VLOOKUP(Z75,Intrim!R:Z,9,0)</f>
        <v>#N/A</v>
      </c>
    </row>
    <row r="76" spans="1:28" x14ac:dyDescent="0.25">
      <c r="A76" t="str">
        <f t="shared" si="16"/>
        <v>68</v>
      </c>
      <c r="B76">
        <f>COUNTIF($C$6:C76,C76)</f>
        <v>68</v>
      </c>
      <c r="C76" t="str">
        <f t="shared" si="10"/>
        <v/>
      </c>
      <c r="D76" t="str">
        <f ca="1">IFERROR(INDEX(Intrim!$R$4:$R$401,E76),"")</f>
        <v/>
      </c>
      <c r="E76" t="e">
        <f ca="1">MATCH(intrim2!C76,OFFSET(Intrim!$S$4,E75,0):'Intrim'!$S$401,0)+E75</f>
        <v>#N/A</v>
      </c>
      <c r="L76" t="str">
        <f t="shared" si="17"/>
        <v>69</v>
      </c>
      <c r="M76">
        <f>COUNTIF($N$6:N76,N76)</f>
        <v>69</v>
      </c>
      <c r="N76" t="str">
        <f t="shared" si="11"/>
        <v/>
      </c>
      <c r="O76" t="str">
        <f ca="1">IFERROR(INDEX(Intrim!$F$4:$F$201,P76),"")</f>
        <v/>
      </c>
      <c r="P76" t="e">
        <f ca="1">MATCH(intrim2!N76,OFFSET(Intrim!$G$4,P75,0):'Intrim'!$G$201,0)+P75</f>
        <v>#N/A</v>
      </c>
      <c r="V76">
        <v>71</v>
      </c>
      <c r="W76" t="str">
        <f t="shared" si="12"/>
        <v/>
      </c>
      <c r="X76" t="str">
        <f>IF(W76="","",COUNTIF($W$6:W76,W76))</f>
        <v/>
      </c>
      <c r="Y76" t="e">
        <f t="shared" si="13"/>
        <v>#N/A</v>
      </c>
      <c r="Z76" t="e">
        <f t="shared" si="14"/>
        <v>#N/A</v>
      </c>
      <c r="AA76" t="e">
        <f t="shared" si="15"/>
        <v>#N/A</v>
      </c>
      <c r="AB76" t="e">
        <f>VLOOKUP(Z76,Intrim!R:Z,9,0)</f>
        <v>#N/A</v>
      </c>
    </row>
    <row r="77" spans="1:28" x14ac:dyDescent="0.25">
      <c r="A77" t="str">
        <f t="shared" si="16"/>
        <v>69</v>
      </c>
      <c r="B77">
        <f>COUNTIF($C$6:C77,C77)</f>
        <v>69</v>
      </c>
      <c r="C77" t="str">
        <f t="shared" si="10"/>
        <v/>
      </c>
      <c r="D77" t="str">
        <f ca="1">IFERROR(INDEX(Intrim!$R$4:$R$401,E77),"")</f>
        <v/>
      </c>
      <c r="E77" t="e">
        <f ca="1">MATCH(intrim2!C77,OFFSET(Intrim!$S$4,E76,0):'Intrim'!$S$401,0)+E76</f>
        <v>#N/A</v>
      </c>
      <c r="L77" t="str">
        <f t="shared" si="17"/>
        <v>70</v>
      </c>
      <c r="M77">
        <f>COUNTIF($N$6:N77,N77)</f>
        <v>70</v>
      </c>
      <c r="N77" t="str">
        <f t="shared" si="11"/>
        <v/>
      </c>
      <c r="O77" t="str">
        <f ca="1">IFERROR(INDEX(Intrim!$F$4:$F$201,P77),"")</f>
        <v/>
      </c>
      <c r="P77" t="e">
        <f ca="1">MATCH(intrim2!N77,OFFSET(Intrim!$G$4,P76,0):'Intrim'!$G$201,0)+P76</f>
        <v>#N/A</v>
      </c>
      <c r="V77">
        <v>72</v>
      </c>
      <c r="W77" t="str">
        <f t="shared" si="12"/>
        <v/>
      </c>
      <c r="X77" t="str">
        <f>IF(W77="","",COUNTIF($W$6:W77,W77))</f>
        <v/>
      </c>
      <c r="Y77" t="e">
        <f t="shared" si="13"/>
        <v>#N/A</v>
      </c>
      <c r="Z77" t="e">
        <f t="shared" si="14"/>
        <v>#N/A</v>
      </c>
      <c r="AA77" t="e">
        <f t="shared" si="15"/>
        <v>#N/A</v>
      </c>
      <c r="AB77" t="e">
        <f>VLOOKUP(Z77,Intrim!R:Z,9,0)</f>
        <v>#N/A</v>
      </c>
    </row>
    <row r="78" spans="1:28" x14ac:dyDescent="0.25">
      <c r="A78" t="str">
        <f t="shared" si="16"/>
        <v>70</v>
      </c>
      <c r="B78">
        <f>COUNTIF($C$6:C78,C78)</f>
        <v>70</v>
      </c>
      <c r="C78" t="str">
        <f t="shared" si="10"/>
        <v/>
      </c>
      <c r="D78" t="str">
        <f ca="1">IFERROR(INDEX(Intrim!$R$4:$R$401,E78),"")</f>
        <v/>
      </c>
      <c r="E78" t="e">
        <f ca="1">MATCH(intrim2!C78,OFFSET(Intrim!$S$4,E77,0):'Intrim'!$S$401,0)+E77</f>
        <v>#N/A</v>
      </c>
      <c r="L78" t="str">
        <f t="shared" si="17"/>
        <v>71</v>
      </c>
      <c r="M78">
        <f>COUNTIF($N$6:N78,N78)</f>
        <v>71</v>
      </c>
      <c r="N78" t="str">
        <f t="shared" si="11"/>
        <v/>
      </c>
      <c r="O78" t="str">
        <f ca="1">IFERROR(INDEX(Intrim!$F$4:$F$201,P78),"")</f>
        <v/>
      </c>
      <c r="P78" t="e">
        <f ca="1">MATCH(intrim2!N78,OFFSET(Intrim!$G$4,P77,0):'Intrim'!$G$201,0)+P77</f>
        <v>#N/A</v>
      </c>
      <c r="V78">
        <v>73</v>
      </c>
      <c r="W78" t="str">
        <f t="shared" si="12"/>
        <v/>
      </c>
      <c r="X78" t="str">
        <f>IF(W78="","",COUNTIF($W$6:W78,W78))</f>
        <v/>
      </c>
      <c r="Y78" t="e">
        <f t="shared" si="13"/>
        <v>#N/A</v>
      </c>
      <c r="Z78" t="e">
        <f t="shared" si="14"/>
        <v>#N/A</v>
      </c>
      <c r="AA78" t="e">
        <f t="shared" si="15"/>
        <v>#N/A</v>
      </c>
      <c r="AB78" t="e">
        <f>VLOOKUP(Z78,Intrim!R:Z,9,0)</f>
        <v>#N/A</v>
      </c>
    </row>
    <row r="79" spans="1:28" x14ac:dyDescent="0.25">
      <c r="A79" t="str">
        <f t="shared" si="16"/>
        <v>71</v>
      </c>
      <c r="B79">
        <f>COUNTIF($C$6:C79,C79)</f>
        <v>71</v>
      </c>
      <c r="C79" t="str">
        <f t="shared" si="10"/>
        <v/>
      </c>
      <c r="D79" t="str">
        <f ca="1">IFERROR(INDEX(Intrim!$R$4:$R$401,E79),"")</f>
        <v/>
      </c>
      <c r="E79" t="e">
        <f ca="1">MATCH(intrim2!C79,OFFSET(Intrim!$S$4,E78,0):'Intrim'!$S$401,0)+E78</f>
        <v>#N/A</v>
      </c>
      <c r="L79" t="str">
        <f t="shared" si="17"/>
        <v>72</v>
      </c>
      <c r="M79">
        <f>COUNTIF($N$6:N79,N79)</f>
        <v>72</v>
      </c>
      <c r="N79" t="str">
        <f t="shared" si="11"/>
        <v/>
      </c>
      <c r="O79" t="str">
        <f ca="1">IFERROR(INDEX(Intrim!$F$4:$F$201,P79),"")</f>
        <v/>
      </c>
      <c r="P79" t="e">
        <f ca="1">MATCH(intrim2!N79,OFFSET(Intrim!$G$4,P78,0):'Intrim'!$G$201,0)+P78</f>
        <v>#N/A</v>
      </c>
      <c r="V79">
        <v>74</v>
      </c>
      <c r="W79" t="str">
        <f t="shared" si="12"/>
        <v/>
      </c>
      <c r="X79" t="str">
        <f>IF(W79="","",COUNTIF($W$6:W79,W79))</f>
        <v/>
      </c>
      <c r="Y79" t="e">
        <f t="shared" si="13"/>
        <v>#N/A</v>
      </c>
      <c r="Z79" t="e">
        <f t="shared" si="14"/>
        <v>#N/A</v>
      </c>
      <c r="AA79" t="e">
        <f t="shared" si="15"/>
        <v>#N/A</v>
      </c>
      <c r="AB79" t="e">
        <f>VLOOKUP(Z79,Intrim!R:Z,9,0)</f>
        <v>#N/A</v>
      </c>
    </row>
    <row r="80" spans="1:28" x14ac:dyDescent="0.25">
      <c r="A80" t="str">
        <f t="shared" si="16"/>
        <v>72</v>
      </c>
      <c r="B80">
        <f>COUNTIF($C$6:C80,C80)</f>
        <v>72</v>
      </c>
      <c r="C80" t="str">
        <f t="shared" si="10"/>
        <v/>
      </c>
      <c r="D80" t="str">
        <f ca="1">IFERROR(INDEX(Intrim!$R$4:$R$401,E80),"")</f>
        <v/>
      </c>
      <c r="E80" t="e">
        <f ca="1">MATCH(intrim2!C80,OFFSET(Intrim!$S$4,E79,0):'Intrim'!$S$401,0)+E79</f>
        <v>#N/A</v>
      </c>
      <c r="L80" t="str">
        <f t="shared" si="17"/>
        <v>73</v>
      </c>
      <c r="M80">
        <f>COUNTIF($N$6:N80,N80)</f>
        <v>73</v>
      </c>
      <c r="N80" t="str">
        <f t="shared" si="11"/>
        <v/>
      </c>
      <c r="O80" t="str">
        <f ca="1">IFERROR(INDEX(Intrim!$F$4:$F$201,P80),"")</f>
        <v/>
      </c>
      <c r="P80" t="e">
        <f ca="1">MATCH(intrim2!N80,OFFSET(Intrim!$G$4,P79,0):'Intrim'!$G$201,0)+P79</f>
        <v>#N/A</v>
      </c>
      <c r="V80">
        <v>75</v>
      </c>
      <c r="W80" t="str">
        <f t="shared" si="12"/>
        <v/>
      </c>
      <c r="X80" t="str">
        <f>IF(W80="","",COUNTIF($W$6:W80,W80))</f>
        <v/>
      </c>
      <c r="Y80" t="e">
        <f t="shared" si="13"/>
        <v>#N/A</v>
      </c>
      <c r="Z80" t="e">
        <f t="shared" si="14"/>
        <v>#N/A</v>
      </c>
      <c r="AA80" t="e">
        <f t="shared" si="15"/>
        <v>#N/A</v>
      </c>
      <c r="AB80" t="e">
        <f>VLOOKUP(Z80,Intrim!R:Z,9,0)</f>
        <v>#N/A</v>
      </c>
    </row>
    <row r="81" spans="1:28" x14ac:dyDescent="0.25">
      <c r="A81" t="str">
        <f t="shared" si="16"/>
        <v>73</v>
      </c>
      <c r="B81">
        <f>COUNTIF($C$6:C81,C81)</f>
        <v>73</v>
      </c>
      <c r="C81" t="str">
        <f t="shared" si="10"/>
        <v/>
      </c>
      <c r="D81" t="str">
        <f ca="1">IFERROR(INDEX(Intrim!$R$4:$R$401,E81),"")</f>
        <v/>
      </c>
      <c r="E81" t="e">
        <f ca="1">MATCH(intrim2!C81,OFFSET(Intrim!$S$4,E80,0):'Intrim'!$S$401,0)+E80</f>
        <v>#N/A</v>
      </c>
      <c r="L81" t="str">
        <f t="shared" si="17"/>
        <v>74</v>
      </c>
      <c r="M81">
        <f>COUNTIF($N$6:N81,N81)</f>
        <v>74</v>
      </c>
      <c r="N81" t="str">
        <f t="shared" si="11"/>
        <v/>
      </c>
      <c r="O81" t="str">
        <f ca="1">IFERROR(INDEX(Intrim!$F$4:$F$201,P81),"")</f>
        <v/>
      </c>
      <c r="P81" t="e">
        <f ca="1">MATCH(intrim2!N81,OFFSET(Intrim!$G$4,P80,0):'Intrim'!$G$201,0)+P80</f>
        <v>#N/A</v>
      </c>
      <c r="V81">
        <v>76</v>
      </c>
      <c r="W81" t="str">
        <f t="shared" si="12"/>
        <v/>
      </c>
      <c r="X81" t="str">
        <f>IF(W81="","",COUNTIF($W$6:W81,W81))</f>
        <v/>
      </c>
      <c r="Y81" t="e">
        <f t="shared" si="13"/>
        <v>#N/A</v>
      </c>
      <c r="Z81" t="e">
        <f t="shared" si="14"/>
        <v>#N/A</v>
      </c>
      <c r="AA81" t="e">
        <f t="shared" si="15"/>
        <v>#N/A</v>
      </c>
      <c r="AB81" t="e">
        <f>VLOOKUP(Z81,Intrim!R:Z,9,0)</f>
        <v>#N/A</v>
      </c>
    </row>
    <row r="82" spans="1:28" x14ac:dyDescent="0.25">
      <c r="A82" t="str">
        <f t="shared" si="16"/>
        <v>74</v>
      </c>
      <c r="B82">
        <f>COUNTIF($C$6:C82,C82)</f>
        <v>74</v>
      </c>
      <c r="C82" t="str">
        <f t="shared" si="10"/>
        <v/>
      </c>
      <c r="D82" t="str">
        <f ca="1">IFERROR(INDEX(Intrim!$R$4:$R$401,E82),"")</f>
        <v/>
      </c>
      <c r="E82" t="e">
        <f ca="1">MATCH(intrim2!C82,OFFSET(Intrim!$S$4,E81,0):'Intrim'!$S$401,0)+E81</f>
        <v>#N/A</v>
      </c>
      <c r="L82" t="str">
        <f t="shared" si="17"/>
        <v>75</v>
      </c>
      <c r="M82">
        <f>COUNTIF($N$6:N82,N82)</f>
        <v>75</v>
      </c>
      <c r="N82" t="str">
        <f t="shared" si="11"/>
        <v/>
      </c>
      <c r="O82" t="str">
        <f ca="1">IFERROR(INDEX(Intrim!$F$4:$F$201,P82),"")</f>
        <v/>
      </c>
      <c r="P82" t="e">
        <f ca="1">MATCH(intrim2!N82,OFFSET(Intrim!$G$4,P81,0):'Intrim'!$G$201,0)+P81</f>
        <v>#N/A</v>
      </c>
      <c r="V82">
        <v>77</v>
      </c>
      <c r="W82" t="str">
        <f t="shared" si="12"/>
        <v/>
      </c>
      <c r="X82" t="str">
        <f>IF(W82="","",COUNTIF($W$6:W82,W82))</f>
        <v/>
      </c>
      <c r="Y82" t="e">
        <f t="shared" si="13"/>
        <v>#N/A</v>
      </c>
      <c r="Z82" t="e">
        <f t="shared" si="14"/>
        <v>#N/A</v>
      </c>
      <c r="AA82" t="e">
        <f t="shared" si="15"/>
        <v>#N/A</v>
      </c>
      <c r="AB82" t="e">
        <f>VLOOKUP(Z82,Intrim!R:Z,9,0)</f>
        <v>#N/A</v>
      </c>
    </row>
    <row r="83" spans="1:28" x14ac:dyDescent="0.25">
      <c r="A83" t="str">
        <f t="shared" si="16"/>
        <v>75</v>
      </c>
      <c r="B83">
        <f>COUNTIF($C$6:C83,C83)</f>
        <v>75</v>
      </c>
      <c r="C83" t="str">
        <f t="shared" si="10"/>
        <v/>
      </c>
      <c r="D83" t="str">
        <f ca="1">IFERROR(INDEX(Intrim!$R$4:$R$401,E83),"")</f>
        <v/>
      </c>
      <c r="E83" t="e">
        <f ca="1">MATCH(intrim2!C83,OFFSET(Intrim!$S$4,E82,0):'Intrim'!$S$401,0)+E82</f>
        <v>#N/A</v>
      </c>
      <c r="L83" t="str">
        <f t="shared" si="17"/>
        <v>76</v>
      </c>
      <c r="M83">
        <f>COUNTIF($N$6:N83,N83)</f>
        <v>76</v>
      </c>
      <c r="N83" t="str">
        <f t="shared" si="11"/>
        <v/>
      </c>
      <c r="O83" t="str">
        <f ca="1">IFERROR(INDEX(Intrim!$F$4:$F$201,P83),"")</f>
        <v/>
      </c>
      <c r="P83" t="e">
        <f ca="1">MATCH(intrim2!N83,OFFSET(Intrim!$G$4,P82,0):'Intrim'!$G$201,0)+P82</f>
        <v>#N/A</v>
      </c>
      <c r="V83">
        <v>78</v>
      </c>
      <c r="W83" t="str">
        <f t="shared" si="12"/>
        <v/>
      </c>
      <c r="X83" t="str">
        <f>IF(W83="","",COUNTIF($W$6:W83,W83))</f>
        <v/>
      </c>
      <c r="Y83" t="e">
        <f t="shared" si="13"/>
        <v>#N/A</v>
      </c>
      <c r="Z83" t="e">
        <f t="shared" si="14"/>
        <v>#N/A</v>
      </c>
      <c r="AA83" t="e">
        <f t="shared" si="15"/>
        <v>#N/A</v>
      </c>
      <c r="AB83" t="e">
        <f>VLOOKUP(Z83,Intrim!R:Z,9,0)</f>
        <v>#N/A</v>
      </c>
    </row>
    <row r="84" spans="1:28" x14ac:dyDescent="0.25">
      <c r="A84" t="str">
        <f t="shared" si="16"/>
        <v>76</v>
      </c>
      <c r="B84">
        <f>COUNTIF($C$6:C84,C84)</f>
        <v>76</v>
      </c>
      <c r="C84" t="str">
        <f t="shared" si="10"/>
        <v/>
      </c>
      <c r="D84" t="str">
        <f ca="1">IFERROR(INDEX(Intrim!$R$4:$R$401,E84),"")</f>
        <v/>
      </c>
      <c r="E84" t="e">
        <f ca="1">MATCH(intrim2!C84,OFFSET(Intrim!$S$4,E83,0):'Intrim'!$S$401,0)+E83</f>
        <v>#N/A</v>
      </c>
      <c r="L84" t="str">
        <f t="shared" si="17"/>
        <v>77</v>
      </c>
      <c r="M84">
        <f>COUNTIF($N$6:N84,N84)</f>
        <v>77</v>
      </c>
      <c r="N84" t="str">
        <f t="shared" si="11"/>
        <v/>
      </c>
      <c r="O84" t="str">
        <f ca="1">IFERROR(INDEX(Intrim!$F$4:$F$201,P84),"")</f>
        <v/>
      </c>
      <c r="P84" t="e">
        <f ca="1">MATCH(intrim2!N84,OFFSET(Intrim!$G$4,P83,0):'Intrim'!$G$201,0)+P83</f>
        <v>#N/A</v>
      </c>
      <c r="V84">
        <v>79</v>
      </c>
      <c r="W84" t="str">
        <f t="shared" si="12"/>
        <v/>
      </c>
      <c r="X84" t="str">
        <f>IF(W84="","",COUNTIF($W$6:W84,W84))</f>
        <v/>
      </c>
      <c r="Y84" t="e">
        <f t="shared" si="13"/>
        <v>#N/A</v>
      </c>
      <c r="Z84" t="e">
        <f t="shared" si="14"/>
        <v>#N/A</v>
      </c>
      <c r="AA84" t="e">
        <f t="shared" si="15"/>
        <v>#N/A</v>
      </c>
      <c r="AB84" t="e">
        <f>VLOOKUP(Z84,Intrim!R:Z,9,0)</f>
        <v>#N/A</v>
      </c>
    </row>
    <row r="85" spans="1:28" x14ac:dyDescent="0.25">
      <c r="A85" t="str">
        <f t="shared" si="16"/>
        <v>77</v>
      </c>
      <c r="B85">
        <f>COUNTIF($C$6:C85,C85)</f>
        <v>77</v>
      </c>
      <c r="C85" t="str">
        <f t="shared" si="10"/>
        <v/>
      </c>
      <c r="D85" t="str">
        <f ca="1">IFERROR(INDEX(Intrim!$R$4:$R$401,E85),"")</f>
        <v/>
      </c>
      <c r="E85" t="e">
        <f ca="1">MATCH(intrim2!C85,OFFSET(Intrim!$S$4,E84,0):'Intrim'!$S$401,0)+E84</f>
        <v>#N/A</v>
      </c>
      <c r="L85" t="str">
        <f t="shared" si="17"/>
        <v>78</v>
      </c>
      <c r="M85">
        <f>COUNTIF($N$6:N85,N85)</f>
        <v>78</v>
      </c>
      <c r="N85" t="str">
        <f t="shared" si="11"/>
        <v/>
      </c>
      <c r="O85" t="str">
        <f ca="1">IFERROR(INDEX(Intrim!$F$4:$F$201,P85),"")</f>
        <v/>
      </c>
      <c r="P85" t="e">
        <f ca="1">MATCH(intrim2!N85,OFFSET(Intrim!$G$4,P84,0):'Intrim'!$G$201,0)+P84</f>
        <v>#N/A</v>
      </c>
      <c r="V85">
        <v>80</v>
      </c>
      <c r="W85" t="str">
        <f t="shared" si="12"/>
        <v/>
      </c>
      <c r="X85" t="str">
        <f>IF(W85="","",COUNTIF($W$6:W85,W85))</f>
        <v/>
      </c>
      <c r="Y85" t="e">
        <f t="shared" si="13"/>
        <v>#N/A</v>
      </c>
      <c r="Z85" t="e">
        <f t="shared" si="14"/>
        <v>#N/A</v>
      </c>
      <c r="AA85" t="e">
        <f t="shared" si="15"/>
        <v>#N/A</v>
      </c>
      <c r="AB85" t="e">
        <f>VLOOKUP(Z85,Intrim!R:Z,9,0)</f>
        <v>#N/A</v>
      </c>
    </row>
    <row r="86" spans="1:28" x14ac:dyDescent="0.25">
      <c r="A86" t="str">
        <f t="shared" si="16"/>
        <v>78</v>
      </c>
      <c r="B86">
        <f>COUNTIF($C$6:C86,C86)</f>
        <v>78</v>
      </c>
      <c r="C86" t="str">
        <f t="shared" si="10"/>
        <v/>
      </c>
      <c r="D86" t="str">
        <f ca="1">IFERROR(INDEX(Intrim!$R$4:$R$401,E86),"")</f>
        <v/>
      </c>
      <c r="E86" t="e">
        <f ca="1">MATCH(intrim2!C86,OFFSET(Intrim!$S$4,E85,0):'Intrim'!$S$401,0)+E85</f>
        <v>#N/A</v>
      </c>
      <c r="L86" t="str">
        <f t="shared" si="17"/>
        <v>79</v>
      </c>
      <c r="M86">
        <f>COUNTIF($N$6:N86,N86)</f>
        <v>79</v>
      </c>
      <c r="N86" t="str">
        <f t="shared" si="11"/>
        <v/>
      </c>
      <c r="O86" t="str">
        <f ca="1">IFERROR(INDEX(Intrim!$F$4:$F$201,P86),"")</f>
        <v/>
      </c>
      <c r="P86" t="e">
        <f ca="1">MATCH(intrim2!N86,OFFSET(Intrim!$G$4,P85,0):'Intrim'!$G$201,0)+P85</f>
        <v>#N/A</v>
      </c>
      <c r="V86">
        <v>81</v>
      </c>
      <c r="W86" t="str">
        <f t="shared" si="12"/>
        <v/>
      </c>
      <c r="X86" t="str">
        <f>IF(W86="","",COUNTIF($W$6:W86,W86))</f>
        <v/>
      </c>
      <c r="Y86" t="e">
        <f t="shared" si="13"/>
        <v>#N/A</v>
      </c>
      <c r="Z86" t="e">
        <f t="shared" si="14"/>
        <v>#N/A</v>
      </c>
      <c r="AA86" t="e">
        <f t="shared" si="15"/>
        <v>#N/A</v>
      </c>
      <c r="AB86" t="e">
        <f>VLOOKUP(Z86,Intrim!R:Z,9,0)</f>
        <v>#N/A</v>
      </c>
    </row>
    <row r="87" spans="1:28" x14ac:dyDescent="0.25">
      <c r="A87" t="str">
        <f t="shared" si="16"/>
        <v>79</v>
      </c>
      <c r="B87">
        <f>COUNTIF($C$6:C87,C87)</f>
        <v>79</v>
      </c>
      <c r="C87" t="str">
        <f t="shared" si="10"/>
        <v/>
      </c>
      <c r="D87" t="str">
        <f ca="1">IFERROR(INDEX(Intrim!$R$4:$R$401,E87),"")</f>
        <v/>
      </c>
      <c r="E87" t="e">
        <f ca="1">MATCH(intrim2!C87,OFFSET(Intrim!$S$4,E86,0):'Intrim'!$S$401,0)+E86</f>
        <v>#N/A</v>
      </c>
      <c r="L87" t="str">
        <f t="shared" si="17"/>
        <v>80</v>
      </c>
      <c r="M87">
        <f>COUNTIF($N$6:N87,N87)</f>
        <v>80</v>
      </c>
      <c r="N87" t="str">
        <f t="shared" si="11"/>
        <v/>
      </c>
      <c r="O87" t="str">
        <f ca="1">IFERROR(INDEX(Intrim!$F$4:$F$201,P87),"")</f>
        <v/>
      </c>
      <c r="P87" t="e">
        <f ca="1">MATCH(intrim2!N87,OFFSET(Intrim!$G$4,P86,0):'Intrim'!$G$201,0)+P86</f>
        <v>#N/A</v>
      </c>
      <c r="V87">
        <v>82</v>
      </c>
      <c r="W87" t="str">
        <f t="shared" si="12"/>
        <v/>
      </c>
      <c r="X87" t="str">
        <f>IF(W87="","",COUNTIF($W$6:W87,W87))</f>
        <v/>
      </c>
      <c r="Y87" t="e">
        <f t="shared" si="13"/>
        <v>#N/A</v>
      </c>
      <c r="Z87" t="e">
        <f t="shared" si="14"/>
        <v>#N/A</v>
      </c>
      <c r="AA87" t="e">
        <f t="shared" si="15"/>
        <v>#N/A</v>
      </c>
      <c r="AB87" t="e">
        <f>VLOOKUP(Z87,Intrim!R:Z,9,0)</f>
        <v>#N/A</v>
      </c>
    </row>
    <row r="88" spans="1:28" x14ac:dyDescent="0.25">
      <c r="A88" t="str">
        <f t="shared" si="16"/>
        <v>80</v>
      </c>
      <c r="B88">
        <f>COUNTIF($C$6:C88,C88)</f>
        <v>80</v>
      </c>
      <c r="C88" t="str">
        <f t="shared" si="10"/>
        <v/>
      </c>
      <c r="D88" t="str">
        <f ca="1">IFERROR(INDEX(Intrim!$R$4:$R$401,E88),"")</f>
        <v/>
      </c>
      <c r="E88" t="e">
        <f ca="1">MATCH(intrim2!C88,OFFSET(Intrim!$S$4,E87,0):'Intrim'!$S$401,0)+E87</f>
        <v>#N/A</v>
      </c>
      <c r="L88" t="str">
        <f t="shared" si="17"/>
        <v>81</v>
      </c>
      <c r="M88">
        <f>COUNTIF($N$6:N88,N88)</f>
        <v>81</v>
      </c>
      <c r="N88" t="str">
        <f t="shared" si="11"/>
        <v/>
      </c>
      <c r="O88" t="str">
        <f ca="1">IFERROR(INDEX(Intrim!$F$4:$F$201,P88),"")</f>
        <v/>
      </c>
      <c r="P88" t="e">
        <f ca="1">MATCH(intrim2!N88,OFFSET(Intrim!$G$4,P87,0):'Intrim'!$G$201,0)+P87</f>
        <v>#N/A</v>
      </c>
      <c r="V88">
        <v>83</v>
      </c>
      <c r="W88" t="str">
        <f t="shared" si="12"/>
        <v/>
      </c>
      <c r="X88" t="str">
        <f>IF(W88="","",COUNTIF($W$6:W88,W88))</f>
        <v/>
      </c>
      <c r="Y88" t="e">
        <f t="shared" si="13"/>
        <v>#N/A</v>
      </c>
      <c r="Z88" t="e">
        <f t="shared" si="14"/>
        <v>#N/A</v>
      </c>
      <c r="AA88" t="e">
        <f t="shared" si="15"/>
        <v>#N/A</v>
      </c>
      <c r="AB88" t="e">
        <f>VLOOKUP(Z88,Intrim!R:Z,9,0)</f>
        <v>#N/A</v>
      </c>
    </row>
    <row r="89" spans="1:28" x14ac:dyDescent="0.25">
      <c r="A89" t="str">
        <f t="shared" si="16"/>
        <v>81</v>
      </c>
      <c r="B89">
        <f>COUNTIF($C$6:C89,C89)</f>
        <v>81</v>
      </c>
      <c r="C89" t="str">
        <f t="shared" si="10"/>
        <v/>
      </c>
      <c r="D89" t="str">
        <f ca="1">IFERROR(INDEX(Intrim!$R$4:$R$401,E89),"")</f>
        <v/>
      </c>
      <c r="E89" t="e">
        <f ca="1">MATCH(intrim2!C89,OFFSET(Intrim!$S$4,E88,0):'Intrim'!$S$401,0)+E88</f>
        <v>#N/A</v>
      </c>
      <c r="L89" t="str">
        <f t="shared" si="17"/>
        <v>82</v>
      </c>
      <c r="M89">
        <f>COUNTIF($N$6:N89,N89)</f>
        <v>82</v>
      </c>
      <c r="N89" t="str">
        <f t="shared" si="11"/>
        <v/>
      </c>
      <c r="O89" t="str">
        <f ca="1">IFERROR(INDEX(Intrim!$F$4:$F$201,P89),"")</f>
        <v/>
      </c>
      <c r="P89" t="e">
        <f ca="1">MATCH(intrim2!N89,OFFSET(Intrim!$G$4,P88,0):'Intrim'!$G$201,0)+P88</f>
        <v>#N/A</v>
      </c>
      <c r="V89">
        <v>84</v>
      </c>
      <c r="W89" t="str">
        <f t="shared" si="12"/>
        <v/>
      </c>
      <c r="X89" t="str">
        <f>IF(W89="","",COUNTIF($W$6:W89,W89))</f>
        <v/>
      </c>
      <c r="Y89" t="e">
        <f t="shared" si="13"/>
        <v>#N/A</v>
      </c>
      <c r="Z89" t="e">
        <f t="shared" si="14"/>
        <v>#N/A</v>
      </c>
      <c r="AA89" t="e">
        <f t="shared" si="15"/>
        <v>#N/A</v>
      </c>
      <c r="AB89" t="e">
        <f>VLOOKUP(Z89,Intrim!R:Z,9,0)</f>
        <v>#N/A</v>
      </c>
    </row>
    <row r="90" spans="1:28" x14ac:dyDescent="0.25">
      <c r="A90" t="str">
        <f t="shared" si="16"/>
        <v>82</v>
      </c>
      <c r="B90">
        <f>COUNTIF($C$6:C90,C90)</f>
        <v>82</v>
      </c>
      <c r="C90" t="str">
        <f t="shared" si="10"/>
        <v/>
      </c>
      <c r="D90" t="str">
        <f ca="1">IFERROR(INDEX(Intrim!$R$4:$R$401,E90),"")</f>
        <v/>
      </c>
      <c r="E90" t="e">
        <f ca="1">MATCH(intrim2!C90,OFFSET(Intrim!$S$4,E89,0):'Intrim'!$S$401,0)+E89</f>
        <v>#N/A</v>
      </c>
      <c r="L90" t="str">
        <f t="shared" si="17"/>
        <v>83</v>
      </c>
      <c r="M90">
        <f>COUNTIF($N$6:N90,N90)</f>
        <v>83</v>
      </c>
      <c r="N90" t="str">
        <f t="shared" si="11"/>
        <v/>
      </c>
      <c r="O90" t="str">
        <f ca="1">IFERROR(INDEX(Intrim!$F$4:$F$201,P90),"")</f>
        <v/>
      </c>
      <c r="P90" t="e">
        <f ca="1">MATCH(intrim2!N90,OFFSET(Intrim!$G$4,P89,0):'Intrim'!$G$201,0)+P89</f>
        <v>#N/A</v>
      </c>
      <c r="V90">
        <v>85</v>
      </c>
      <c r="W90" t="str">
        <f t="shared" si="12"/>
        <v/>
      </c>
      <c r="X90" t="str">
        <f>IF(W90="","",COUNTIF($W$6:W90,W90))</f>
        <v/>
      </c>
      <c r="Y90" t="e">
        <f t="shared" si="13"/>
        <v>#N/A</v>
      </c>
      <c r="Z90" t="e">
        <f t="shared" si="14"/>
        <v>#N/A</v>
      </c>
      <c r="AA90" t="e">
        <f t="shared" si="15"/>
        <v>#N/A</v>
      </c>
      <c r="AB90" t="e">
        <f>VLOOKUP(Z90,Intrim!R:Z,9,0)</f>
        <v>#N/A</v>
      </c>
    </row>
    <row r="91" spans="1:28" x14ac:dyDescent="0.25">
      <c r="A91" t="str">
        <f t="shared" si="16"/>
        <v>83</v>
      </c>
      <c r="B91">
        <f>COUNTIF($C$6:C91,C91)</f>
        <v>83</v>
      </c>
      <c r="C91" t="str">
        <f t="shared" si="10"/>
        <v/>
      </c>
      <c r="D91" t="str">
        <f ca="1">IFERROR(INDEX(Intrim!$R$4:$R$401,E91),"")</f>
        <v/>
      </c>
      <c r="E91" t="e">
        <f ca="1">MATCH(intrim2!C91,OFFSET(Intrim!$S$4,E90,0):'Intrim'!$S$401,0)+E90</f>
        <v>#N/A</v>
      </c>
      <c r="L91" t="str">
        <f t="shared" si="17"/>
        <v>84</v>
      </c>
      <c r="M91">
        <f>COUNTIF($N$6:N91,N91)</f>
        <v>84</v>
      </c>
      <c r="N91" t="str">
        <f t="shared" si="11"/>
        <v/>
      </c>
      <c r="O91" t="str">
        <f ca="1">IFERROR(INDEX(Intrim!$F$4:$F$201,P91),"")</f>
        <v/>
      </c>
      <c r="P91" t="e">
        <f ca="1">MATCH(intrim2!N91,OFFSET(Intrim!$G$4,P90,0):'Intrim'!$G$201,0)+P90</f>
        <v>#N/A</v>
      </c>
      <c r="V91">
        <v>86</v>
      </c>
      <c r="W91" t="str">
        <f t="shared" si="12"/>
        <v/>
      </c>
      <c r="X91" t="str">
        <f>IF(W91="","",COUNTIF($W$6:W91,W91))</f>
        <v/>
      </c>
      <c r="Y91" t="e">
        <f t="shared" si="13"/>
        <v>#N/A</v>
      </c>
      <c r="Z91" t="e">
        <f t="shared" si="14"/>
        <v>#N/A</v>
      </c>
      <c r="AA91" t="e">
        <f t="shared" si="15"/>
        <v>#N/A</v>
      </c>
      <c r="AB91" t="e">
        <f>VLOOKUP(Z91,Intrim!R:Z,9,0)</f>
        <v>#N/A</v>
      </c>
    </row>
    <row r="92" spans="1:28" x14ac:dyDescent="0.25">
      <c r="A92" t="str">
        <f t="shared" si="16"/>
        <v>84</v>
      </c>
      <c r="B92">
        <f>COUNTIF($C$6:C92,C92)</f>
        <v>84</v>
      </c>
      <c r="C92" t="str">
        <f t="shared" si="10"/>
        <v/>
      </c>
      <c r="D92" t="str">
        <f ca="1">IFERROR(INDEX(Intrim!$R$4:$R$401,E92),"")</f>
        <v/>
      </c>
      <c r="E92" t="e">
        <f ca="1">MATCH(intrim2!C92,OFFSET(Intrim!$S$4,E91,0):'Intrim'!$S$401,0)+E91</f>
        <v>#N/A</v>
      </c>
      <c r="L92" t="str">
        <f t="shared" si="17"/>
        <v>85</v>
      </c>
      <c r="M92">
        <f>COUNTIF($N$6:N92,N92)</f>
        <v>85</v>
      </c>
      <c r="N92" t="str">
        <f t="shared" si="11"/>
        <v/>
      </c>
      <c r="O92" t="str">
        <f ca="1">IFERROR(INDEX(Intrim!$F$4:$F$201,P92),"")</f>
        <v/>
      </c>
      <c r="P92" t="e">
        <f ca="1">MATCH(intrim2!N92,OFFSET(Intrim!$G$4,P91,0):'Intrim'!$G$201,0)+P91</f>
        <v>#N/A</v>
      </c>
      <c r="V92">
        <v>87</v>
      </c>
      <c r="W92" t="str">
        <f t="shared" si="12"/>
        <v/>
      </c>
      <c r="X92" t="str">
        <f>IF(W92="","",COUNTIF($W$6:W92,W92))</f>
        <v/>
      </c>
      <c r="Y92" t="e">
        <f t="shared" si="13"/>
        <v>#N/A</v>
      </c>
      <c r="Z92" t="e">
        <f t="shared" si="14"/>
        <v>#N/A</v>
      </c>
      <c r="AA92" t="e">
        <f t="shared" si="15"/>
        <v>#N/A</v>
      </c>
      <c r="AB92" t="e">
        <f>VLOOKUP(Z92,Intrim!R:Z,9,0)</f>
        <v>#N/A</v>
      </c>
    </row>
    <row r="93" spans="1:28" x14ac:dyDescent="0.25">
      <c r="A93" t="str">
        <f t="shared" si="16"/>
        <v>85</v>
      </c>
      <c r="B93">
        <f>COUNTIF($C$6:C93,C93)</f>
        <v>85</v>
      </c>
      <c r="C93" t="str">
        <f t="shared" si="10"/>
        <v/>
      </c>
      <c r="D93" t="str">
        <f ca="1">IFERROR(INDEX(Intrim!$R$4:$R$401,E93),"")</f>
        <v/>
      </c>
      <c r="E93" t="e">
        <f ca="1">MATCH(intrim2!C93,OFFSET(Intrim!$S$4,E92,0):'Intrim'!$S$401,0)+E92</f>
        <v>#N/A</v>
      </c>
      <c r="L93" t="str">
        <f t="shared" si="17"/>
        <v>86</v>
      </c>
      <c r="M93">
        <f>COUNTIF($N$6:N93,N93)</f>
        <v>86</v>
      </c>
      <c r="N93" t="str">
        <f t="shared" si="11"/>
        <v/>
      </c>
      <c r="O93" t="str">
        <f ca="1">IFERROR(INDEX(Intrim!$F$4:$F$201,P93),"")</f>
        <v/>
      </c>
      <c r="P93" t="e">
        <f ca="1">MATCH(intrim2!N93,OFFSET(Intrim!$G$4,P92,0):'Intrim'!$G$201,0)+P92</f>
        <v>#N/A</v>
      </c>
      <c r="V93">
        <v>88</v>
      </c>
      <c r="W93" t="str">
        <f t="shared" si="12"/>
        <v/>
      </c>
      <c r="X93" t="str">
        <f>IF(W93="","",COUNTIF($W$6:W93,W93))</f>
        <v/>
      </c>
      <c r="Y93" t="e">
        <f t="shared" si="13"/>
        <v>#N/A</v>
      </c>
      <c r="Z93" t="e">
        <f t="shared" si="14"/>
        <v>#N/A</v>
      </c>
      <c r="AA93" t="e">
        <f t="shared" si="15"/>
        <v>#N/A</v>
      </c>
      <c r="AB93" t="e">
        <f>VLOOKUP(Z93,Intrim!R:Z,9,0)</f>
        <v>#N/A</v>
      </c>
    </row>
    <row r="94" spans="1:28" x14ac:dyDescent="0.25">
      <c r="A94" t="str">
        <f t="shared" si="16"/>
        <v>86</v>
      </c>
      <c r="B94">
        <f>COUNTIF($C$6:C94,C94)</f>
        <v>86</v>
      </c>
      <c r="C94" t="str">
        <f t="shared" si="10"/>
        <v/>
      </c>
      <c r="D94" t="str">
        <f ca="1">IFERROR(INDEX(Intrim!$R$4:$R$401,E94),"")</f>
        <v/>
      </c>
      <c r="E94" t="e">
        <f ca="1">MATCH(intrim2!C94,OFFSET(Intrim!$S$4,E93,0):'Intrim'!$S$401,0)+E93</f>
        <v>#N/A</v>
      </c>
      <c r="L94" t="str">
        <f t="shared" si="17"/>
        <v>87</v>
      </c>
      <c r="M94">
        <f>COUNTIF($N$6:N94,N94)</f>
        <v>87</v>
      </c>
      <c r="N94" t="str">
        <f t="shared" si="11"/>
        <v/>
      </c>
      <c r="O94" t="str">
        <f ca="1">IFERROR(INDEX(Intrim!$F$4:$F$201,P94),"")</f>
        <v/>
      </c>
      <c r="P94" t="e">
        <f ca="1">MATCH(intrim2!N94,OFFSET(Intrim!$G$4,P93,0):'Intrim'!$G$201,0)+P93</f>
        <v>#N/A</v>
      </c>
      <c r="V94">
        <v>89</v>
      </c>
      <c r="W94" t="str">
        <f t="shared" si="12"/>
        <v/>
      </c>
      <c r="X94" t="str">
        <f>IF(W94="","",COUNTIF($W$6:W94,W94))</f>
        <v/>
      </c>
      <c r="Y94" t="e">
        <f t="shared" si="13"/>
        <v>#N/A</v>
      </c>
      <c r="Z94" t="e">
        <f t="shared" si="14"/>
        <v>#N/A</v>
      </c>
      <c r="AA94" t="e">
        <f t="shared" si="15"/>
        <v>#N/A</v>
      </c>
      <c r="AB94" t="e">
        <f>VLOOKUP(Z94,Intrim!R:Z,9,0)</f>
        <v>#N/A</v>
      </c>
    </row>
    <row r="95" spans="1:28" x14ac:dyDescent="0.25">
      <c r="A95" t="str">
        <f t="shared" si="16"/>
        <v>87</v>
      </c>
      <c r="B95">
        <f>COUNTIF($C$6:C95,C95)</f>
        <v>87</v>
      </c>
      <c r="C95" t="str">
        <f t="shared" si="10"/>
        <v/>
      </c>
      <c r="D95" t="str">
        <f ca="1">IFERROR(INDEX(Intrim!$R$4:$R$401,E95),"")</f>
        <v/>
      </c>
      <c r="E95" t="e">
        <f ca="1">MATCH(intrim2!C95,OFFSET(Intrim!$S$4,E94,0):'Intrim'!$S$401,0)+E94</f>
        <v>#N/A</v>
      </c>
      <c r="L95" t="str">
        <f t="shared" si="17"/>
        <v>88</v>
      </c>
      <c r="M95">
        <f>COUNTIF($N$6:N95,N95)</f>
        <v>88</v>
      </c>
      <c r="N95" t="str">
        <f t="shared" si="11"/>
        <v/>
      </c>
      <c r="O95" t="str">
        <f ca="1">IFERROR(INDEX(Intrim!$F$4:$F$201,P95),"")</f>
        <v/>
      </c>
      <c r="P95" t="e">
        <f ca="1">MATCH(intrim2!N95,OFFSET(Intrim!$G$4,P94,0):'Intrim'!$G$201,0)+P94</f>
        <v>#N/A</v>
      </c>
      <c r="V95">
        <v>90</v>
      </c>
      <c r="W95" t="str">
        <f t="shared" si="12"/>
        <v/>
      </c>
      <c r="X95" t="str">
        <f>IF(W95="","",COUNTIF($W$6:W95,W95))</f>
        <v/>
      </c>
      <c r="Y95" t="e">
        <f t="shared" si="13"/>
        <v>#N/A</v>
      </c>
      <c r="Z95" t="e">
        <f t="shared" si="14"/>
        <v>#N/A</v>
      </c>
      <c r="AA95" t="e">
        <f t="shared" si="15"/>
        <v>#N/A</v>
      </c>
      <c r="AB95" t="e">
        <f>VLOOKUP(Z95,Intrim!R:Z,9,0)</f>
        <v>#N/A</v>
      </c>
    </row>
    <row r="96" spans="1:28" x14ac:dyDescent="0.25">
      <c r="A96" t="str">
        <f t="shared" si="16"/>
        <v>88</v>
      </c>
      <c r="B96">
        <f>COUNTIF($C$6:C96,C96)</f>
        <v>88</v>
      </c>
      <c r="C96" t="str">
        <f t="shared" si="10"/>
        <v/>
      </c>
      <c r="D96" t="str">
        <f ca="1">IFERROR(INDEX(Intrim!$R$4:$R$401,E96),"")</f>
        <v/>
      </c>
      <c r="E96" t="e">
        <f ca="1">MATCH(intrim2!C96,OFFSET(Intrim!$S$4,E95,0):'Intrim'!$S$401,0)+E95</f>
        <v>#N/A</v>
      </c>
      <c r="L96" t="str">
        <f t="shared" si="17"/>
        <v>89</v>
      </c>
      <c r="M96">
        <f>COUNTIF($N$6:N96,N96)</f>
        <v>89</v>
      </c>
      <c r="N96" t="str">
        <f t="shared" si="11"/>
        <v/>
      </c>
      <c r="O96" t="str">
        <f ca="1">IFERROR(INDEX(Intrim!$F$4:$F$201,P96),"")</f>
        <v/>
      </c>
      <c r="P96" t="e">
        <f ca="1">MATCH(intrim2!N96,OFFSET(Intrim!$G$4,P95,0):'Intrim'!$G$201,0)+P95</f>
        <v>#N/A</v>
      </c>
      <c r="V96">
        <v>91</v>
      </c>
      <c r="W96" t="str">
        <f t="shared" si="12"/>
        <v/>
      </c>
      <c r="X96" t="str">
        <f>IF(W96="","",COUNTIF($W$6:W96,W96))</f>
        <v/>
      </c>
      <c r="Y96" t="e">
        <f t="shared" si="13"/>
        <v>#N/A</v>
      </c>
      <c r="Z96" t="e">
        <f t="shared" si="14"/>
        <v>#N/A</v>
      </c>
      <c r="AA96" t="e">
        <f t="shared" si="15"/>
        <v>#N/A</v>
      </c>
      <c r="AB96" t="e">
        <f>VLOOKUP(Z96,Intrim!R:Z,9,0)</f>
        <v>#N/A</v>
      </c>
    </row>
    <row r="97" spans="1:28" x14ac:dyDescent="0.25">
      <c r="A97" t="str">
        <f t="shared" si="16"/>
        <v>89</v>
      </c>
      <c r="B97">
        <f>COUNTIF($C$6:C97,C97)</f>
        <v>89</v>
      </c>
      <c r="C97" t="str">
        <f t="shared" si="10"/>
        <v/>
      </c>
      <c r="D97" t="str">
        <f ca="1">IFERROR(INDEX(Intrim!$R$4:$R$401,E97),"")</f>
        <v/>
      </c>
      <c r="E97" t="e">
        <f ca="1">MATCH(intrim2!C97,OFFSET(Intrim!$S$4,E96,0):'Intrim'!$S$401,0)+E96</f>
        <v>#N/A</v>
      </c>
      <c r="L97" t="str">
        <f t="shared" si="17"/>
        <v>90</v>
      </c>
      <c r="M97">
        <f>COUNTIF($N$6:N97,N97)</f>
        <v>90</v>
      </c>
      <c r="N97" t="str">
        <f t="shared" si="11"/>
        <v/>
      </c>
      <c r="O97" t="str">
        <f ca="1">IFERROR(INDEX(Intrim!$F$4:$F$201,P97),"")</f>
        <v/>
      </c>
      <c r="P97" t="e">
        <f ca="1">MATCH(intrim2!N97,OFFSET(Intrim!$G$4,P96,0):'Intrim'!$G$201,0)+P96</f>
        <v>#N/A</v>
      </c>
      <c r="V97">
        <v>92</v>
      </c>
      <c r="W97" t="str">
        <f t="shared" si="12"/>
        <v/>
      </c>
      <c r="X97" t="str">
        <f>IF(W97="","",COUNTIF($W$6:W97,W97))</f>
        <v/>
      </c>
      <c r="Y97" t="e">
        <f t="shared" si="13"/>
        <v>#N/A</v>
      </c>
      <c r="Z97" t="e">
        <f t="shared" si="14"/>
        <v>#N/A</v>
      </c>
      <c r="AA97" t="e">
        <f t="shared" si="15"/>
        <v>#N/A</v>
      </c>
      <c r="AB97" t="e">
        <f>VLOOKUP(Z97,Intrim!R:Z,9,0)</f>
        <v>#N/A</v>
      </c>
    </row>
    <row r="98" spans="1:28" x14ac:dyDescent="0.25">
      <c r="A98" t="str">
        <f t="shared" si="16"/>
        <v>90</v>
      </c>
      <c r="B98">
        <f>COUNTIF($C$6:C98,C98)</f>
        <v>90</v>
      </c>
      <c r="C98" t="str">
        <f t="shared" si="10"/>
        <v/>
      </c>
      <c r="D98" t="str">
        <f ca="1">IFERROR(INDEX(Intrim!$R$4:$R$401,E98),"")</f>
        <v/>
      </c>
      <c r="E98" t="e">
        <f ca="1">MATCH(intrim2!C98,OFFSET(Intrim!$S$4,E97,0):'Intrim'!$S$401,0)+E97</f>
        <v>#N/A</v>
      </c>
      <c r="L98" t="str">
        <f t="shared" si="17"/>
        <v>91</v>
      </c>
      <c r="M98">
        <f>COUNTIF($N$6:N98,N98)</f>
        <v>91</v>
      </c>
      <c r="N98" t="str">
        <f t="shared" si="11"/>
        <v/>
      </c>
      <c r="O98" t="str">
        <f ca="1">IFERROR(INDEX(Intrim!$F$4:$F$201,P98),"")</f>
        <v/>
      </c>
      <c r="P98" t="e">
        <f ca="1">MATCH(intrim2!N98,OFFSET(Intrim!$G$4,P97,0):'Intrim'!$G$201,0)+P97</f>
        <v>#N/A</v>
      </c>
      <c r="V98">
        <v>93</v>
      </c>
      <c r="W98" t="str">
        <f t="shared" si="12"/>
        <v/>
      </c>
      <c r="X98" t="str">
        <f>IF(W98="","",COUNTIF($W$6:W98,W98))</f>
        <v/>
      </c>
      <c r="Y98" t="e">
        <f t="shared" si="13"/>
        <v>#N/A</v>
      </c>
      <c r="Z98" t="e">
        <f t="shared" si="14"/>
        <v>#N/A</v>
      </c>
      <c r="AA98" t="e">
        <f t="shared" si="15"/>
        <v>#N/A</v>
      </c>
      <c r="AB98" t="e">
        <f>VLOOKUP(Z98,Intrim!R:Z,9,0)</f>
        <v>#N/A</v>
      </c>
    </row>
    <row r="99" spans="1:28" x14ac:dyDescent="0.25">
      <c r="A99" t="str">
        <f t="shared" si="16"/>
        <v>91</v>
      </c>
      <c r="B99">
        <f>COUNTIF($C$6:C99,C99)</f>
        <v>91</v>
      </c>
      <c r="C99" t="str">
        <f t="shared" si="10"/>
        <v/>
      </c>
      <c r="D99" t="str">
        <f ca="1">IFERROR(INDEX(Intrim!$R$4:$R$401,E99),"")</f>
        <v/>
      </c>
      <c r="E99" t="e">
        <f ca="1">MATCH(intrim2!C99,OFFSET(Intrim!$S$4,E98,0):'Intrim'!$S$401,0)+E98</f>
        <v>#N/A</v>
      </c>
      <c r="L99" t="str">
        <f t="shared" si="17"/>
        <v>92</v>
      </c>
      <c r="M99">
        <f>COUNTIF($N$6:N99,N99)</f>
        <v>92</v>
      </c>
      <c r="N99" t="str">
        <f t="shared" si="11"/>
        <v/>
      </c>
      <c r="O99" t="str">
        <f ca="1">IFERROR(INDEX(Intrim!$F$4:$F$201,P99),"")</f>
        <v/>
      </c>
      <c r="P99" t="e">
        <f ca="1">MATCH(intrim2!N99,OFFSET(Intrim!$G$4,P98,0):'Intrim'!$G$201,0)+P98</f>
        <v>#N/A</v>
      </c>
      <c r="V99">
        <v>94</v>
      </c>
      <c r="W99" t="str">
        <f t="shared" si="12"/>
        <v/>
      </c>
      <c r="X99" t="str">
        <f>IF(W99="","",COUNTIF($W$6:W99,W99))</f>
        <v/>
      </c>
      <c r="Y99" t="e">
        <f t="shared" si="13"/>
        <v>#N/A</v>
      </c>
      <c r="Z99" t="e">
        <f t="shared" si="14"/>
        <v>#N/A</v>
      </c>
      <c r="AA99" t="e">
        <f t="shared" si="15"/>
        <v>#N/A</v>
      </c>
      <c r="AB99" t="e">
        <f>VLOOKUP(Z99,Intrim!R:Z,9,0)</f>
        <v>#N/A</v>
      </c>
    </row>
    <row r="100" spans="1:28" x14ac:dyDescent="0.25">
      <c r="A100" t="str">
        <f t="shared" si="16"/>
        <v>92</v>
      </c>
      <c r="B100">
        <f>COUNTIF($C$6:C100,C100)</f>
        <v>92</v>
      </c>
      <c r="C100" t="str">
        <f t="shared" si="10"/>
        <v/>
      </c>
      <c r="D100" t="str">
        <f ca="1">IFERROR(INDEX(Intrim!$R$4:$R$401,E100),"")</f>
        <v/>
      </c>
      <c r="E100" t="e">
        <f ca="1">MATCH(intrim2!C100,OFFSET(Intrim!$S$4,E99,0):'Intrim'!$S$401,0)+E99</f>
        <v>#N/A</v>
      </c>
      <c r="L100" t="str">
        <f t="shared" si="17"/>
        <v>93</v>
      </c>
      <c r="M100">
        <f>COUNTIF($N$6:N100,N100)</f>
        <v>93</v>
      </c>
      <c r="N100" t="str">
        <f t="shared" si="11"/>
        <v/>
      </c>
      <c r="O100" t="str">
        <f ca="1">IFERROR(INDEX(Intrim!$F$4:$F$201,P100),"")</f>
        <v/>
      </c>
      <c r="P100" t="e">
        <f ca="1">MATCH(intrim2!N100,OFFSET(Intrim!$G$4,P99,0):'Intrim'!$G$201,0)+P99</f>
        <v>#N/A</v>
      </c>
      <c r="V100">
        <v>95</v>
      </c>
      <c r="W100" t="str">
        <f t="shared" si="12"/>
        <v/>
      </c>
      <c r="X100" t="str">
        <f>IF(W100="","",COUNTIF($W$6:W100,W100))</f>
        <v/>
      </c>
      <c r="Y100" t="e">
        <f t="shared" si="13"/>
        <v>#N/A</v>
      </c>
      <c r="Z100" t="e">
        <f t="shared" si="14"/>
        <v>#N/A</v>
      </c>
      <c r="AA100" t="e">
        <f t="shared" si="15"/>
        <v>#N/A</v>
      </c>
      <c r="AB100" t="e">
        <f>VLOOKUP(Z100,Intrim!R:Z,9,0)</f>
        <v>#N/A</v>
      </c>
    </row>
    <row r="101" spans="1:28" x14ac:dyDescent="0.25">
      <c r="A101" t="str">
        <f t="shared" si="16"/>
        <v>93</v>
      </c>
      <c r="B101">
        <f>COUNTIF($C$6:C101,C101)</f>
        <v>93</v>
      </c>
      <c r="C101" t="str">
        <f t="shared" si="10"/>
        <v/>
      </c>
      <c r="D101" t="str">
        <f ca="1">IFERROR(INDEX(Intrim!$R$4:$R$401,E101),"")</f>
        <v/>
      </c>
      <c r="E101" t="e">
        <f ca="1">MATCH(intrim2!C101,OFFSET(Intrim!$S$4,E100,0):'Intrim'!$S$401,0)+E100</f>
        <v>#N/A</v>
      </c>
      <c r="L101" t="str">
        <f t="shared" si="17"/>
        <v>94</v>
      </c>
      <c r="M101">
        <f>COUNTIF($N$6:N101,N101)</f>
        <v>94</v>
      </c>
      <c r="N101" t="str">
        <f t="shared" si="11"/>
        <v/>
      </c>
      <c r="O101" t="str">
        <f ca="1">IFERROR(INDEX(Intrim!$F$4:$F$201,P101),"")</f>
        <v/>
      </c>
      <c r="P101" t="e">
        <f ca="1">MATCH(intrim2!N101,OFFSET(Intrim!$G$4,P100,0):'Intrim'!$G$201,0)+P100</f>
        <v>#N/A</v>
      </c>
      <c r="V101">
        <v>96</v>
      </c>
      <c r="W101" t="str">
        <f t="shared" si="12"/>
        <v/>
      </c>
      <c r="X101" t="str">
        <f>IF(W101="","",COUNTIF($W$6:W101,W101))</f>
        <v/>
      </c>
      <c r="Y101" t="e">
        <f t="shared" si="13"/>
        <v>#N/A</v>
      </c>
      <c r="Z101" t="e">
        <f t="shared" si="14"/>
        <v>#N/A</v>
      </c>
      <c r="AA101" t="e">
        <f t="shared" si="15"/>
        <v>#N/A</v>
      </c>
      <c r="AB101" t="e">
        <f>VLOOKUP(Z101,Intrim!R:Z,9,0)</f>
        <v>#N/A</v>
      </c>
    </row>
    <row r="102" spans="1:28" x14ac:dyDescent="0.25">
      <c r="A102" t="str">
        <f t="shared" si="16"/>
        <v>94</v>
      </c>
      <c r="B102">
        <f>COUNTIF($C$6:C102,C102)</f>
        <v>94</v>
      </c>
      <c r="C102" t="str">
        <f t="shared" si="10"/>
        <v/>
      </c>
      <c r="D102" t="str">
        <f ca="1">IFERROR(INDEX(Intrim!$R$4:$R$401,E102),"")</f>
        <v/>
      </c>
      <c r="E102" t="e">
        <f ca="1">MATCH(intrim2!C102,OFFSET(Intrim!$S$4,E101,0):'Intrim'!$S$401,0)+E101</f>
        <v>#N/A</v>
      </c>
      <c r="L102" t="str">
        <f t="shared" si="17"/>
        <v>95</v>
      </c>
      <c r="M102">
        <f>COUNTIF($N$6:N102,N102)</f>
        <v>95</v>
      </c>
      <c r="N102" t="str">
        <f t="shared" si="11"/>
        <v/>
      </c>
      <c r="O102" t="str">
        <f ca="1">IFERROR(INDEX(Intrim!$F$4:$F$201,P102),"")</f>
        <v/>
      </c>
      <c r="P102" t="e">
        <f ca="1">MATCH(intrim2!N102,OFFSET(Intrim!$G$4,P101,0):'Intrim'!$G$201,0)+P101</f>
        <v>#N/A</v>
      </c>
      <c r="V102">
        <v>97</v>
      </c>
      <c r="W102" t="str">
        <f t="shared" si="12"/>
        <v/>
      </c>
      <c r="X102" t="str">
        <f>IF(W102="","",COUNTIF($W$6:W102,W102))</f>
        <v/>
      </c>
      <c r="Y102" t="e">
        <f t="shared" si="13"/>
        <v>#N/A</v>
      </c>
      <c r="Z102" t="e">
        <f t="shared" si="14"/>
        <v>#N/A</v>
      </c>
      <c r="AA102" t="e">
        <f t="shared" si="15"/>
        <v>#N/A</v>
      </c>
      <c r="AB102" t="e">
        <f>VLOOKUP(Z102,Intrim!R:Z,9,0)</f>
        <v>#N/A</v>
      </c>
    </row>
    <row r="103" spans="1:28" x14ac:dyDescent="0.25">
      <c r="A103" t="str">
        <f t="shared" si="16"/>
        <v>95</v>
      </c>
      <c r="B103">
        <f>COUNTIF($C$6:C103,C103)</f>
        <v>95</v>
      </c>
      <c r="C103" t="str">
        <f t="shared" si="10"/>
        <v/>
      </c>
      <c r="D103" t="str">
        <f ca="1">IFERROR(INDEX(Intrim!$R$4:$R$401,E103),"")</f>
        <v/>
      </c>
      <c r="E103" t="e">
        <f ca="1">MATCH(intrim2!C103,OFFSET(Intrim!$S$4,E102,0):'Intrim'!$S$401,0)+E102</f>
        <v>#N/A</v>
      </c>
      <c r="L103" t="str">
        <f t="shared" si="17"/>
        <v>96</v>
      </c>
      <c r="M103">
        <f>COUNTIF($N$6:N103,N103)</f>
        <v>96</v>
      </c>
      <c r="N103" t="str">
        <f t="shared" si="11"/>
        <v/>
      </c>
      <c r="O103" t="str">
        <f ca="1">IFERROR(INDEX(Intrim!$F$4:$F$201,P103),"")</f>
        <v/>
      </c>
      <c r="P103" t="e">
        <f ca="1">MATCH(intrim2!N103,OFFSET(Intrim!$G$4,P102,0):'Intrim'!$G$201,0)+P102</f>
        <v>#N/A</v>
      </c>
      <c r="V103">
        <v>98</v>
      </c>
      <c r="W103" t="str">
        <f t="shared" si="12"/>
        <v/>
      </c>
      <c r="X103" t="str">
        <f>IF(W103="","",COUNTIF($W$6:W103,W103))</f>
        <v/>
      </c>
      <c r="Y103" t="e">
        <f t="shared" si="13"/>
        <v>#N/A</v>
      </c>
      <c r="Z103" t="e">
        <f t="shared" si="14"/>
        <v>#N/A</v>
      </c>
      <c r="AA103" t="e">
        <f t="shared" si="15"/>
        <v>#N/A</v>
      </c>
      <c r="AB103" t="e">
        <f>VLOOKUP(Z103,Intrim!R:Z,9,0)</f>
        <v>#N/A</v>
      </c>
    </row>
    <row r="104" spans="1:28" x14ac:dyDescent="0.25">
      <c r="A104" t="str">
        <f t="shared" si="16"/>
        <v>96</v>
      </c>
      <c r="B104">
        <f>COUNTIF($C$6:C104,C104)</f>
        <v>96</v>
      </c>
      <c r="C104" t="str">
        <f t="shared" si="10"/>
        <v/>
      </c>
      <c r="D104" t="str">
        <f ca="1">IFERROR(INDEX(Intrim!$R$4:$R$401,E104),"")</f>
        <v/>
      </c>
      <c r="E104" t="e">
        <f ca="1">MATCH(intrim2!C104,OFFSET(Intrim!$S$4,E103,0):'Intrim'!$S$401,0)+E103</f>
        <v>#N/A</v>
      </c>
      <c r="L104" t="str">
        <f t="shared" si="17"/>
        <v>97</v>
      </c>
      <c r="M104">
        <f>COUNTIF($N$6:N104,N104)</f>
        <v>97</v>
      </c>
      <c r="N104" t="str">
        <f t="shared" si="11"/>
        <v/>
      </c>
      <c r="O104" t="str">
        <f ca="1">IFERROR(INDEX(Intrim!$F$4:$F$201,P104),"")</f>
        <v/>
      </c>
      <c r="P104" t="e">
        <f ca="1">MATCH(intrim2!N104,OFFSET(Intrim!$G$4,P103,0):'Intrim'!$G$201,0)+P103</f>
        <v>#N/A</v>
      </c>
      <c r="V104">
        <v>99</v>
      </c>
      <c r="W104" t="str">
        <f t="shared" si="12"/>
        <v/>
      </c>
      <c r="X104" t="str">
        <f>IF(W104="","",COUNTIF($W$6:W104,W104))</f>
        <v/>
      </c>
      <c r="Y104" t="e">
        <f t="shared" si="13"/>
        <v>#N/A</v>
      </c>
      <c r="Z104" t="e">
        <f t="shared" si="14"/>
        <v>#N/A</v>
      </c>
      <c r="AA104" t="e">
        <f t="shared" si="15"/>
        <v>#N/A</v>
      </c>
      <c r="AB104" t="e">
        <f>VLOOKUP(Z104,Intrim!R:Z,9,0)</f>
        <v>#N/A</v>
      </c>
    </row>
    <row r="105" spans="1:28" x14ac:dyDescent="0.25">
      <c r="A105" t="str">
        <f t="shared" si="16"/>
        <v>97</v>
      </c>
      <c r="B105">
        <f>COUNTIF($C$6:C105,C105)</f>
        <v>97</v>
      </c>
      <c r="C105" t="str">
        <f t="shared" si="10"/>
        <v/>
      </c>
      <c r="D105" t="str">
        <f ca="1">IFERROR(INDEX(Intrim!$R$4:$R$401,E105),"")</f>
        <v/>
      </c>
      <c r="E105" t="e">
        <f ca="1">MATCH(intrim2!C105,OFFSET(Intrim!$S$4,E104,0):'Intrim'!$S$401,0)+E104</f>
        <v>#N/A</v>
      </c>
      <c r="L105" t="str">
        <f t="shared" si="17"/>
        <v>98</v>
      </c>
      <c r="M105">
        <f>COUNTIF($N$6:N105,N105)</f>
        <v>98</v>
      </c>
      <c r="N105" t="str">
        <f t="shared" si="11"/>
        <v/>
      </c>
      <c r="O105" t="str">
        <f ca="1">IFERROR(INDEX(Intrim!$F$4:$F$201,P105),"")</f>
        <v/>
      </c>
      <c r="P105" t="e">
        <f ca="1">MATCH(intrim2!N105,OFFSET(Intrim!$G$4,P104,0):'Intrim'!$G$201,0)+P104</f>
        <v>#N/A</v>
      </c>
      <c r="V105">
        <v>100</v>
      </c>
      <c r="W105" t="str">
        <f t="shared" si="12"/>
        <v/>
      </c>
      <c r="X105" t="str">
        <f>IF(W105="","",COUNTIF($W$6:W105,W105))</f>
        <v/>
      </c>
      <c r="Y105" t="e">
        <f t="shared" si="13"/>
        <v>#N/A</v>
      </c>
      <c r="Z105" t="e">
        <f t="shared" si="14"/>
        <v>#N/A</v>
      </c>
      <c r="AA105" t="e">
        <f t="shared" si="15"/>
        <v>#N/A</v>
      </c>
      <c r="AB105" t="e">
        <f>VLOOKUP(Z105,Intrim!R:Z,9,0)</f>
        <v>#N/A</v>
      </c>
    </row>
    <row r="106" spans="1:28" x14ac:dyDescent="0.25">
      <c r="A106" t="str">
        <f t="shared" si="16"/>
        <v>98</v>
      </c>
      <c r="B106">
        <f>COUNTIF($C$6:C106,C106)</f>
        <v>98</v>
      </c>
      <c r="C106" t="str">
        <f t="shared" si="10"/>
        <v/>
      </c>
      <c r="D106" t="str">
        <f ca="1">IFERROR(INDEX(Intrim!$R$4:$R$401,E106),"")</f>
        <v/>
      </c>
      <c r="E106" t="e">
        <f ca="1">MATCH(intrim2!C106,OFFSET(Intrim!$S$4,E105,0):'Intrim'!$S$401,0)+E105</f>
        <v>#N/A</v>
      </c>
      <c r="L106" t="str">
        <f t="shared" si="17"/>
        <v>99</v>
      </c>
      <c r="M106">
        <f>COUNTIF($N$6:N106,N106)</f>
        <v>99</v>
      </c>
      <c r="N106" t="str">
        <f t="shared" si="11"/>
        <v/>
      </c>
      <c r="O106" t="str">
        <f ca="1">IFERROR(INDEX(Intrim!$F$4:$F$201,P106),"")</f>
        <v/>
      </c>
      <c r="P106" t="e">
        <f ca="1">MATCH(intrim2!N106,OFFSET(Intrim!$G$4,P105,0):'Intrim'!$G$201,0)+P105</f>
        <v>#N/A</v>
      </c>
      <c r="V106">
        <v>101</v>
      </c>
      <c r="W106" t="str">
        <f t="shared" si="12"/>
        <v/>
      </c>
      <c r="X106" t="str">
        <f>IF(W106="","",COUNTIF($W$6:W106,W106))</f>
        <v/>
      </c>
      <c r="Y106" t="e">
        <f t="shared" si="13"/>
        <v>#N/A</v>
      </c>
      <c r="Z106" t="e">
        <f t="shared" si="14"/>
        <v>#N/A</v>
      </c>
      <c r="AA106" t="e">
        <f t="shared" si="15"/>
        <v>#N/A</v>
      </c>
      <c r="AB106" t="e">
        <f>VLOOKUP(Z106,Intrim!R:Z,9,0)</f>
        <v>#N/A</v>
      </c>
    </row>
    <row r="107" spans="1:28" x14ac:dyDescent="0.25">
      <c r="A107" t="str">
        <f t="shared" si="16"/>
        <v>99</v>
      </c>
      <c r="B107">
        <f>COUNTIF($C$6:C107,C107)</f>
        <v>99</v>
      </c>
      <c r="C107" t="str">
        <f t="shared" si="10"/>
        <v/>
      </c>
      <c r="D107" t="str">
        <f ca="1">IFERROR(INDEX(Intrim!$R$4:$R$401,E107),"")</f>
        <v/>
      </c>
      <c r="E107" t="e">
        <f ca="1">MATCH(intrim2!C107,OFFSET(Intrim!$S$4,E106,0):'Intrim'!$S$401,0)+E106</f>
        <v>#N/A</v>
      </c>
      <c r="L107" t="str">
        <f t="shared" si="17"/>
        <v>100</v>
      </c>
      <c r="M107">
        <f>COUNTIF($N$6:N107,N107)</f>
        <v>100</v>
      </c>
      <c r="N107" t="str">
        <f t="shared" si="11"/>
        <v/>
      </c>
      <c r="O107" t="str">
        <f ca="1">IFERROR(INDEX(Intrim!$F$4:$F$201,P107),"")</f>
        <v/>
      </c>
      <c r="P107" t="e">
        <f ca="1">MATCH(intrim2!N107,OFFSET(Intrim!$G$4,P106,0):'Intrim'!$G$201,0)+P106</f>
        <v>#N/A</v>
      </c>
      <c r="V107">
        <v>102</v>
      </c>
      <c r="W107" t="str">
        <f t="shared" si="12"/>
        <v/>
      </c>
      <c r="X107" t="str">
        <f>IF(W107="","",COUNTIF($W$6:W107,W107))</f>
        <v/>
      </c>
      <c r="Y107" t="e">
        <f t="shared" si="13"/>
        <v>#N/A</v>
      </c>
      <c r="Z107" t="e">
        <f t="shared" si="14"/>
        <v>#N/A</v>
      </c>
      <c r="AA107" t="e">
        <f t="shared" si="15"/>
        <v>#N/A</v>
      </c>
      <c r="AB107" t="e">
        <f>VLOOKUP(Z107,Intrim!R:Z,9,0)</f>
        <v>#N/A</v>
      </c>
    </row>
    <row r="108" spans="1:28" x14ac:dyDescent="0.25">
      <c r="A108" t="str">
        <f t="shared" si="16"/>
        <v>100</v>
      </c>
      <c r="B108">
        <f>COUNTIF($C$6:C108,C108)</f>
        <v>100</v>
      </c>
      <c r="C108" t="str">
        <f t="shared" si="10"/>
        <v/>
      </c>
      <c r="D108" t="str">
        <f ca="1">IFERROR(INDEX(Intrim!$R$4:$R$401,E108),"")</f>
        <v/>
      </c>
      <c r="E108" t="e">
        <f ca="1">MATCH(intrim2!C108,OFFSET(Intrim!$S$4,E107,0):'Intrim'!$S$401,0)+E107</f>
        <v>#N/A</v>
      </c>
      <c r="L108" t="str">
        <f t="shared" si="17"/>
        <v>101</v>
      </c>
      <c r="M108">
        <f>COUNTIF($N$6:N108,N108)</f>
        <v>101</v>
      </c>
      <c r="N108" t="str">
        <f t="shared" si="11"/>
        <v/>
      </c>
      <c r="O108" t="str">
        <f ca="1">IFERROR(INDEX(Intrim!$F$4:$F$201,P108),"")</f>
        <v/>
      </c>
      <c r="P108" t="e">
        <f ca="1">MATCH(intrim2!N108,OFFSET(Intrim!$G$4,P107,0):'Intrim'!$G$201,0)+P107</f>
        <v>#N/A</v>
      </c>
      <c r="V108">
        <v>103</v>
      </c>
      <c r="W108" t="str">
        <f t="shared" si="12"/>
        <v/>
      </c>
      <c r="X108" t="str">
        <f>IF(W108="","",COUNTIF($W$6:W108,W108))</f>
        <v/>
      </c>
      <c r="Y108" t="e">
        <f t="shared" si="13"/>
        <v>#N/A</v>
      </c>
      <c r="Z108" t="e">
        <f t="shared" si="14"/>
        <v>#N/A</v>
      </c>
      <c r="AA108" t="e">
        <f t="shared" si="15"/>
        <v>#N/A</v>
      </c>
      <c r="AB108" t="e">
        <f>VLOOKUP(Z108,Intrim!R:Z,9,0)</f>
        <v>#N/A</v>
      </c>
    </row>
    <row r="109" spans="1:28" x14ac:dyDescent="0.25">
      <c r="A109" t="str">
        <f t="shared" si="16"/>
        <v>101</v>
      </c>
      <c r="B109">
        <f>COUNTIF($C$6:C109,C109)</f>
        <v>101</v>
      </c>
      <c r="C109" t="str">
        <f t="shared" si="10"/>
        <v/>
      </c>
      <c r="D109" t="str">
        <f ca="1">IFERROR(INDEX(Intrim!$R$4:$R$401,E109),"")</f>
        <v/>
      </c>
      <c r="E109" t="e">
        <f ca="1">MATCH(intrim2!C109,OFFSET(Intrim!$S$4,E108,0):'Intrim'!$S$401,0)+E108</f>
        <v>#N/A</v>
      </c>
      <c r="L109" t="str">
        <f t="shared" si="17"/>
        <v>102</v>
      </c>
      <c r="M109">
        <f>COUNTIF($N$6:N109,N109)</f>
        <v>102</v>
      </c>
      <c r="N109" t="str">
        <f t="shared" si="11"/>
        <v/>
      </c>
      <c r="O109" t="str">
        <f ca="1">IFERROR(INDEX(Intrim!$F$4:$F$201,P109),"")</f>
        <v/>
      </c>
      <c r="P109" t="e">
        <f ca="1">MATCH(intrim2!N109,OFFSET(Intrim!$G$4,P108,0):'Intrim'!$G$201,0)+P108</f>
        <v>#N/A</v>
      </c>
      <c r="V109">
        <v>104</v>
      </c>
      <c r="W109" t="str">
        <f t="shared" si="12"/>
        <v/>
      </c>
      <c r="X109" t="str">
        <f>IF(W109="","",COUNTIF($W$6:W109,W109))</f>
        <v/>
      </c>
      <c r="Y109" t="e">
        <f t="shared" si="13"/>
        <v>#N/A</v>
      </c>
      <c r="Z109" t="e">
        <f t="shared" si="14"/>
        <v>#N/A</v>
      </c>
      <c r="AA109" t="e">
        <f t="shared" si="15"/>
        <v>#N/A</v>
      </c>
      <c r="AB109" t="e">
        <f>VLOOKUP(Z109,Intrim!R:Z,9,0)</f>
        <v>#N/A</v>
      </c>
    </row>
    <row r="110" spans="1:28" x14ac:dyDescent="0.25">
      <c r="A110" t="str">
        <f t="shared" si="16"/>
        <v>102</v>
      </c>
      <c r="B110">
        <f>COUNTIF($C$6:C110,C110)</f>
        <v>102</v>
      </c>
      <c r="C110" t="str">
        <f t="shared" si="10"/>
        <v/>
      </c>
      <c r="D110" t="str">
        <f ca="1">IFERROR(INDEX(Intrim!$R$4:$R$401,E110),"")</f>
        <v/>
      </c>
      <c r="E110" t="e">
        <f ca="1">MATCH(intrim2!C110,OFFSET(Intrim!$S$4,E109,0):'Intrim'!$S$401,0)+E109</f>
        <v>#N/A</v>
      </c>
      <c r="L110" t="str">
        <f t="shared" si="17"/>
        <v>103</v>
      </c>
      <c r="M110">
        <f>COUNTIF($N$6:N110,N110)</f>
        <v>103</v>
      </c>
      <c r="N110" t="str">
        <f t="shared" si="11"/>
        <v/>
      </c>
      <c r="O110" t="str">
        <f ca="1">IFERROR(INDEX(Intrim!$F$4:$F$201,P110),"")</f>
        <v/>
      </c>
      <c r="P110" t="e">
        <f ca="1">MATCH(intrim2!N110,OFFSET(Intrim!$G$4,P109,0):'Intrim'!$G$201,0)+P109</f>
        <v>#N/A</v>
      </c>
      <c r="V110">
        <v>105</v>
      </c>
      <c r="W110" t="str">
        <f t="shared" si="12"/>
        <v/>
      </c>
      <c r="X110" t="str">
        <f>IF(W110="","",COUNTIF($W$6:W110,W110))</f>
        <v/>
      </c>
      <c r="Y110" t="e">
        <f t="shared" si="13"/>
        <v>#N/A</v>
      </c>
      <c r="Z110" t="e">
        <f t="shared" si="14"/>
        <v>#N/A</v>
      </c>
      <c r="AA110" t="e">
        <f t="shared" si="15"/>
        <v>#N/A</v>
      </c>
      <c r="AB110" t="e">
        <f>VLOOKUP(Z110,Intrim!R:Z,9,0)</f>
        <v>#N/A</v>
      </c>
    </row>
    <row r="111" spans="1:28" x14ac:dyDescent="0.25">
      <c r="A111" t="str">
        <f t="shared" si="16"/>
        <v>103</v>
      </c>
      <c r="B111">
        <f>COUNTIF($C$6:C111,C111)</f>
        <v>103</v>
      </c>
      <c r="C111" t="str">
        <f t="shared" si="10"/>
        <v/>
      </c>
      <c r="D111" t="str">
        <f ca="1">IFERROR(INDEX(Intrim!$R$4:$R$401,E111),"")</f>
        <v/>
      </c>
      <c r="E111" t="e">
        <f ca="1">MATCH(intrim2!C111,OFFSET(Intrim!$S$4,E110,0):'Intrim'!$S$401,0)+E110</f>
        <v>#N/A</v>
      </c>
      <c r="L111" t="str">
        <f t="shared" si="17"/>
        <v>104</v>
      </c>
      <c r="M111">
        <f>COUNTIF($N$6:N111,N111)</f>
        <v>104</v>
      </c>
      <c r="N111" t="str">
        <f t="shared" si="11"/>
        <v/>
      </c>
      <c r="O111" t="str">
        <f ca="1">IFERROR(INDEX(Intrim!$F$4:$F$201,P111),"")</f>
        <v/>
      </c>
      <c r="P111" t="e">
        <f ca="1">MATCH(intrim2!N111,OFFSET(Intrim!$G$4,P110,0):'Intrim'!$G$201,0)+P110</f>
        <v>#N/A</v>
      </c>
      <c r="V111">
        <v>106</v>
      </c>
      <c r="W111" t="str">
        <f t="shared" si="12"/>
        <v/>
      </c>
      <c r="X111" t="str">
        <f>IF(W111="","",COUNTIF($W$6:W111,W111))</f>
        <v/>
      </c>
      <c r="Y111" t="e">
        <f t="shared" si="13"/>
        <v>#N/A</v>
      </c>
      <c r="Z111" t="e">
        <f t="shared" si="14"/>
        <v>#N/A</v>
      </c>
      <c r="AA111" t="e">
        <f t="shared" si="15"/>
        <v>#N/A</v>
      </c>
      <c r="AB111" t="e">
        <f>VLOOKUP(Z111,Intrim!R:Z,9,0)</f>
        <v>#N/A</v>
      </c>
    </row>
    <row r="112" spans="1:28" x14ac:dyDescent="0.25">
      <c r="A112" t="str">
        <f t="shared" si="16"/>
        <v>104</v>
      </c>
      <c r="B112">
        <f>COUNTIF($C$6:C112,C112)</f>
        <v>104</v>
      </c>
      <c r="C112" t="str">
        <f t="shared" si="10"/>
        <v/>
      </c>
      <c r="D112" t="str">
        <f ca="1">IFERROR(INDEX(Intrim!$R$4:$R$401,E112),"")</f>
        <v/>
      </c>
      <c r="E112" t="e">
        <f ca="1">MATCH(intrim2!C112,OFFSET(Intrim!$S$4,E111,0):'Intrim'!$S$401,0)+E111</f>
        <v>#N/A</v>
      </c>
      <c r="L112" t="str">
        <f t="shared" si="17"/>
        <v>105</v>
      </c>
      <c r="M112">
        <f>COUNTIF($N$6:N112,N112)</f>
        <v>105</v>
      </c>
      <c r="N112" t="str">
        <f t="shared" si="11"/>
        <v/>
      </c>
      <c r="O112" t="str">
        <f ca="1">IFERROR(INDEX(Intrim!$F$4:$F$201,P112),"")</f>
        <v/>
      </c>
      <c r="P112" t="e">
        <f ca="1">MATCH(intrim2!N112,OFFSET(Intrim!$G$4,P111,0):'Intrim'!$G$201,0)+P111</f>
        <v>#N/A</v>
      </c>
      <c r="V112">
        <v>107</v>
      </c>
      <c r="W112" t="str">
        <f t="shared" si="12"/>
        <v/>
      </c>
      <c r="X112" t="str">
        <f>IF(W112="","",COUNTIF($W$6:W112,W112))</f>
        <v/>
      </c>
      <c r="Y112" t="e">
        <f t="shared" si="13"/>
        <v>#N/A</v>
      </c>
      <c r="Z112" t="e">
        <f t="shared" si="14"/>
        <v>#N/A</v>
      </c>
      <c r="AA112" t="e">
        <f t="shared" si="15"/>
        <v>#N/A</v>
      </c>
      <c r="AB112" t="e">
        <f>VLOOKUP(Z112,Intrim!R:Z,9,0)</f>
        <v>#N/A</v>
      </c>
    </row>
    <row r="113" spans="1:28" x14ac:dyDescent="0.25">
      <c r="A113" t="str">
        <f t="shared" si="16"/>
        <v>105</v>
      </c>
      <c r="B113">
        <f>COUNTIF($C$6:C113,C113)</f>
        <v>105</v>
      </c>
      <c r="C113" t="str">
        <f t="shared" si="10"/>
        <v/>
      </c>
      <c r="D113" t="str">
        <f ca="1">IFERROR(INDEX(Intrim!$R$4:$R$401,E113),"")</f>
        <v/>
      </c>
      <c r="E113" t="e">
        <f ca="1">MATCH(intrim2!C113,OFFSET(Intrim!$S$4,E112,0):'Intrim'!$S$401,0)+E112</f>
        <v>#N/A</v>
      </c>
      <c r="L113" t="str">
        <f t="shared" si="17"/>
        <v>106</v>
      </c>
      <c r="M113">
        <f>COUNTIF($N$6:N113,N113)</f>
        <v>106</v>
      </c>
      <c r="N113" t="str">
        <f t="shared" si="11"/>
        <v/>
      </c>
      <c r="O113" t="str">
        <f ca="1">IFERROR(INDEX(Intrim!$F$4:$F$201,P113),"")</f>
        <v/>
      </c>
      <c r="P113" t="e">
        <f ca="1">MATCH(intrim2!N113,OFFSET(Intrim!$G$4,P112,0):'Intrim'!$G$201,0)+P112</f>
        <v>#N/A</v>
      </c>
      <c r="V113">
        <v>108</v>
      </c>
      <c r="W113" t="str">
        <f t="shared" si="12"/>
        <v/>
      </c>
      <c r="X113" t="str">
        <f>IF(W113="","",COUNTIF($W$6:W113,W113))</f>
        <v/>
      </c>
      <c r="Y113" t="e">
        <f t="shared" si="13"/>
        <v>#N/A</v>
      </c>
      <c r="Z113" t="e">
        <f t="shared" si="14"/>
        <v>#N/A</v>
      </c>
      <c r="AA113" t="e">
        <f t="shared" si="15"/>
        <v>#N/A</v>
      </c>
      <c r="AB113" t="e">
        <f>VLOOKUP(Z113,Intrim!R:Z,9,0)</f>
        <v>#N/A</v>
      </c>
    </row>
    <row r="114" spans="1:28" x14ac:dyDescent="0.25">
      <c r="A114" t="str">
        <f t="shared" si="16"/>
        <v>106</v>
      </c>
      <c r="B114">
        <f>COUNTIF($C$6:C114,C114)</f>
        <v>106</v>
      </c>
      <c r="C114" t="str">
        <f t="shared" si="10"/>
        <v/>
      </c>
      <c r="D114" t="str">
        <f ca="1">IFERROR(INDEX(Intrim!$R$4:$R$401,E114),"")</f>
        <v/>
      </c>
      <c r="E114" t="e">
        <f ca="1">MATCH(intrim2!C114,OFFSET(Intrim!$S$4,E113,0):'Intrim'!$S$401,0)+E113</f>
        <v>#N/A</v>
      </c>
      <c r="L114" t="str">
        <f t="shared" si="17"/>
        <v>107</v>
      </c>
      <c r="M114">
        <f>COUNTIF($N$6:N114,N114)</f>
        <v>107</v>
      </c>
      <c r="N114" t="str">
        <f t="shared" si="11"/>
        <v/>
      </c>
      <c r="O114" t="str">
        <f ca="1">IFERROR(INDEX(Intrim!$F$4:$F$201,P114),"")</f>
        <v/>
      </c>
      <c r="P114" t="e">
        <f ca="1">MATCH(intrim2!N114,OFFSET(Intrim!$G$4,P113,0):'Intrim'!$G$201,0)+P113</f>
        <v>#N/A</v>
      </c>
      <c r="V114">
        <v>109</v>
      </c>
      <c r="W114" t="str">
        <f t="shared" si="12"/>
        <v/>
      </c>
      <c r="X114" t="str">
        <f>IF(W114="","",COUNTIF($W$6:W114,W114))</f>
        <v/>
      </c>
      <c r="Y114" t="e">
        <f t="shared" si="13"/>
        <v>#N/A</v>
      </c>
      <c r="Z114" t="e">
        <f t="shared" si="14"/>
        <v>#N/A</v>
      </c>
      <c r="AA114" t="e">
        <f t="shared" si="15"/>
        <v>#N/A</v>
      </c>
      <c r="AB114" t="e">
        <f>VLOOKUP(Z114,Intrim!R:Z,9,0)</f>
        <v>#N/A</v>
      </c>
    </row>
    <row r="115" spans="1:28" x14ac:dyDescent="0.25">
      <c r="A115" t="str">
        <f t="shared" si="16"/>
        <v>107</v>
      </c>
      <c r="B115">
        <f>COUNTIF($C$6:C115,C115)</f>
        <v>107</v>
      </c>
      <c r="C115" t="str">
        <f t="shared" si="10"/>
        <v/>
      </c>
      <c r="D115" t="str">
        <f ca="1">IFERROR(INDEX(Intrim!$R$4:$R$401,E115),"")</f>
        <v/>
      </c>
      <c r="E115" t="e">
        <f ca="1">MATCH(intrim2!C115,OFFSET(Intrim!$S$4,E114,0):'Intrim'!$S$401,0)+E114</f>
        <v>#N/A</v>
      </c>
      <c r="L115" t="str">
        <f t="shared" si="17"/>
        <v>108</v>
      </c>
      <c r="M115">
        <f>COUNTIF($N$6:N115,N115)</f>
        <v>108</v>
      </c>
      <c r="N115" t="str">
        <f t="shared" si="11"/>
        <v/>
      </c>
      <c r="O115" t="str">
        <f ca="1">IFERROR(INDEX(Intrim!$F$4:$F$201,P115),"")</f>
        <v/>
      </c>
      <c r="P115" t="e">
        <f ca="1">MATCH(intrim2!N115,OFFSET(Intrim!$G$4,P114,0):'Intrim'!$G$201,0)+P114</f>
        <v>#N/A</v>
      </c>
      <c r="V115">
        <v>110</v>
      </c>
      <c r="W115" t="str">
        <f t="shared" si="12"/>
        <v/>
      </c>
      <c r="X115" t="str">
        <f>IF(W115="","",COUNTIF($W$6:W115,W115))</f>
        <v/>
      </c>
      <c r="Y115" t="e">
        <f t="shared" si="13"/>
        <v>#N/A</v>
      </c>
      <c r="Z115" t="e">
        <f t="shared" si="14"/>
        <v>#N/A</v>
      </c>
      <c r="AA115" t="e">
        <f t="shared" si="15"/>
        <v>#N/A</v>
      </c>
      <c r="AB115" t="e">
        <f>VLOOKUP(Z115,Intrim!R:Z,9,0)</f>
        <v>#N/A</v>
      </c>
    </row>
    <row r="116" spans="1:28" x14ac:dyDescent="0.25">
      <c r="A116" t="str">
        <f t="shared" si="16"/>
        <v>108</v>
      </c>
      <c r="B116">
        <f>COUNTIF($C$6:C116,C116)</f>
        <v>108</v>
      </c>
      <c r="C116" t="str">
        <f t="shared" si="10"/>
        <v/>
      </c>
      <c r="D116" t="str">
        <f ca="1">IFERROR(INDEX(Intrim!$R$4:$R$401,E116),"")</f>
        <v/>
      </c>
      <c r="E116" t="e">
        <f ca="1">MATCH(intrim2!C116,OFFSET(Intrim!$S$4,E115,0):'Intrim'!$S$401,0)+E115</f>
        <v>#N/A</v>
      </c>
      <c r="L116" t="str">
        <f t="shared" si="17"/>
        <v>109</v>
      </c>
      <c r="M116">
        <f>COUNTIF($N$6:N116,N116)</f>
        <v>109</v>
      </c>
      <c r="N116" t="str">
        <f t="shared" si="11"/>
        <v/>
      </c>
      <c r="O116" t="str">
        <f ca="1">IFERROR(INDEX(Intrim!$F$4:$F$201,P116),"")</f>
        <v/>
      </c>
      <c r="P116" t="e">
        <f ca="1">MATCH(intrim2!N116,OFFSET(Intrim!$G$4,P115,0):'Intrim'!$G$201,0)+P115</f>
        <v>#N/A</v>
      </c>
      <c r="V116">
        <v>111</v>
      </c>
      <c r="W116" t="str">
        <f t="shared" si="12"/>
        <v/>
      </c>
      <c r="X116" t="str">
        <f>IF(W116="","",COUNTIF($W$6:W116,W116))</f>
        <v/>
      </c>
      <c r="Y116" t="e">
        <f t="shared" si="13"/>
        <v>#N/A</v>
      </c>
      <c r="Z116" t="e">
        <f t="shared" si="14"/>
        <v>#N/A</v>
      </c>
      <c r="AA116" t="e">
        <f t="shared" si="15"/>
        <v>#N/A</v>
      </c>
      <c r="AB116" t="e">
        <f>VLOOKUP(Z116,Intrim!R:Z,9,0)</f>
        <v>#N/A</v>
      </c>
    </row>
    <row r="117" spans="1:28" x14ac:dyDescent="0.25">
      <c r="A117" t="str">
        <f t="shared" si="16"/>
        <v>109</v>
      </c>
      <c r="B117">
        <f>COUNTIF($C$6:C117,C117)</f>
        <v>109</v>
      </c>
      <c r="C117" t="str">
        <f t="shared" si="10"/>
        <v/>
      </c>
      <c r="D117" t="str">
        <f ca="1">IFERROR(INDEX(Intrim!$R$4:$R$401,E117),"")</f>
        <v/>
      </c>
      <c r="E117" t="e">
        <f ca="1">MATCH(intrim2!C117,OFFSET(Intrim!$S$4,E116,0):'Intrim'!$S$401,0)+E116</f>
        <v>#N/A</v>
      </c>
      <c r="L117" t="str">
        <f t="shared" si="17"/>
        <v>110</v>
      </c>
      <c r="M117">
        <f>COUNTIF($N$6:N117,N117)</f>
        <v>110</v>
      </c>
      <c r="N117" t="str">
        <f t="shared" si="11"/>
        <v/>
      </c>
      <c r="O117" t="str">
        <f ca="1">IFERROR(INDEX(Intrim!$F$4:$F$201,P117),"")</f>
        <v/>
      </c>
      <c r="P117" t="e">
        <f ca="1">MATCH(intrim2!N117,OFFSET(Intrim!$G$4,P116,0):'Intrim'!$G$201,0)+P116</f>
        <v>#N/A</v>
      </c>
      <c r="V117">
        <v>112</v>
      </c>
      <c r="W117" t="str">
        <f t="shared" si="12"/>
        <v/>
      </c>
      <c r="X117" t="str">
        <f>IF(W117="","",COUNTIF($W$6:W117,W117))</f>
        <v/>
      </c>
      <c r="Y117" t="e">
        <f t="shared" si="13"/>
        <v>#N/A</v>
      </c>
      <c r="Z117" t="e">
        <f t="shared" si="14"/>
        <v>#N/A</v>
      </c>
      <c r="AA117" t="e">
        <f t="shared" si="15"/>
        <v>#N/A</v>
      </c>
      <c r="AB117" t="e">
        <f>VLOOKUP(Z117,Intrim!R:Z,9,0)</f>
        <v>#N/A</v>
      </c>
    </row>
    <row r="118" spans="1:28" x14ac:dyDescent="0.25">
      <c r="A118" t="str">
        <f t="shared" si="16"/>
        <v>110</v>
      </c>
      <c r="B118">
        <f>COUNTIF($C$6:C118,C118)</f>
        <v>110</v>
      </c>
      <c r="C118" t="str">
        <f t="shared" si="10"/>
        <v/>
      </c>
      <c r="D118" t="str">
        <f ca="1">IFERROR(INDEX(Intrim!$R$4:$R$401,E118),"")</f>
        <v/>
      </c>
      <c r="E118" t="e">
        <f ca="1">MATCH(intrim2!C118,OFFSET(Intrim!$S$4,E117,0):'Intrim'!$S$401,0)+E117</f>
        <v>#N/A</v>
      </c>
      <c r="L118" t="str">
        <f t="shared" si="17"/>
        <v>111</v>
      </c>
      <c r="M118">
        <f>COUNTIF($N$6:N118,N118)</f>
        <v>111</v>
      </c>
      <c r="N118" t="str">
        <f t="shared" si="11"/>
        <v/>
      </c>
      <c r="O118" t="str">
        <f ca="1">IFERROR(INDEX(Intrim!$F$4:$F$201,P118),"")</f>
        <v/>
      </c>
      <c r="P118" t="e">
        <f ca="1">MATCH(intrim2!N118,OFFSET(Intrim!$G$4,P117,0):'Intrim'!$G$201,0)+P117</f>
        <v>#N/A</v>
      </c>
      <c r="V118">
        <v>113</v>
      </c>
      <c r="W118" t="str">
        <f t="shared" si="12"/>
        <v/>
      </c>
      <c r="X118" t="str">
        <f>IF(W118="","",COUNTIF($W$6:W118,W118))</f>
        <v/>
      </c>
      <c r="Y118" t="e">
        <f t="shared" si="13"/>
        <v>#N/A</v>
      </c>
      <c r="Z118" t="e">
        <f t="shared" si="14"/>
        <v>#N/A</v>
      </c>
      <c r="AA118" t="e">
        <f t="shared" si="15"/>
        <v>#N/A</v>
      </c>
      <c r="AB118" t="e">
        <f>VLOOKUP(Z118,Intrim!R:Z,9,0)</f>
        <v>#N/A</v>
      </c>
    </row>
    <row r="119" spans="1:28" x14ac:dyDescent="0.25">
      <c r="A119" t="str">
        <f t="shared" si="16"/>
        <v>111</v>
      </c>
      <c r="B119">
        <f>COUNTIF($C$6:C119,C119)</f>
        <v>111</v>
      </c>
      <c r="C119" t="str">
        <f t="shared" si="10"/>
        <v/>
      </c>
      <c r="D119" t="str">
        <f ca="1">IFERROR(INDEX(Intrim!$R$4:$R$401,E119),"")</f>
        <v/>
      </c>
      <c r="E119" t="e">
        <f ca="1">MATCH(intrim2!C119,OFFSET(Intrim!$S$4,E118,0):'Intrim'!$S$401,0)+E118</f>
        <v>#N/A</v>
      </c>
      <c r="L119" t="str">
        <f t="shared" si="17"/>
        <v>112</v>
      </c>
      <c r="M119">
        <f>COUNTIF($N$6:N119,N119)</f>
        <v>112</v>
      </c>
      <c r="N119" t="str">
        <f t="shared" si="11"/>
        <v/>
      </c>
      <c r="O119" t="str">
        <f ca="1">IFERROR(INDEX(Intrim!$F$4:$F$201,P119),"")</f>
        <v/>
      </c>
      <c r="P119" t="e">
        <f ca="1">MATCH(intrim2!N119,OFFSET(Intrim!$G$4,P118,0):'Intrim'!$G$201,0)+P118</f>
        <v>#N/A</v>
      </c>
      <c r="V119">
        <v>114</v>
      </c>
      <c r="W119" t="str">
        <f t="shared" si="12"/>
        <v/>
      </c>
      <c r="X119" t="str">
        <f>IF(W119="","",COUNTIF($W$6:W119,W119))</f>
        <v/>
      </c>
      <c r="Y119" t="e">
        <f t="shared" si="13"/>
        <v>#N/A</v>
      </c>
      <c r="Z119" t="e">
        <f t="shared" si="14"/>
        <v>#N/A</v>
      </c>
      <c r="AA119" t="e">
        <f t="shared" si="15"/>
        <v>#N/A</v>
      </c>
      <c r="AB119" t="e">
        <f>VLOOKUP(Z119,Intrim!R:Z,9,0)</f>
        <v>#N/A</v>
      </c>
    </row>
    <row r="120" spans="1:28" x14ac:dyDescent="0.25">
      <c r="A120" t="str">
        <f t="shared" si="16"/>
        <v>112</v>
      </c>
      <c r="B120">
        <f>COUNTIF($C$6:C120,C120)</f>
        <v>112</v>
      </c>
      <c r="C120" t="str">
        <f t="shared" si="10"/>
        <v/>
      </c>
      <c r="D120" t="str">
        <f ca="1">IFERROR(INDEX(Intrim!$R$4:$R$401,E120),"")</f>
        <v/>
      </c>
      <c r="E120" t="e">
        <f ca="1">MATCH(intrim2!C120,OFFSET(Intrim!$S$4,E119,0):'Intrim'!$S$401,0)+E119</f>
        <v>#N/A</v>
      </c>
      <c r="L120" t="str">
        <f t="shared" si="17"/>
        <v>113</v>
      </c>
      <c r="M120">
        <f>COUNTIF($N$6:N120,N120)</f>
        <v>113</v>
      </c>
      <c r="N120" t="str">
        <f t="shared" si="11"/>
        <v/>
      </c>
      <c r="O120" t="str">
        <f ca="1">IFERROR(INDEX(Intrim!$F$4:$F$201,P120),"")</f>
        <v/>
      </c>
      <c r="P120" t="e">
        <f ca="1">MATCH(intrim2!N120,OFFSET(Intrim!$G$4,P119,0):'Intrim'!$G$201,0)+P119</f>
        <v>#N/A</v>
      </c>
      <c r="V120">
        <v>115</v>
      </c>
      <c r="W120" t="str">
        <f t="shared" si="12"/>
        <v/>
      </c>
      <c r="X120" t="str">
        <f>IF(W120="","",COUNTIF($W$6:W120,W120))</f>
        <v/>
      </c>
      <c r="Y120" t="e">
        <f t="shared" si="13"/>
        <v>#N/A</v>
      </c>
      <c r="Z120" t="e">
        <f t="shared" si="14"/>
        <v>#N/A</v>
      </c>
      <c r="AA120" t="e">
        <f t="shared" si="15"/>
        <v>#N/A</v>
      </c>
      <c r="AB120" t="e">
        <f>VLOOKUP(Z120,Intrim!R:Z,9,0)</f>
        <v>#N/A</v>
      </c>
    </row>
    <row r="121" spans="1:28" x14ac:dyDescent="0.25">
      <c r="A121" t="str">
        <f t="shared" si="16"/>
        <v>113</v>
      </c>
      <c r="B121">
        <f>COUNTIF($C$6:C121,C121)</f>
        <v>113</v>
      </c>
      <c r="C121" t="str">
        <f t="shared" si="10"/>
        <v/>
      </c>
      <c r="D121" t="str">
        <f ca="1">IFERROR(INDEX(Intrim!$R$4:$R$401,E121),"")</f>
        <v/>
      </c>
      <c r="E121" t="e">
        <f ca="1">MATCH(intrim2!C121,OFFSET(Intrim!$S$4,E120,0):'Intrim'!$S$401,0)+E120</f>
        <v>#N/A</v>
      </c>
      <c r="L121" t="str">
        <f t="shared" si="17"/>
        <v>114</v>
      </c>
      <c r="M121">
        <f>COUNTIF($N$6:N121,N121)</f>
        <v>114</v>
      </c>
      <c r="N121" t="str">
        <f t="shared" si="11"/>
        <v/>
      </c>
      <c r="O121" t="str">
        <f ca="1">IFERROR(INDEX(Intrim!$F$4:$F$201,P121),"")</f>
        <v/>
      </c>
      <c r="P121" t="e">
        <f ca="1">MATCH(intrim2!N121,OFFSET(Intrim!$G$4,P120,0):'Intrim'!$G$201,0)+P120</f>
        <v>#N/A</v>
      </c>
      <c r="V121">
        <v>116</v>
      </c>
      <c r="W121" t="str">
        <f t="shared" si="12"/>
        <v/>
      </c>
      <c r="X121" t="str">
        <f>IF(W121="","",COUNTIF($W$6:W121,W121))</f>
        <v/>
      </c>
      <c r="Y121" t="e">
        <f t="shared" si="13"/>
        <v>#N/A</v>
      </c>
      <c r="Z121" t="e">
        <f t="shared" si="14"/>
        <v>#N/A</v>
      </c>
      <c r="AA121" t="e">
        <f t="shared" si="15"/>
        <v>#N/A</v>
      </c>
      <c r="AB121" t="e">
        <f>VLOOKUP(Z121,Intrim!R:Z,9,0)</f>
        <v>#N/A</v>
      </c>
    </row>
    <row r="122" spans="1:28" x14ac:dyDescent="0.25">
      <c r="A122" t="str">
        <f t="shared" si="16"/>
        <v>114</v>
      </c>
      <c r="B122">
        <f>COUNTIF($C$6:C122,C122)</f>
        <v>114</v>
      </c>
      <c r="C122" t="str">
        <f t="shared" si="10"/>
        <v/>
      </c>
      <c r="D122" t="str">
        <f ca="1">IFERROR(INDEX(Intrim!$R$4:$R$401,E122),"")</f>
        <v/>
      </c>
      <c r="E122" t="e">
        <f ca="1">MATCH(intrim2!C122,OFFSET(Intrim!$S$4,E121,0):'Intrim'!$S$401,0)+E121</f>
        <v>#N/A</v>
      </c>
      <c r="L122" t="str">
        <f t="shared" si="17"/>
        <v>115</v>
      </c>
      <c r="M122">
        <f>COUNTIF($N$6:N122,N122)</f>
        <v>115</v>
      </c>
      <c r="N122" t="str">
        <f t="shared" si="11"/>
        <v/>
      </c>
      <c r="O122" t="str">
        <f ca="1">IFERROR(INDEX(Intrim!$F$4:$F$201,P122),"")</f>
        <v/>
      </c>
      <c r="P122" t="e">
        <f ca="1">MATCH(intrim2!N122,OFFSET(Intrim!$G$4,P121,0):'Intrim'!$G$201,0)+P121</f>
        <v>#N/A</v>
      </c>
      <c r="V122">
        <v>117</v>
      </c>
      <c r="W122" t="str">
        <f t="shared" si="12"/>
        <v/>
      </c>
      <c r="X122" t="str">
        <f>IF(W122="","",COUNTIF($W$6:W122,W122))</f>
        <v/>
      </c>
      <c r="Y122" t="e">
        <f t="shared" si="13"/>
        <v>#N/A</v>
      </c>
      <c r="Z122" t="e">
        <f t="shared" si="14"/>
        <v>#N/A</v>
      </c>
      <c r="AA122" t="e">
        <f t="shared" si="15"/>
        <v>#N/A</v>
      </c>
      <c r="AB122" t="e">
        <f>VLOOKUP(Z122,Intrim!R:Z,9,0)</f>
        <v>#N/A</v>
      </c>
    </row>
    <row r="123" spans="1:28" x14ac:dyDescent="0.25">
      <c r="A123" t="str">
        <f t="shared" si="16"/>
        <v>115</v>
      </c>
      <c r="B123">
        <f>COUNTIF($C$6:C123,C123)</f>
        <v>115</v>
      </c>
      <c r="C123" t="str">
        <f t="shared" si="10"/>
        <v/>
      </c>
      <c r="D123" t="str">
        <f ca="1">IFERROR(INDEX(Intrim!$R$4:$R$401,E123),"")</f>
        <v/>
      </c>
      <c r="E123" t="e">
        <f ca="1">MATCH(intrim2!C123,OFFSET(Intrim!$S$4,E122,0):'Intrim'!$S$401,0)+E122</f>
        <v>#N/A</v>
      </c>
      <c r="L123" t="str">
        <f t="shared" si="17"/>
        <v>116</v>
      </c>
      <c r="M123">
        <f>COUNTIF($N$6:N123,N123)</f>
        <v>116</v>
      </c>
      <c r="N123" t="str">
        <f t="shared" si="11"/>
        <v/>
      </c>
      <c r="O123" t="str">
        <f ca="1">IFERROR(INDEX(Intrim!$F$4:$F$201,P123),"")</f>
        <v/>
      </c>
      <c r="P123" t="e">
        <f ca="1">MATCH(intrim2!N123,OFFSET(Intrim!$G$4,P122,0):'Intrim'!$G$201,0)+P122</f>
        <v>#N/A</v>
      </c>
      <c r="V123">
        <v>118</v>
      </c>
      <c r="W123" t="str">
        <f t="shared" si="12"/>
        <v/>
      </c>
      <c r="X123" t="str">
        <f>IF(W123="","",COUNTIF($W$6:W123,W123))</f>
        <v/>
      </c>
      <c r="Y123" t="e">
        <f t="shared" si="13"/>
        <v>#N/A</v>
      </c>
      <c r="Z123" t="e">
        <f t="shared" si="14"/>
        <v>#N/A</v>
      </c>
      <c r="AA123" t="e">
        <f t="shared" si="15"/>
        <v>#N/A</v>
      </c>
      <c r="AB123" t="e">
        <f>VLOOKUP(Z123,Intrim!R:Z,9,0)</f>
        <v>#N/A</v>
      </c>
    </row>
    <row r="124" spans="1:28" x14ac:dyDescent="0.25">
      <c r="A124" t="str">
        <f t="shared" si="16"/>
        <v>116</v>
      </c>
      <c r="B124">
        <f>COUNTIF($C$6:C124,C124)</f>
        <v>116</v>
      </c>
      <c r="C124" t="str">
        <f t="shared" si="10"/>
        <v/>
      </c>
      <c r="D124" t="str">
        <f ca="1">IFERROR(INDEX(Intrim!$R$4:$R$401,E124),"")</f>
        <v/>
      </c>
      <c r="E124" t="e">
        <f ca="1">MATCH(intrim2!C124,OFFSET(Intrim!$S$4,E123,0):'Intrim'!$S$401,0)+E123</f>
        <v>#N/A</v>
      </c>
      <c r="L124" t="str">
        <f t="shared" si="17"/>
        <v>117</v>
      </c>
      <c r="M124">
        <f>COUNTIF($N$6:N124,N124)</f>
        <v>117</v>
      </c>
      <c r="N124" t="str">
        <f t="shared" si="11"/>
        <v/>
      </c>
      <c r="O124" t="str">
        <f ca="1">IFERROR(INDEX(Intrim!$F$4:$F$201,P124),"")</f>
        <v/>
      </c>
      <c r="P124" t="e">
        <f ca="1">MATCH(intrim2!N124,OFFSET(Intrim!$G$4,P123,0):'Intrim'!$G$201,0)+P123</f>
        <v>#N/A</v>
      </c>
      <c r="V124">
        <v>119</v>
      </c>
      <c r="W124" t="str">
        <f t="shared" si="12"/>
        <v/>
      </c>
      <c r="X124" t="str">
        <f>IF(W124="","",COUNTIF($W$6:W124,W124))</f>
        <v/>
      </c>
      <c r="Y124" t="e">
        <f t="shared" si="13"/>
        <v>#N/A</v>
      </c>
      <c r="Z124" t="e">
        <f t="shared" si="14"/>
        <v>#N/A</v>
      </c>
      <c r="AA124" t="e">
        <f t="shared" si="15"/>
        <v>#N/A</v>
      </c>
      <c r="AB124" t="e">
        <f>VLOOKUP(Z124,Intrim!R:Z,9,0)</f>
        <v>#N/A</v>
      </c>
    </row>
    <row r="125" spans="1:28" x14ac:dyDescent="0.25">
      <c r="A125" t="str">
        <f t="shared" si="16"/>
        <v>117</v>
      </c>
      <c r="B125">
        <f>COUNTIF($C$6:C125,C125)</f>
        <v>117</v>
      </c>
      <c r="C125" t="str">
        <f t="shared" si="10"/>
        <v/>
      </c>
      <c r="D125" t="str">
        <f ca="1">IFERROR(INDEX(Intrim!$R$4:$R$401,E125),"")</f>
        <v/>
      </c>
      <c r="E125" t="e">
        <f ca="1">MATCH(intrim2!C125,OFFSET(Intrim!$S$4,E124,0):'Intrim'!$S$401,0)+E124</f>
        <v>#N/A</v>
      </c>
      <c r="L125" t="str">
        <f t="shared" si="17"/>
        <v>118</v>
      </c>
      <c r="M125">
        <f>COUNTIF($N$6:N125,N125)</f>
        <v>118</v>
      </c>
      <c r="N125" t="str">
        <f t="shared" si="11"/>
        <v/>
      </c>
      <c r="O125" t="str">
        <f ca="1">IFERROR(INDEX(Intrim!$F$4:$F$201,P125),"")</f>
        <v/>
      </c>
      <c r="P125" t="e">
        <f ca="1">MATCH(intrim2!N125,OFFSET(Intrim!$G$4,P124,0):'Intrim'!$G$201,0)+P124</f>
        <v>#N/A</v>
      </c>
      <c r="V125">
        <v>120</v>
      </c>
      <c r="W125" t="str">
        <f t="shared" si="12"/>
        <v/>
      </c>
      <c r="X125" t="str">
        <f>IF(W125="","",COUNTIF($W$6:W125,W125))</f>
        <v/>
      </c>
      <c r="Y125" t="e">
        <f t="shared" si="13"/>
        <v>#N/A</v>
      </c>
      <c r="Z125" t="e">
        <f t="shared" si="14"/>
        <v>#N/A</v>
      </c>
      <c r="AA125" t="e">
        <f t="shared" si="15"/>
        <v>#N/A</v>
      </c>
      <c r="AB125" t="e">
        <f>VLOOKUP(Z125,Intrim!R:Z,9,0)</f>
        <v>#N/A</v>
      </c>
    </row>
    <row r="126" spans="1:28" x14ac:dyDescent="0.25">
      <c r="A126" t="str">
        <f t="shared" si="16"/>
        <v>118</v>
      </c>
      <c r="B126">
        <f>COUNTIF($C$6:C126,C126)</f>
        <v>118</v>
      </c>
      <c r="C126" t="str">
        <f t="shared" si="10"/>
        <v/>
      </c>
      <c r="D126" t="str">
        <f ca="1">IFERROR(INDEX(Intrim!$R$4:$R$401,E126),"")</f>
        <v/>
      </c>
      <c r="E126" t="e">
        <f ca="1">MATCH(intrim2!C126,OFFSET(Intrim!$S$4,E125,0):'Intrim'!$S$401,0)+E125</f>
        <v>#N/A</v>
      </c>
      <c r="L126" t="str">
        <f t="shared" si="17"/>
        <v>119</v>
      </c>
      <c r="M126">
        <f>COUNTIF($N$6:N126,N126)</f>
        <v>119</v>
      </c>
      <c r="N126" t="str">
        <f t="shared" si="11"/>
        <v/>
      </c>
      <c r="O126" t="str">
        <f ca="1">IFERROR(INDEX(Intrim!$F$4:$F$201,P126),"")</f>
        <v/>
      </c>
      <c r="P126" t="e">
        <f ca="1">MATCH(intrim2!N126,OFFSET(Intrim!$G$4,P125,0):'Intrim'!$G$201,0)+P125</f>
        <v>#N/A</v>
      </c>
      <c r="V126">
        <v>121</v>
      </c>
      <c r="W126" t="str">
        <f t="shared" si="12"/>
        <v/>
      </c>
      <c r="X126" t="str">
        <f>IF(W126="","",COUNTIF($W$6:W126,W126))</f>
        <v/>
      </c>
      <c r="Y126" t="e">
        <f t="shared" si="13"/>
        <v>#N/A</v>
      </c>
      <c r="Z126" t="e">
        <f t="shared" si="14"/>
        <v>#N/A</v>
      </c>
      <c r="AA126" t="e">
        <f t="shared" si="15"/>
        <v>#N/A</v>
      </c>
      <c r="AB126" t="e">
        <f>VLOOKUP(Z126,Intrim!R:Z,9,0)</f>
        <v>#N/A</v>
      </c>
    </row>
    <row r="127" spans="1:28" x14ac:dyDescent="0.25">
      <c r="A127" t="str">
        <f t="shared" si="16"/>
        <v>119</v>
      </c>
      <c r="B127">
        <f>COUNTIF($C$6:C127,C127)</f>
        <v>119</v>
      </c>
      <c r="C127" t="str">
        <f t="shared" si="10"/>
        <v/>
      </c>
      <c r="D127" t="str">
        <f ca="1">IFERROR(INDEX(Intrim!$R$4:$R$401,E127),"")</f>
        <v/>
      </c>
      <c r="E127" t="e">
        <f ca="1">MATCH(intrim2!C127,OFFSET(Intrim!$S$4,E126,0):'Intrim'!$S$401,0)+E126</f>
        <v>#N/A</v>
      </c>
      <c r="L127" t="str">
        <f t="shared" si="17"/>
        <v>120</v>
      </c>
      <c r="M127">
        <f>COUNTIF($N$6:N127,N127)</f>
        <v>120</v>
      </c>
      <c r="N127" t="str">
        <f t="shared" si="11"/>
        <v/>
      </c>
      <c r="O127" t="str">
        <f ca="1">IFERROR(INDEX(Intrim!$F$4:$F$201,P127),"")</f>
        <v/>
      </c>
      <c r="P127" t="e">
        <f ca="1">MATCH(intrim2!N127,OFFSET(Intrim!$G$4,P126,0):'Intrim'!$G$201,0)+P126</f>
        <v>#N/A</v>
      </c>
      <c r="V127">
        <v>122</v>
      </c>
      <c r="W127" t="str">
        <f t="shared" si="12"/>
        <v/>
      </c>
      <c r="X127" t="str">
        <f>IF(W127="","",COUNTIF($W$6:W127,W127))</f>
        <v/>
      </c>
      <c r="Y127" t="e">
        <f t="shared" si="13"/>
        <v>#N/A</v>
      </c>
      <c r="Z127" t="e">
        <f t="shared" si="14"/>
        <v>#N/A</v>
      </c>
      <c r="AA127" t="e">
        <f t="shared" si="15"/>
        <v>#N/A</v>
      </c>
      <c r="AB127" t="e">
        <f>VLOOKUP(Z127,Intrim!R:Z,9,0)</f>
        <v>#N/A</v>
      </c>
    </row>
    <row r="128" spans="1:28" x14ac:dyDescent="0.25">
      <c r="A128" t="str">
        <f t="shared" si="16"/>
        <v>120</v>
      </c>
      <c r="B128">
        <f>COUNTIF($C$6:C128,C128)</f>
        <v>120</v>
      </c>
      <c r="C128" t="str">
        <f t="shared" si="10"/>
        <v/>
      </c>
      <c r="D128" t="str">
        <f ca="1">IFERROR(INDEX(Intrim!$R$4:$R$401,E128),"")</f>
        <v/>
      </c>
      <c r="E128" t="e">
        <f ca="1">MATCH(intrim2!C128,OFFSET(Intrim!$S$4,E127,0):'Intrim'!$S$401,0)+E127</f>
        <v>#N/A</v>
      </c>
      <c r="L128" t="str">
        <f t="shared" si="17"/>
        <v>121</v>
      </c>
      <c r="M128">
        <f>COUNTIF($N$6:N128,N128)</f>
        <v>121</v>
      </c>
      <c r="N128" t="str">
        <f t="shared" si="11"/>
        <v/>
      </c>
      <c r="O128" t="str">
        <f ca="1">IFERROR(INDEX(Intrim!$F$4:$F$201,P128),"")</f>
        <v/>
      </c>
      <c r="P128" t="e">
        <f ca="1">MATCH(intrim2!N128,OFFSET(Intrim!$G$4,P127,0):'Intrim'!$G$201,0)+P127</f>
        <v>#N/A</v>
      </c>
      <c r="V128">
        <v>123</v>
      </c>
      <c r="W128" t="str">
        <f t="shared" si="12"/>
        <v/>
      </c>
      <c r="X128" t="str">
        <f>IF(W128="","",COUNTIF($W$6:W128,W128))</f>
        <v/>
      </c>
      <c r="Y128" t="e">
        <f t="shared" si="13"/>
        <v>#N/A</v>
      </c>
      <c r="Z128" t="e">
        <f t="shared" si="14"/>
        <v>#N/A</v>
      </c>
      <c r="AA128" t="e">
        <f t="shared" si="15"/>
        <v>#N/A</v>
      </c>
      <c r="AB128" t="e">
        <f>VLOOKUP(Z128,Intrim!R:Z,9,0)</f>
        <v>#N/A</v>
      </c>
    </row>
    <row r="129" spans="1:28" x14ac:dyDescent="0.25">
      <c r="A129" t="str">
        <f t="shared" si="16"/>
        <v>121</v>
      </c>
      <c r="B129">
        <f>COUNTIF($C$6:C129,C129)</f>
        <v>121</v>
      </c>
      <c r="C129" t="str">
        <f t="shared" si="10"/>
        <v/>
      </c>
      <c r="D129" t="str">
        <f ca="1">IFERROR(INDEX(Intrim!$R$4:$R$401,E129),"")</f>
        <v/>
      </c>
      <c r="E129" t="e">
        <f ca="1">MATCH(intrim2!C129,OFFSET(Intrim!$S$4,E128,0):'Intrim'!$S$401,0)+E128</f>
        <v>#N/A</v>
      </c>
      <c r="L129" t="str">
        <f t="shared" si="17"/>
        <v>122</v>
      </c>
      <c r="M129">
        <f>COUNTIF($N$6:N129,N129)</f>
        <v>122</v>
      </c>
      <c r="N129" t="str">
        <f t="shared" si="11"/>
        <v/>
      </c>
      <c r="O129" t="str">
        <f ca="1">IFERROR(INDEX(Intrim!$F$4:$F$201,P129),"")</f>
        <v/>
      </c>
      <c r="P129" t="e">
        <f ca="1">MATCH(intrim2!N129,OFFSET(Intrim!$G$4,P128,0):'Intrim'!$G$201,0)+P128</f>
        <v>#N/A</v>
      </c>
      <c r="V129">
        <v>124</v>
      </c>
      <c r="W129" t="str">
        <f t="shared" si="12"/>
        <v/>
      </c>
      <c r="X129" t="str">
        <f>IF(W129="","",COUNTIF($W$6:W129,W129))</f>
        <v/>
      </c>
      <c r="Y129" t="e">
        <f t="shared" si="13"/>
        <v>#N/A</v>
      </c>
      <c r="Z129" t="e">
        <f t="shared" si="14"/>
        <v>#N/A</v>
      </c>
      <c r="AA129" t="e">
        <f t="shared" si="15"/>
        <v>#N/A</v>
      </c>
      <c r="AB129" t="e">
        <f>VLOOKUP(Z129,Intrim!R:Z,9,0)</f>
        <v>#N/A</v>
      </c>
    </row>
    <row r="130" spans="1:28" x14ac:dyDescent="0.25">
      <c r="A130" t="str">
        <f t="shared" si="16"/>
        <v>122</v>
      </c>
      <c r="B130">
        <f>COUNTIF($C$6:C130,C130)</f>
        <v>122</v>
      </c>
      <c r="C130" t="str">
        <f t="shared" si="10"/>
        <v/>
      </c>
      <c r="D130" t="str">
        <f ca="1">IFERROR(INDEX(Intrim!$R$4:$R$401,E130),"")</f>
        <v/>
      </c>
      <c r="E130" t="e">
        <f ca="1">MATCH(intrim2!C130,OFFSET(Intrim!$S$4,E129,0):'Intrim'!$S$401,0)+E129</f>
        <v>#N/A</v>
      </c>
      <c r="L130" t="str">
        <f t="shared" si="17"/>
        <v>123</v>
      </c>
      <c r="M130">
        <f>COUNTIF($N$6:N130,N130)</f>
        <v>123</v>
      </c>
      <c r="N130" t="str">
        <f t="shared" si="11"/>
        <v/>
      </c>
      <c r="O130" t="str">
        <f ca="1">IFERROR(INDEX(Intrim!$F$4:$F$201,P130),"")</f>
        <v/>
      </c>
      <c r="P130" t="e">
        <f ca="1">MATCH(intrim2!N130,OFFSET(Intrim!$G$4,P129,0):'Intrim'!$G$201,0)+P129</f>
        <v>#N/A</v>
      </c>
      <c r="V130">
        <v>125</v>
      </c>
      <c r="W130" t="str">
        <f t="shared" si="12"/>
        <v/>
      </c>
      <c r="X130" t="str">
        <f>IF(W130="","",COUNTIF($W$6:W130,W130))</f>
        <v/>
      </c>
      <c r="Y130" t="e">
        <f t="shared" si="13"/>
        <v>#N/A</v>
      </c>
      <c r="Z130" t="e">
        <f t="shared" si="14"/>
        <v>#N/A</v>
      </c>
      <c r="AA130" t="e">
        <f t="shared" si="15"/>
        <v>#N/A</v>
      </c>
      <c r="AB130" t="e">
        <f>VLOOKUP(Z130,Intrim!R:Z,9,0)</f>
        <v>#N/A</v>
      </c>
    </row>
    <row r="131" spans="1:28" x14ac:dyDescent="0.25">
      <c r="A131" t="str">
        <f t="shared" si="16"/>
        <v>123</v>
      </c>
      <c r="B131">
        <f>COUNTIF($C$6:C131,C131)</f>
        <v>123</v>
      </c>
      <c r="C131" t="str">
        <f t="shared" si="10"/>
        <v/>
      </c>
      <c r="D131" t="str">
        <f ca="1">IFERROR(INDEX(Intrim!$R$4:$R$401,E131),"")</f>
        <v/>
      </c>
      <c r="E131" t="e">
        <f ca="1">MATCH(intrim2!C131,OFFSET(Intrim!$S$4,E130,0):'Intrim'!$S$401,0)+E130</f>
        <v>#N/A</v>
      </c>
      <c r="L131" t="str">
        <f t="shared" si="17"/>
        <v>124</v>
      </c>
      <c r="M131">
        <f>COUNTIF($N$6:N131,N131)</f>
        <v>124</v>
      </c>
      <c r="N131" t="str">
        <f t="shared" si="11"/>
        <v/>
      </c>
      <c r="O131" t="str">
        <f ca="1">IFERROR(INDEX(Intrim!$F$4:$F$201,P131),"")</f>
        <v/>
      </c>
      <c r="P131" t="e">
        <f ca="1">MATCH(intrim2!N131,OFFSET(Intrim!$G$4,P130,0):'Intrim'!$G$201,0)+P130</f>
        <v>#N/A</v>
      </c>
      <c r="V131">
        <v>126</v>
      </c>
      <c r="W131" t="str">
        <f t="shared" si="12"/>
        <v/>
      </c>
      <c r="X131" t="str">
        <f>IF(W131="","",COUNTIF($W$6:W131,W131))</f>
        <v/>
      </c>
      <c r="Y131" t="e">
        <f t="shared" si="13"/>
        <v>#N/A</v>
      </c>
      <c r="Z131" t="e">
        <f t="shared" si="14"/>
        <v>#N/A</v>
      </c>
      <c r="AA131" t="e">
        <f t="shared" si="15"/>
        <v>#N/A</v>
      </c>
      <c r="AB131" t="e">
        <f>VLOOKUP(Z131,Intrim!R:Z,9,0)</f>
        <v>#N/A</v>
      </c>
    </row>
    <row r="132" spans="1:28" x14ac:dyDescent="0.25">
      <c r="A132" t="str">
        <f t="shared" si="16"/>
        <v>124</v>
      </c>
      <c r="B132">
        <f>COUNTIF($C$6:C132,C132)</f>
        <v>124</v>
      </c>
      <c r="C132" t="str">
        <f t="shared" si="10"/>
        <v/>
      </c>
      <c r="D132" t="str">
        <f ca="1">IFERROR(INDEX(Intrim!$R$4:$R$401,E132),"")</f>
        <v/>
      </c>
      <c r="E132" t="e">
        <f ca="1">MATCH(intrim2!C132,OFFSET(Intrim!$S$4,E131,0):'Intrim'!$S$401,0)+E131</f>
        <v>#N/A</v>
      </c>
      <c r="L132" t="str">
        <f t="shared" si="17"/>
        <v>125</v>
      </c>
      <c r="M132">
        <f>COUNTIF($N$6:N132,N132)</f>
        <v>125</v>
      </c>
      <c r="N132" t="str">
        <f t="shared" si="11"/>
        <v/>
      </c>
      <c r="O132" t="str">
        <f ca="1">IFERROR(INDEX(Intrim!$F$4:$F$201,P132),"")</f>
        <v/>
      </c>
      <c r="P132" t="e">
        <f ca="1">MATCH(intrim2!N132,OFFSET(Intrim!$G$4,P131,0):'Intrim'!$G$201,0)+P131</f>
        <v>#N/A</v>
      </c>
      <c r="V132">
        <v>127</v>
      </c>
      <c r="W132" t="str">
        <f t="shared" si="12"/>
        <v/>
      </c>
      <c r="X132" t="str">
        <f>IF(W132="","",COUNTIF($W$6:W132,W132))</f>
        <v/>
      </c>
      <c r="Y132" t="e">
        <f t="shared" si="13"/>
        <v>#N/A</v>
      </c>
      <c r="Z132" t="e">
        <f t="shared" si="14"/>
        <v>#N/A</v>
      </c>
      <c r="AA132" t="e">
        <f t="shared" si="15"/>
        <v>#N/A</v>
      </c>
      <c r="AB132" t="e">
        <f>VLOOKUP(Z132,Intrim!R:Z,9,0)</f>
        <v>#N/A</v>
      </c>
    </row>
    <row r="133" spans="1:28" x14ac:dyDescent="0.25">
      <c r="A133" t="str">
        <f t="shared" si="16"/>
        <v>125</v>
      </c>
      <c r="B133">
        <f>COUNTIF($C$6:C133,C133)</f>
        <v>125</v>
      </c>
      <c r="C133" t="str">
        <f t="shared" si="10"/>
        <v/>
      </c>
      <c r="D133" t="str">
        <f ca="1">IFERROR(INDEX(Intrim!$R$4:$R$401,E133),"")</f>
        <v/>
      </c>
      <c r="E133" t="e">
        <f ca="1">MATCH(intrim2!C133,OFFSET(Intrim!$S$4,E132,0):'Intrim'!$S$401,0)+E132</f>
        <v>#N/A</v>
      </c>
      <c r="L133" t="str">
        <f t="shared" si="17"/>
        <v>126</v>
      </c>
      <c r="M133">
        <f>COUNTIF($N$6:N133,N133)</f>
        <v>126</v>
      </c>
      <c r="N133" t="str">
        <f t="shared" si="11"/>
        <v/>
      </c>
      <c r="O133" t="str">
        <f ca="1">IFERROR(INDEX(Intrim!$F$4:$F$201,P133),"")</f>
        <v/>
      </c>
      <c r="P133" t="e">
        <f ca="1">MATCH(intrim2!N133,OFFSET(Intrim!$G$4,P132,0):'Intrim'!$G$201,0)+P132</f>
        <v>#N/A</v>
      </c>
      <c r="V133">
        <v>128</v>
      </c>
      <c r="W133" t="str">
        <f t="shared" si="12"/>
        <v/>
      </c>
      <c r="X133" t="str">
        <f>IF(W133="","",COUNTIF($W$6:W133,W133))</f>
        <v/>
      </c>
      <c r="Y133" t="e">
        <f t="shared" si="13"/>
        <v>#N/A</v>
      </c>
      <c r="Z133" t="e">
        <f t="shared" si="14"/>
        <v>#N/A</v>
      </c>
      <c r="AA133" t="e">
        <f t="shared" si="15"/>
        <v>#N/A</v>
      </c>
      <c r="AB133" t="e">
        <f>VLOOKUP(Z133,Intrim!R:Z,9,0)</f>
        <v>#N/A</v>
      </c>
    </row>
    <row r="134" spans="1:28" x14ac:dyDescent="0.25">
      <c r="A134" t="str">
        <f t="shared" si="16"/>
        <v>126</v>
      </c>
      <c r="B134">
        <f>COUNTIF($C$6:C134,C134)</f>
        <v>126</v>
      </c>
      <c r="C134" t="str">
        <f t="shared" si="10"/>
        <v/>
      </c>
      <c r="D134" t="str">
        <f ca="1">IFERROR(INDEX(Intrim!$R$4:$R$401,E134),"")</f>
        <v/>
      </c>
      <c r="E134" t="e">
        <f ca="1">MATCH(intrim2!C134,OFFSET(Intrim!$S$4,E133,0):'Intrim'!$S$401,0)+E133</f>
        <v>#N/A</v>
      </c>
      <c r="L134" t="str">
        <f t="shared" si="17"/>
        <v>127</v>
      </c>
      <c r="M134">
        <f>COUNTIF($N$6:N134,N134)</f>
        <v>127</v>
      </c>
      <c r="N134" t="str">
        <f t="shared" si="11"/>
        <v/>
      </c>
      <c r="O134" t="str">
        <f ca="1">IFERROR(INDEX(Intrim!$F$4:$F$201,P134),"")</f>
        <v/>
      </c>
      <c r="P134" t="e">
        <f ca="1">MATCH(intrim2!N134,OFFSET(Intrim!$G$4,P133,0):'Intrim'!$G$201,0)+P133</f>
        <v>#N/A</v>
      </c>
      <c r="V134">
        <v>129</v>
      </c>
      <c r="W134" t="str">
        <f t="shared" si="12"/>
        <v/>
      </c>
      <c r="X134" t="str">
        <f>IF(W134="","",COUNTIF($W$6:W134,W134))</f>
        <v/>
      </c>
      <c r="Y134" t="e">
        <f t="shared" si="13"/>
        <v>#N/A</v>
      </c>
      <c r="Z134" t="e">
        <f t="shared" si="14"/>
        <v>#N/A</v>
      </c>
      <c r="AA134" t="e">
        <f t="shared" si="15"/>
        <v>#N/A</v>
      </c>
      <c r="AB134" t="e">
        <f>VLOOKUP(Z134,Intrim!R:Z,9,0)</f>
        <v>#N/A</v>
      </c>
    </row>
    <row r="135" spans="1:28" x14ac:dyDescent="0.25">
      <c r="A135" t="str">
        <f t="shared" si="16"/>
        <v>127</v>
      </c>
      <c r="B135">
        <f>COUNTIF($C$6:C135,C135)</f>
        <v>127</v>
      </c>
      <c r="C135" t="str">
        <f t="shared" ref="C135:C198" si="18">IF(ROW(C135)&lt;=$D$3+5,$B$1,"")</f>
        <v/>
      </c>
      <c r="D135" t="str">
        <f ca="1">IFERROR(INDEX(Intrim!$R$4:$R$401,E135),"")</f>
        <v/>
      </c>
      <c r="E135" t="e">
        <f ca="1">MATCH(intrim2!C135,OFFSET(Intrim!$S$4,E134,0):'Intrim'!$S$401,0)+E134</f>
        <v>#N/A</v>
      </c>
      <c r="L135" t="str">
        <f t="shared" si="17"/>
        <v>128</v>
      </c>
      <c r="M135">
        <f>COUNTIF($N$6:N135,N135)</f>
        <v>128</v>
      </c>
      <c r="N135" t="str">
        <f t="shared" ref="N135:N198" si="19">IF(ROW(N135)&lt;=$O$3+5,$B$1,"")</f>
        <v/>
      </c>
      <c r="O135" t="str">
        <f ca="1">IFERROR(INDEX(Intrim!$F$4:$F$201,P135),"")</f>
        <v/>
      </c>
      <c r="P135" t="e">
        <f ca="1">MATCH(intrim2!N135,OFFSET(Intrim!$G$4,P134,0):'Intrim'!$G$201,0)+P134</f>
        <v>#N/A</v>
      </c>
      <c r="V135">
        <v>130</v>
      </c>
      <c r="W135" t="str">
        <f t="shared" ref="W135:W198" si="20">IF(ROUNDUP(V135/$D$3,0)&lt;=$O$3,ROUNDUP(V135/$D$3,0),"")</f>
        <v/>
      </c>
      <c r="X135" t="str">
        <f>IF(W135="","",COUNTIF($W$6:W135,W135))</f>
        <v/>
      </c>
      <c r="Y135" t="e">
        <f t="shared" ref="Y135:Y198" si="21">VLOOKUP(W135&amp;$Y$3,L:O,4,0)</f>
        <v>#N/A</v>
      </c>
      <c r="Z135" t="e">
        <f t="shared" ref="Z135:Z198" si="22">VLOOKUP(X135&amp;$Y$3,A:D,4,0)</f>
        <v>#N/A</v>
      </c>
      <c r="AA135" t="e">
        <f t="shared" ref="AA135:AA198" si="23">INDEX($N$6:$N$305,MATCH(Y135,$O$6:$O$305,0))</f>
        <v>#N/A</v>
      </c>
      <c r="AB135" t="e">
        <f>VLOOKUP(Z135,Intrim!R:Z,9,0)</f>
        <v>#N/A</v>
      </c>
    </row>
    <row r="136" spans="1:28" x14ac:dyDescent="0.25">
      <c r="A136" t="str">
        <f t="shared" ref="A136:A199" si="24">+B136&amp;C136</f>
        <v>128</v>
      </c>
      <c r="B136">
        <f>COUNTIF($C$6:C136,C136)</f>
        <v>128</v>
      </c>
      <c r="C136" t="str">
        <f t="shared" si="18"/>
        <v/>
      </c>
      <c r="D136" t="str">
        <f ca="1">IFERROR(INDEX(Intrim!$R$4:$R$401,E136),"")</f>
        <v/>
      </c>
      <c r="E136" t="e">
        <f ca="1">MATCH(intrim2!C136,OFFSET(Intrim!$S$4,E135,0):'Intrim'!$S$401,0)+E135</f>
        <v>#N/A</v>
      </c>
      <c r="L136" t="str">
        <f t="shared" si="17"/>
        <v>129</v>
      </c>
      <c r="M136">
        <f>COUNTIF($N$6:N136,N136)</f>
        <v>129</v>
      </c>
      <c r="N136" t="str">
        <f t="shared" si="19"/>
        <v/>
      </c>
      <c r="O136" t="str">
        <f ca="1">IFERROR(INDEX(Intrim!$F$4:$F$201,P136),"")</f>
        <v/>
      </c>
      <c r="P136" t="e">
        <f ca="1">MATCH(intrim2!N136,OFFSET(Intrim!$G$4,P135,0):'Intrim'!$G$201,0)+P135</f>
        <v>#N/A</v>
      </c>
      <c r="V136">
        <v>131</v>
      </c>
      <c r="W136" t="str">
        <f t="shared" si="20"/>
        <v/>
      </c>
      <c r="X136" t="str">
        <f>IF(W136="","",COUNTIF($W$6:W136,W136))</f>
        <v/>
      </c>
      <c r="Y136" t="e">
        <f t="shared" si="21"/>
        <v>#N/A</v>
      </c>
      <c r="Z136" t="e">
        <f t="shared" si="22"/>
        <v>#N/A</v>
      </c>
      <c r="AA136" t="e">
        <f t="shared" si="23"/>
        <v>#N/A</v>
      </c>
      <c r="AB136" t="e">
        <f>VLOOKUP(Z136,Intrim!R:Z,9,0)</f>
        <v>#N/A</v>
      </c>
    </row>
    <row r="137" spans="1:28" x14ac:dyDescent="0.25">
      <c r="A137" t="str">
        <f t="shared" si="24"/>
        <v>129</v>
      </c>
      <c r="B137">
        <f>COUNTIF($C$6:C137,C137)</f>
        <v>129</v>
      </c>
      <c r="C137" t="str">
        <f t="shared" si="18"/>
        <v/>
      </c>
      <c r="D137" t="str">
        <f ca="1">IFERROR(INDEX(Intrim!$R$4:$R$401,E137),"")</f>
        <v/>
      </c>
      <c r="E137" t="e">
        <f ca="1">MATCH(intrim2!C137,OFFSET(Intrim!$S$4,E136,0):'Intrim'!$S$401,0)+E136</f>
        <v>#N/A</v>
      </c>
      <c r="L137" t="str">
        <f t="shared" ref="L137:L200" si="25">+M137&amp;N137</f>
        <v>130</v>
      </c>
      <c r="M137">
        <f>COUNTIF($N$6:N137,N137)</f>
        <v>130</v>
      </c>
      <c r="N137" t="str">
        <f t="shared" si="19"/>
        <v/>
      </c>
      <c r="O137" t="str">
        <f ca="1">IFERROR(INDEX(Intrim!$F$4:$F$201,P137),"")</f>
        <v/>
      </c>
      <c r="P137" t="e">
        <f ca="1">MATCH(intrim2!N137,OFFSET(Intrim!$G$4,P136,0):'Intrim'!$G$201,0)+P136</f>
        <v>#N/A</v>
      </c>
      <c r="V137">
        <v>132</v>
      </c>
      <c r="W137" t="str">
        <f t="shared" si="20"/>
        <v/>
      </c>
      <c r="X137" t="str">
        <f>IF(W137="","",COUNTIF($W$6:W137,W137))</f>
        <v/>
      </c>
      <c r="Y137" t="e">
        <f t="shared" si="21"/>
        <v>#N/A</v>
      </c>
      <c r="Z137" t="e">
        <f t="shared" si="22"/>
        <v>#N/A</v>
      </c>
      <c r="AA137" t="e">
        <f t="shared" si="23"/>
        <v>#N/A</v>
      </c>
      <c r="AB137" t="e">
        <f>VLOOKUP(Z137,Intrim!R:Z,9,0)</f>
        <v>#N/A</v>
      </c>
    </row>
    <row r="138" spans="1:28" x14ac:dyDescent="0.25">
      <c r="A138" t="str">
        <f t="shared" si="24"/>
        <v>130</v>
      </c>
      <c r="B138">
        <f>COUNTIF($C$6:C138,C138)</f>
        <v>130</v>
      </c>
      <c r="C138" t="str">
        <f t="shared" si="18"/>
        <v/>
      </c>
      <c r="D138" t="str">
        <f ca="1">IFERROR(INDEX(Intrim!$R$4:$R$401,E138),"")</f>
        <v/>
      </c>
      <c r="E138" t="e">
        <f ca="1">MATCH(intrim2!C138,OFFSET(Intrim!$S$4,E137,0):'Intrim'!$S$401,0)+E137</f>
        <v>#N/A</v>
      </c>
      <c r="L138" t="str">
        <f t="shared" si="25"/>
        <v>131</v>
      </c>
      <c r="M138">
        <f>COUNTIF($N$6:N138,N138)</f>
        <v>131</v>
      </c>
      <c r="N138" t="str">
        <f t="shared" si="19"/>
        <v/>
      </c>
      <c r="O138" t="str">
        <f ca="1">IFERROR(INDEX(Intrim!$F$4:$F$201,P138),"")</f>
        <v/>
      </c>
      <c r="P138" t="e">
        <f ca="1">MATCH(intrim2!N138,OFFSET(Intrim!$G$4,P137,0):'Intrim'!$G$201,0)+P137</f>
        <v>#N/A</v>
      </c>
      <c r="V138">
        <v>133</v>
      </c>
      <c r="W138" t="str">
        <f t="shared" si="20"/>
        <v/>
      </c>
      <c r="X138" t="str">
        <f>IF(W138="","",COUNTIF($W$6:W138,W138))</f>
        <v/>
      </c>
      <c r="Y138" t="e">
        <f t="shared" si="21"/>
        <v>#N/A</v>
      </c>
      <c r="Z138" t="e">
        <f t="shared" si="22"/>
        <v>#N/A</v>
      </c>
      <c r="AA138" t="e">
        <f t="shared" si="23"/>
        <v>#N/A</v>
      </c>
      <c r="AB138" t="e">
        <f>VLOOKUP(Z138,Intrim!R:Z,9,0)</f>
        <v>#N/A</v>
      </c>
    </row>
    <row r="139" spans="1:28" x14ac:dyDescent="0.25">
      <c r="A139" t="str">
        <f t="shared" si="24"/>
        <v>131</v>
      </c>
      <c r="B139">
        <f>COUNTIF($C$6:C139,C139)</f>
        <v>131</v>
      </c>
      <c r="C139" t="str">
        <f t="shared" si="18"/>
        <v/>
      </c>
      <c r="D139" t="str">
        <f ca="1">IFERROR(INDEX(Intrim!$R$4:$R$401,E139),"")</f>
        <v/>
      </c>
      <c r="E139" t="e">
        <f ca="1">MATCH(intrim2!C139,OFFSET(Intrim!$S$4,E138,0):'Intrim'!$S$401,0)+E138</f>
        <v>#N/A</v>
      </c>
      <c r="L139" t="str">
        <f t="shared" si="25"/>
        <v>132</v>
      </c>
      <c r="M139">
        <f>COUNTIF($N$6:N139,N139)</f>
        <v>132</v>
      </c>
      <c r="N139" t="str">
        <f t="shared" si="19"/>
        <v/>
      </c>
      <c r="O139" t="str">
        <f ca="1">IFERROR(INDEX(Intrim!$F$4:$F$201,P139),"")</f>
        <v/>
      </c>
      <c r="P139" t="e">
        <f ca="1">MATCH(intrim2!N139,OFFSET(Intrim!$G$4,P138,0):'Intrim'!$G$201,0)+P138</f>
        <v>#N/A</v>
      </c>
      <c r="V139">
        <v>134</v>
      </c>
      <c r="W139" t="str">
        <f t="shared" si="20"/>
        <v/>
      </c>
      <c r="X139" t="str">
        <f>IF(W139="","",COUNTIF($W$6:W139,W139))</f>
        <v/>
      </c>
      <c r="Y139" t="e">
        <f t="shared" si="21"/>
        <v>#N/A</v>
      </c>
      <c r="Z139" t="e">
        <f t="shared" si="22"/>
        <v>#N/A</v>
      </c>
      <c r="AA139" t="e">
        <f t="shared" si="23"/>
        <v>#N/A</v>
      </c>
      <c r="AB139" t="e">
        <f>VLOOKUP(Z139,Intrim!R:Z,9,0)</f>
        <v>#N/A</v>
      </c>
    </row>
    <row r="140" spans="1:28" x14ac:dyDescent="0.25">
      <c r="A140" t="str">
        <f t="shared" si="24"/>
        <v>132</v>
      </c>
      <c r="B140">
        <f>COUNTIF($C$6:C140,C140)</f>
        <v>132</v>
      </c>
      <c r="C140" t="str">
        <f t="shared" si="18"/>
        <v/>
      </c>
      <c r="D140" t="str">
        <f ca="1">IFERROR(INDEX(Intrim!$R$4:$R$401,E140),"")</f>
        <v/>
      </c>
      <c r="E140" t="e">
        <f ca="1">MATCH(intrim2!C140,OFFSET(Intrim!$S$4,E139,0):'Intrim'!$S$401,0)+E139</f>
        <v>#N/A</v>
      </c>
      <c r="L140" t="str">
        <f t="shared" si="25"/>
        <v>133</v>
      </c>
      <c r="M140">
        <f>COUNTIF($N$6:N140,N140)</f>
        <v>133</v>
      </c>
      <c r="N140" t="str">
        <f t="shared" si="19"/>
        <v/>
      </c>
      <c r="O140" t="str">
        <f ca="1">IFERROR(INDEX(Intrim!$F$4:$F$201,P140),"")</f>
        <v/>
      </c>
      <c r="P140" t="e">
        <f ca="1">MATCH(intrim2!N140,OFFSET(Intrim!$G$4,P139,0):'Intrim'!$G$201,0)+P139</f>
        <v>#N/A</v>
      </c>
      <c r="V140">
        <v>135</v>
      </c>
      <c r="W140" t="str">
        <f t="shared" si="20"/>
        <v/>
      </c>
      <c r="X140" t="str">
        <f>IF(W140="","",COUNTIF($W$6:W140,W140))</f>
        <v/>
      </c>
      <c r="Y140" t="e">
        <f t="shared" si="21"/>
        <v>#N/A</v>
      </c>
      <c r="Z140" t="e">
        <f t="shared" si="22"/>
        <v>#N/A</v>
      </c>
      <c r="AA140" t="e">
        <f t="shared" si="23"/>
        <v>#N/A</v>
      </c>
      <c r="AB140" t="e">
        <f>VLOOKUP(Z140,Intrim!R:Z,9,0)</f>
        <v>#N/A</v>
      </c>
    </row>
    <row r="141" spans="1:28" x14ac:dyDescent="0.25">
      <c r="A141" t="str">
        <f t="shared" si="24"/>
        <v>133</v>
      </c>
      <c r="B141">
        <f>COUNTIF($C$6:C141,C141)</f>
        <v>133</v>
      </c>
      <c r="C141" t="str">
        <f t="shared" si="18"/>
        <v/>
      </c>
      <c r="D141" t="str">
        <f ca="1">IFERROR(INDEX(Intrim!$R$4:$R$401,E141),"")</f>
        <v/>
      </c>
      <c r="E141" t="e">
        <f ca="1">MATCH(intrim2!C141,OFFSET(Intrim!$S$4,E140,0):'Intrim'!$S$401,0)+E140</f>
        <v>#N/A</v>
      </c>
      <c r="L141" t="str">
        <f t="shared" si="25"/>
        <v>134</v>
      </c>
      <c r="M141">
        <f>COUNTIF($N$6:N141,N141)</f>
        <v>134</v>
      </c>
      <c r="N141" t="str">
        <f t="shared" si="19"/>
        <v/>
      </c>
      <c r="O141" t="str">
        <f ca="1">IFERROR(INDEX(Intrim!$F$4:$F$201,P141),"")</f>
        <v/>
      </c>
      <c r="P141" t="e">
        <f ca="1">MATCH(intrim2!N141,OFFSET(Intrim!$G$4,P140,0):'Intrim'!$G$201,0)+P140</f>
        <v>#N/A</v>
      </c>
      <c r="V141">
        <v>136</v>
      </c>
      <c r="W141" t="str">
        <f t="shared" si="20"/>
        <v/>
      </c>
      <c r="X141" t="str">
        <f>IF(W141="","",COUNTIF($W$6:W141,W141))</f>
        <v/>
      </c>
      <c r="Y141" t="e">
        <f t="shared" si="21"/>
        <v>#N/A</v>
      </c>
      <c r="Z141" t="e">
        <f t="shared" si="22"/>
        <v>#N/A</v>
      </c>
      <c r="AA141" t="e">
        <f t="shared" si="23"/>
        <v>#N/A</v>
      </c>
      <c r="AB141" t="e">
        <f>VLOOKUP(Z141,Intrim!R:Z,9,0)</f>
        <v>#N/A</v>
      </c>
    </row>
    <row r="142" spans="1:28" x14ac:dyDescent="0.25">
      <c r="A142" t="str">
        <f t="shared" si="24"/>
        <v>134</v>
      </c>
      <c r="B142">
        <f>COUNTIF($C$6:C142,C142)</f>
        <v>134</v>
      </c>
      <c r="C142" t="str">
        <f t="shared" si="18"/>
        <v/>
      </c>
      <c r="D142" t="str">
        <f ca="1">IFERROR(INDEX(Intrim!$R$4:$R$401,E142),"")</f>
        <v/>
      </c>
      <c r="E142" t="e">
        <f ca="1">MATCH(intrim2!C142,OFFSET(Intrim!$S$4,E141,0):'Intrim'!$S$401,0)+E141</f>
        <v>#N/A</v>
      </c>
      <c r="L142" t="str">
        <f t="shared" si="25"/>
        <v>135</v>
      </c>
      <c r="M142">
        <f>COUNTIF($N$6:N142,N142)</f>
        <v>135</v>
      </c>
      <c r="N142" t="str">
        <f t="shared" si="19"/>
        <v/>
      </c>
      <c r="O142" t="str">
        <f ca="1">IFERROR(INDEX(Intrim!$F$4:$F$201,P142),"")</f>
        <v/>
      </c>
      <c r="P142" t="e">
        <f ca="1">MATCH(intrim2!N142,OFFSET(Intrim!$G$4,P141,0):'Intrim'!$G$201,0)+P141</f>
        <v>#N/A</v>
      </c>
      <c r="V142">
        <v>137</v>
      </c>
      <c r="W142" t="str">
        <f t="shared" si="20"/>
        <v/>
      </c>
      <c r="X142" t="str">
        <f>IF(W142="","",COUNTIF($W$6:W142,W142))</f>
        <v/>
      </c>
      <c r="Y142" t="e">
        <f t="shared" si="21"/>
        <v>#N/A</v>
      </c>
      <c r="Z142" t="e">
        <f t="shared" si="22"/>
        <v>#N/A</v>
      </c>
      <c r="AA142" t="e">
        <f t="shared" si="23"/>
        <v>#N/A</v>
      </c>
      <c r="AB142" t="e">
        <f>VLOOKUP(Z142,Intrim!R:Z,9,0)</f>
        <v>#N/A</v>
      </c>
    </row>
    <row r="143" spans="1:28" x14ac:dyDescent="0.25">
      <c r="A143" t="str">
        <f t="shared" si="24"/>
        <v>135</v>
      </c>
      <c r="B143">
        <f>COUNTIF($C$6:C143,C143)</f>
        <v>135</v>
      </c>
      <c r="C143" t="str">
        <f t="shared" si="18"/>
        <v/>
      </c>
      <c r="D143" t="str">
        <f ca="1">IFERROR(INDEX(Intrim!$R$4:$R$401,E143),"")</f>
        <v/>
      </c>
      <c r="E143" t="e">
        <f ca="1">MATCH(intrim2!C143,OFFSET(Intrim!$S$4,E142,0):'Intrim'!$S$401,0)+E142</f>
        <v>#N/A</v>
      </c>
      <c r="L143" t="str">
        <f t="shared" si="25"/>
        <v>136</v>
      </c>
      <c r="M143">
        <f>COUNTIF($N$6:N143,N143)</f>
        <v>136</v>
      </c>
      <c r="N143" t="str">
        <f t="shared" si="19"/>
        <v/>
      </c>
      <c r="O143" t="str">
        <f ca="1">IFERROR(INDEX(Intrim!$F$4:$F$201,P143),"")</f>
        <v/>
      </c>
      <c r="P143" t="e">
        <f ca="1">MATCH(intrim2!N143,OFFSET(Intrim!$G$4,P142,0):'Intrim'!$G$201,0)+P142</f>
        <v>#N/A</v>
      </c>
      <c r="V143">
        <v>138</v>
      </c>
      <c r="W143" t="str">
        <f t="shared" si="20"/>
        <v/>
      </c>
      <c r="X143" t="str">
        <f>IF(W143="","",COUNTIF($W$6:W143,W143))</f>
        <v/>
      </c>
      <c r="Y143" t="e">
        <f t="shared" si="21"/>
        <v>#N/A</v>
      </c>
      <c r="Z143" t="e">
        <f t="shared" si="22"/>
        <v>#N/A</v>
      </c>
      <c r="AA143" t="e">
        <f t="shared" si="23"/>
        <v>#N/A</v>
      </c>
      <c r="AB143" t="e">
        <f>VLOOKUP(Z143,Intrim!R:Z,9,0)</f>
        <v>#N/A</v>
      </c>
    </row>
    <row r="144" spans="1:28" x14ac:dyDescent="0.25">
      <c r="A144" t="str">
        <f t="shared" si="24"/>
        <v>136</v>
      </c>
      <c r="B144">
        <f>COUNTIF($C$6:C144,C144)</f>
        <v>136</v>
      </c>
      <c r="C144" t="str">
        <f t="shared" si="18"/>
        <v/>
      </c>
      <c r="D144" t="str">
        <f ca="1">IFERROR(INDEX(Intrim!$R$4:$R$401,E144),"")</f>
        <v/>
      </c>
      <c r="E144" t="e">
        <f ca="1">MATCH(intrim2!C144,OFFSET(Intrim!$S$4,E143,0):'Intrim'!$S$401,0)+E143</f>
        <v>#N/A</v>
      </c>
      <c r="L144" t="str">
        <f t="shared" si="25"/>
        <v>137</v>
      </c>
      <c r="M144">
        <f>COUNTIF($N$6:N144,N144)</f>
        <v>137</v>
      </c>
      <c r="N144" t="str">
        <f t="shared" si="19"/>
        <v/>
      </c>
      <c r="O144" t="str">
        <f ca="1">IFERROR(INDEX(Intrim!$F$4:$F$201,P144),"")</f>
        <v/>
      </c>
      <c r="P144" t="e">
        <f ca="1">MATCH(intrim2!N144,OFFSET(Intrim!$G$4,P143,0):'Intrim'!$G$201,0)+P143</f>
        <v>#N/A</v>
      </c>
      <c r="V144">
        <v>139</v>
      </c>
      <c r="W144" t="str">
        <f t="shared" si="20"/>
        <v/>
      </c>
      <c r="X144" t="str">
        <f>IF(W144="","",COUNTIF($W$6:W144,W144))</f>
        <v/>
      </c>
      <c r="Y144" t="e">
        <f t="shared" si="21"/>
        <v>#N/A</v>
      </c>
      <c r="Z144" t="e">
        <f t="shared" si="22"/>
        <v>#N/A</v>
      </c>
      <c r="AA144" t="e">
        <f t="shared" si="23"/>
        <v>#N/A</v>
      </c>
      <c r="AB144" t="e">
        <f>VLOOKUP(Z144,Intrim!R:Z,9,0)</f>
        <v>#N/A</v>
      </c>
    </row>
    <row r="145" spans="1:28" x14ac:dyDescent="0.25">
      <c r="A145" t="str">
        <f t="shared" si="24"/>
        <v>137</v>
      </c>
      <c r="B145">
        <f>COUNTIF($C$6:C145,C145)</f>
        <v>137</v>
      </c>
      <c r="C145" t="str">
        <f t="shared" si="18"/>
        <v/>
      </c>
      <c r="D145" t="str">
        <f ca="1">IFERROR(INDEX(Intrim!$R$4:$R$401,E145),"")</f>
        <v/>
      </c>
      <c r="E145" t="e">
        <f ca="1">MATCH(intrim2!C145,OFFSET(Intrim!$S$4,E144,0):'Intrim'!$S$401,0)+E144</f>
        <v>#N/A</v>
      </c>
      <c r="L145" t="str">
        <f t="shared" si="25"/>
        <v>138</v>
      </c>
      <c r="M145">
        <f>COUNTIF($N$6:N145,N145)</f>
        <v>138</v>
      </c>
      <c r="N145" t="str">
        <f t="shared" si="19"/>
        <v/>
      </c>
      <c r="O145" t="str">
        <f ca="1">IFERROR(INDEX(Intrim!$F$4:$F$201,P145),"")</f>
        <v/>
      </c>
      <c r="P145" t="e">
        <f ca="1">MATCH(intrim2!N145,OFFSET(Intrim!$G$4,P144,0):'Intrim'!$G$201,0)+P144</f>
        <v>#N/A</v>
      </c>
      <c r="V145">
        <v>140</v>
      </c>
      <c r="W145" t="str">
        <f t="shared" si="20"/>
        <v/>
      </c>
      <c r="X145" t="str">
        <f>IF(W145="","",COUNTIF($W$6:W145,W145))</f>
        <v/>
      </c>
      <c r="Y145" t="e">
        <f t="shared" si="21"/>
        <v>#N/A</v>
      </c>
      <c r="Z145" t="e">
        <f t="shared" si="22"/>
        <v>#N/A</v>
      </c>
      <c r="AA145" t="e">
        <f t="shared" si="23"/>
        <v>#N/A</v>
      </c>
      <c r="AB145" t="e">
        <f>VLOOKUP(Z145,Intrim!R:Z,9,0)</f>
        <v>#N/A</v>
      </c>
    </row>
    <row r="146" spans="1:28" x14ac:dyDescent="0.25">
      <c r="A146" t="str">
        <f t="shared" si="24"/>
        <v>138</v>
      </c>
      <c r="B146">
        <f>COUNTIF($C$6:C146,C146)</f>
        <v>138</v>
      </c>
      <c r="C146" t="str">
        <f t="shared" si="18"/>
        <v/>
      </c>
      <c r="D146" t="str">
        <f ca="1">IFERROR(INDEX(Intrim!$R$4:$R$401,E146),"")</f>
        <v/>
      </c>
      <c r="E146" t="e">
        <f ca="1">MATCH(intrim2!C146,OFFSET(Intrim!$S$4,E145,0):'Intrim'!$S$401,0)+E145</f>
        <v>#N/A</v>
      </c>
      <c r="L146" t="str">
        <f t="shared" si="25"/>
        <v>139</v>
      </c>
      <c r="M146">
        <f>COUNTIF($N$6:N146,N146)</f>
        <v>139</v>
      </c>
      <c r="N146" t="str">
        <f t="shared" si="19"/>
        <v/>
      </c>
      <c r="O146" t="str">
        <f ca="1">IFERROR(INDEX(Intrim!$F$4:$F$201,P146),"")</f>
        <v/>
      </c>
      <c r="P146" t="e">
        <f ca="1">MATCH(intrim2!N146,OFFSET(Intrim!$G$4,P145,0):'Intrim'!$G$201,0)+P145</f>
        <v>#N/A</v>
      </c>
      <c r="V146">
        <v>141</v>
      </c>
      <c r="W146" t="str">
        <f t="shared" si="20"/>
        <v/>
      </c>
      <c r="X146" t="str">
        <f>IF(W146="","",COUNTIF($W$6:W146,W146))</f>
        <v/>
      </c>
      <c r="Y146" t="e">
        <f t="shared" si="21"/>
        <v>#N/A</v>
      </c>
      <c r="Z146" t="e">
        <f t="shared" si="22"/>
        <v>#N/A</v>
      </c>
      <c r="AA146" t="e">
        <f t="shared" si="23"/>
        <v>#N/A</v>
      </c>
      <c r="AB146" t="e">
        <f>VLOOKUP(Z146,Intrim!R:Z,9,0)</f>
        <v>#N/A</v>
      </c>
    </row>
    <row r="147" spans="1:28" x14ac:dyDescent="0.25">
      <c r="A147" t="str">
        <f t="shared" si="24"/>
        <v>139</v>
      </c>
      <c r="B147">
        <f>COUNTIF($C$6:C147,C147)</f>
        <v>139</v>
      </c>
      <c r="C147" t="str">
        <f t="shared" si="18"/>
        <v/>
      </c>
      <c r="D147" t="str">
        <f ca="1">IFERROR(INDEX(Intrim!$R$4:$R$401,E147),"")</f>
        <v/>
      </c>
      <c r="E147" t="e">
        <f ca="1">MATCH(intrim2!C147,OFFSET(Intrim!$S$4,E146,0):'Intrim'!$S$401,0)+E146</f>
        <v>#N/A</v>
      </c>
      <c r="L147" t="str">
        <f t="shared" si="25"/>
        <v>140</v>
      </c>
      <c r="M147">
        <f>COUNTIF($N$6:N147,N147)</f>
        <v>140</v>
      </c>
      <c r="N147" t="str">
        <f t="shared" si="19"/>
        <v/>
      </c>
      <c r="O147" t="str">
        <f ca="1">IFERROR(INDEX(Intrim!$F$4:$F$201,P147),"")</f>
        <v/>
      </c>
      <c r="P147" t="e">
        <f ca="1">MATCH(intrim2!N147,OFFSET(Intrim!$G$4,P146,0):'Intrim'!$G$201,0)+P146</f>
        <v>#N/A</v>
      </c>
      <c r="V147">
        <v>142</v>
      </c>
      <c r="W147" t="str">
        <f t="shared" si="20"/>
        <v/>
      </c>
      <c r="X147" t="str">
        <f>IF(W147="","",COUNTIF($W$6:W147,W147))</f>
        <v/>
      </c>
      <c r="Y147" t="e">
        <f t="shared" si="21"/>
        <v>#N/A</v>
      </c>
      <c r="Z147" t="e">
        <f t="shared" si="22"/>
        <v>#N/A</v>
      </c>
      <c r="AA147" t="e">
        <f t="shared" si="23"/>
        <v>#N/A</v>
      </c>
      <c r="AB147" t="e">
        <f>VLOOKUP(Z147,Intrim!R:Z,9,0)</f>
        <v>#N/A</v>
      </c>
    </row>
    <row r="148" spans="1:28" x14ac:dyDescent="0.25">
      <c r="A148" t="str">
        <f t="shared" si="24"/>
        <v>140</v>
      </c>
      <c r="B148">
        <f>COUNTIF($C$6:C148,C148)</f>
        <v>140</v>
      </c>
      <c r="C148" t="str">
        <f t="shared" si="18"/>
        <v/>
      </c>
      <c r="D148" t="str">
        <f ca="1">IFERROR(INDEX(Intrim!$R$4:$R$401,E148),"")</f>
        <v/>
      </c>
      <c r="E148" t="e">
        <f ca="1">MATCH(intrim2!C148,OFFSET(Intrim!$S$4,E147,0):'Intrim'!$S$401,0)+E147</f>
        <v>#N/A</v>
      </c>
      <c r="L148" t="str">
        <f t="shared" si="25"/>
        <v>141</v>
      </c>
      <c r="M148">
        <f>COUNTIF($N$6:N148,N148)</f>
        <v>141</v>
      </c>
      <c r="N148" t="str">
        <f t="shared" si="19"/>
        <v/>
      </c>
      <c r="O148" t="str">
        <f ca="1">IFERROR(INDEX(Intrim!$F$4:$F$201,P148),"")</f>
        <v/>
      </c>
      <c r="P148" t="e">
        <f ca="1">MATCH(intrim2!N148,OFFSET(Intrim!$G$4,P147,0):'Intrim'!$G$201,0)+P147</f>
        <v>#N/A</v>
      </c>
      <c r="V148">
        <v>143</v>
      </c>
      <c r="W148" t="str">
        <f t="shared" si="20"/>
        <v/>
      </c>
      <c r="X148" t="str">
        <f>IF(W148="","",COUNTIF($W$6:W148,W148))</f>
        <v/>
      </c>
      <c r="Y148" t="e">
        <f t="shared" si="21"/>
        <v>#N/A</v>
      </c>
      <c r="Z148" t="e">
        <f t="shared" si="22"/>
        <v>#N/A</v>
      </c>
      <c r="AA148" t="e">
        <f t="shared" si="23"/>
        <v>#N/A</v>
      </c>
      <c r="AB148" t="e">
        <f>VLOOKUP(Z148,Intrim!R:Z,9,0)</f>
        <v>#N/A</v>
      </c>
    </row>
    <row r="149" spans="1:28" x14ac:dyDescent="0.25">
      <c r="A149" t="str">
        <f t="shared" si="24"/>
        <v>141</v>
      </c>
      <c r="B149">
        <f>COUNTIF($C$6:C149,C149)</f>
        <v>141</v>
      </c>
      <c r="C149" t="str">
        <f t="shared" si="18"/>
        <v/>
      </c>
      <c r="D149" t="str">
        <f ca="1">IFERROR(INDEX(Intrim!$R$4:$R$401,E149),"")</f>
        <v/>
      </c>
      <c r="E149" t="e">
        <f ca="1">MATCH(intrim2!C149,OFFSET(Intrim!$S$4,E148,0):'Intrim'!$S$401,0)+E148</f>
        <v>#N/A</v>
      </c>
      <c r="L149" t="str">
        <f t="shared" si="25"/>
        <v>142</v>
      </c>
      <c r="M149">
        <f>COUNTIF($N$6:N149,N149)</f>
        <v>142</v>
      </c>
      <c r="N149" t="str">
        <f t="shared" si="19"/>
        <v/>
      </c>
      <c r="O149" t="str">
        <f ca="1">IFERROR(INDEX(Intrim!$F$4:$F$201,P149),"")</f>
        <v/>
      </c>
      <c r="P149" t="e">
        <f ca="1">MATCH(intrim2!N149,OFFSET(Intrim!$G$4,P148,0):'Intrim'!$G$201,0)+P148</f>
        <v>#N/A</v>
      </c>
      <c r="V149">
        <v>144</v>
      </c>
      <c r="W149" t="str">
        <f t="shared" si="20"/>
        <v/>
      </c>
      <c r="X149" t="str">
        <f>IF(W149="","",COUNTIF($W$6:W149,W149))</f>
        <v/>
      </c>
      <c r="Y149" t="e">
        <f t="shared" si="21"/>
        <v>#N/A</v>
      </c>
      <c r="Z149" t="e">
        <f t="shared" si="22"/>
        <v>#N/A</v>
      </c>
      <c r="AA149" t="e">
        <f t="shared" si="23"/>
        <v>#N/A</v>
      </c>
      <c r="AB149" t="e">
        <f>VLOOKUP(Z149,Intrim!R:Z,9,0)</f>
        <v>#N/A</v>
      </c>
    </row>
    <row r="150" spans="1:28" x14ac:dyDescent="0.25">
      <c r="A150" t="str">
        <f t="shared" si="24"/>
        <v>142</v>
      </c>
      <c r="B150">
        <f>COUNTIF($C$6:C150,C150)</f>
        <v>142</v>
      </c>
      <c r="C150" t="str">
        <f t="shared" si="18"/>
        <v/>
      </c>
      <c r="D150" t="str">
        <f ca="1">IFERROR(INDEX(Intrim!$R$4:$R$401,E150),"")</f>
        <v/>
      </c>
      <c r="E150" t="e">
        <f ca="1">MATCH(intrim2!C150,OFFSET(Intrim!$S$4,E149,0):'Intrim'!$S$401,0)+E149</f>
        <v>#N/A</v>
      </c>
      <c r="L150" t="str">
        <f t="shared" si="25"/>
        <v>143</v>
      </c>
      <c r="M150">
        <f>COUNTIF($N$6:N150,N150)</f>
        <v>143</v>
      </c>
      <c r="N150" t="str">
        <f t="shared" si="19"/>
        <v/>
      </c>
      <c r="O150" t="str">
        <f ca="1">IFERROR(INDEX(Intrim!$F$4:$F$201,P150),"")</f>
        <v/>
      </c>
      <c r="P150" t="e">
        <f ca="1">MATCH(intrim2!N150,OFFSET(Intrim!$G$4,P149,0):'Intrim'!$G$201,0)+P149</f>
        <v>#N/A</v>
      </c>
      <c r="V150">
        <v>145</v>
      </c>
      <c r="W150" t="str">
        <f t="shared" si="20"/>
        <v/>
      </c>
      <c r="X150" t="str">
        <f>IF(W150="","",COUNTIF($W$6:W150,W150))</f>
        <v/>
      </c>
      <c r="Y150" t="e">
        <f t="shared" si="21"/>
        <v>#N/A</v>
      </c>
      <c r="Z150" t="e">
        <f t="shared" si="22"/>
        <v>#N/A</v>
      </c>
      <c r="AA150" t="e">
        <f t="shared" si="23"/>
        <v>#N/A</v>
      </c>
      <c r="AB150" t="e">
        <f>VLOOKUP(Z150,Intrim!R:Z,9,0)</f>
        <v>#N/A</v>
      </c>
    </row>
    <row r="151" spans="1:28" x14ac:dyDescent="0.25">
      <c r="A151" t="str">
        <f t="shared" si="24"/>
        <v>143</v>
      </c>
      <c r="B151">
        <f>COUNTIF($C$6:C151,C151)</f>
        <v>143</v>
      </c>
      <c r="C151" t="str">
        <f t="shared" si="18"/>
        <v/>
      </c>
      <c r="D151" t="str">
        <f ca="1">IFERROR(INDEX(Intrim!$R$4:$R$401,E151),"")</f>
        <v/>
      </c>
      <c r="E151" t="e">
        <f ca="1">MATCH(intrim2!C151,OFFSET(Intrim!$S$4,E150,0):'Intrim'!$S$401,0)+E150</f>
        <v>#N/A</v>
      </c>
      <c r="L151" t="str">
        <f t="shared" si="25"/>
        <v>144</v>
      </c>
      <c r="M151">
        <f>COUNTIF($N$6:N151,N151)</f>
        <v>144</v>
      </c>
      <c r="N151" t="str">
        <f t="shared" si="19"/>
        <v/>
      </c>
      <c r="O151" t="str">
        <f ca="1">IFERROR(INDEX(Intrim!$F$4:$F$201,P151),"")</f>
        <v/>
      </c>
      <c r="P151" t="e">
        <f ca="1">MATCH(intrim2!N151,OFFSET(Intrim!$G$4,P150,0):'Intrim'!$G$201,0)+P150</f>
        <v>#N/A</v>
      </c>
      <c r="V151">
        <v>146</v>
      </c>
      <c r="W151" t="str">
        <f t="shared" si="20"/>
        <v/>
      </c>
      <c r="X151" t="str">
        <f>IF(W151="","",COUNTIF($W$6:W151,W151))</f>
        <v/>
      </c>
      <c r="Y151" t="e">
        <f t="shared" si="21"/>
        <v>#N/A</v>
      </c>
      <c r="Z151" t="e">
        <f t="shared" si="22"/>
        <v>#N/A</v>
      </c>
      <c r="AA151" t="e">
        <f t="shared" si="23"/>
        <v>#N/A</v>
      </c>
      <c r="AB151" t="e">
        <f>VLOOKUP(Z151,Intrim!R:Z,9,0)</f>
        <v>#N/A</v>
      </c>
    </row>
    <row r="152" spans="1:28" x14ac:dyDescent="0.25">
      <c r="A152" t="str">
        <f t="shared" si="24"/>
        <v>144</v>
      </c>
      <c r="B152">
        <f>COUNTIF($C$6:C152,C152)</f>
        <v>144</v>
      </c>
      <c r="C152" t="str">
        <f t="shared" si="18"/>
        <v/>
      </c>
      <c r="D152" t="str">
        <f ca="1">IFERROR(INDEX(Intrim!$R$4:$R$401,E152),"")</f>
        <v/>
      </c>
      <c r="E152" t="e">
        <f ca="1">MATCH(intrim2!C152,OFFSET(Intrim!$S$4,E151,0):'Intrim'!$S$401,0)+E151</f>
        <v>#N/A</v>
      </c>
      <c r="L152" t="str">
        <f t="shared" si="25"/>
        <v>145</v>
      </c>
      <c r="M152">
        <f>COUNTIF($N$6:N152,N152)</f>
        <v>145</v>
      </c>
      <c r="N152" t="str">
        <f t="shared" si="19"/>
        <v/>
      </c>
      <c r="O152" t="str">
        <f ca="1">IFERROR(INDEX(Intrim!$F$4:$F$201,P152),"")</f>
        <v/>
      </c>
      <c r="P152" t="e">
        <f ca="1">MATCH(intrim2!N152,OFFSET(Intrim!$G$4,P151,0):'Intrim'!$G$201,0)+P151</f>
        <v>#N/A</v>
      </c>
      <c r="V152">
        <v>147</v>
      </c>
      <c r="W152" t="str">
        <f t="shared" si="20"/>
        <v/>
      </c>
      <c r="X152" t="str">
        <f>IF(W152="","",COUNTIF($W$6:W152,W152))</f>
        <v/>
      </c>
      <c r="Y152" t="e">
        <f t="shared" si="21"/>
        <v>#N/A</v>
      </c>
      <c r="Z152" t="e">
        <f t="shared" si="22"/>
        <v>#N/A</v>
      </c>
      <c r="AA152" t="e">
        <f t="shared" si="23"/>
        <v>#N/A</v>
      </c>
      <c r="AB152" t="e">
        <f>VLOOKUP(Z152,Intrim!R:Z,9,0)</f>
        <v>#N/A</v>
      </c>
    </row>
    <row r="153" spans="1:28" x14ac:dyDescent="0.25">
      <c r="A153" t="str">
        <f t="shared" si="24"/>
        <v>145</v>
      </c>
      <c r="B153">
        <f>COUNTIF($C$6:C153,C153)</f>
        <v>145</v>
      </c>
      <c r="C153" t="str">
        <f t="shared" si="18"/>
        <v/>
      </c>
      <c r="D153" t="str">
        <f ca="1">IFERROR(INDEX(Intrim!$R$4:$R$401,E153),"")</f>
        <v/>
      </c>
      <c r="E153" t="e">
        <f ca="1">MATCH(intrim2!C153,OFFSET(Intrim!$S$4,E152,0):'Intrim'!$S$401,0)+E152</f>
        <v>#N/A</v>
      </c>
      <c r="L153" t="str">
        <f t="shared" si="25"/>
        <v>146</v>
      </c>
      <c r="M153">
        <f>COUNTIF($N$6:N153,N153)</f>
        <v>146</v>
      </c>
      <c r="N153" t="str">
        <f t="shared" si="19"/>
        <v/>
      </c>
      <c r="O153" t="str">
        <f ca="1">IFERROR(INDEX(Intrim!$F$4:$F$201,P153),"")</f>
        <v/>
      </c>
      <c r="P153" t="e">
        <f ca="1">MATCH(intrim2!N153,OFFSET(Intrim!$G$4,P152,0):'Intrim'!$G$201,0)+P152</f>
        <v>#N/A</v>
      </c>
      <c r="V153">
        <v>148</v>
      </c>
      <c r="W153" t="str">
        <f t="shared" si="20"/>
        <v/>
      </c>
      <c r="X153" t="str">
        <f>IF(W153="","",COUNTIF($W$6:W153,W153))</f>
        <v/>
      </c>
      <c r="Y153" t="e">
        <f t="shared" si="21"/>
        <v>#N/A</v>
      </c>
      <c r="Z153" t="e">
        <f t="shared" si="22"/>
        <v>#N/A</v>
      </c>
      <c r="AA153" t="e">
        <f t="shared" si="23"/>
        <v>#N/A</v>
      </c>
      <c r="AB153" t="e">
        <f>VLOOKUP(Z153,Intrim!R:Z,9,0)</f>
        <v>#N/A</v>
      </c>
    </row>
    <row r="154" spans="1:28" x14ac:dyDescent="0.25">
      <c r="A154" t="str">
        <f t="shared" si="24"/>
        <v>146</v>
      </c>
      <c r="B154">
        <f>COUNTIF($C$6:C154,C154)</f>
        <v>146</v>
      </c>
      <c r="C154" t="str">
        <f t="shared" si="18"/>
        <v/>
      </c>
      <c r="D154" t="str">
        <f ca="1">IFERROR(INDEX(Intrim!$R$4:$R$401,E154),"")</f>
        <v/>
      </c>
      <c r="E154" t="e">
        <f ca="1">MATCH(intrim2!C154,OFFSET(Intrim!$S$4,E153,0):'Intrim'!$S$401,0)+E153</f>
        <v>#N/A</v>
      </c>
      <c r="L154" t="str">
        <f t="shared" si="25"/>
        <v>147</v>
      </c>
      <c r="M154">
        <f>COUNTIF($N$6:N154,N154)</f>
        <v>147</v>
      </c>
      <c r="N154" t="str">
        <f t="shared" si="19"/>
        <v/>
      </c>
      <c r="O154" t="str">
        <f ca="1">IFERROR(INDEX(Intrim!$F$4:$F$201,P154),"")</f>
        <v/>
      </c>
      <c r="P154" t="e">
        <f ca="1">MATCH(intrim2!N154,OFFSET(Intrim!$G$4,P153,0):'Intrim'!$G$201,0)+P153</f>
        <v>#N/A</v>
      </c>
      <c r="V154">
        <v>149</v>
      </c>
      <c r="W154" t="str">
        <f t="shared" si="20"/>
        <v/>
      </c>
      <c r="X154" t="str">
        <f>IF(W154="","",COUNTIF($W$6:W154,W154))</f>
        <v/>
      </c>
      <c r="Y154" t="e">
        <f t="shared" si="21"/>
        <v>#N/A</v>
      </c>
      <c r="Z154" t="e">
        <f t="shared" si="22"/>
        <v>#N/A</v>
      </c>
      <c r="AA154" t="e">
        <f t="shared" si="23"/>
        <v>#N/A</v>
      </c>
      <c r="AB154" t="e">
        <f>VLOOKUP(Z154,Intrim!R:Z,9,0)</f>
        <v>#N/A</v>
      </c>
    </row>
    <row r="155" spans="1:28" x14ac:dyDescent="0.25">
      <c r="A155" t="str">
        <f t="shared" si="24"/>
        <v>147</v>
      </c>
      <c r="B155">
        <f>COUNTIF($C$6:C155,C155)</f>
        <v>147</v>
      </c>
      <c r="C155" t="str">
        <f t="shared" si="18"/>
        <v/>
      </c>
      <c r="D155" t="str">
        <f ca="1">IFERROR(INDEX(Intrim!$R$4:$R$401,E155),"")</f>
        <v/>
      </c>
      <c r="E155" t="e">
        <f ca="1">MATCH(intrim2!C155,OFFSET(Intrim!$S$4,E154,0):'Intrim'!$S$401,0)+E154</f>
        <v>#N/A</v>
      </c>
      <c r="L155" t="str">
        <f t="shared" si="25"/>
        <v>148</v>
      </c>
      <c r="M155">
        <f>COUNTIF($N$6:N155,N155)</f>
        <v>148</v>
      </c>
      <c r="N155" t="str">
        <f t="shared" si="19"/>
        <v/>
      </c>
      <c r="O155" t="str">
        <f ca="1">IFERROR(INDEX(Intrim!$F$4:$F$201,P155),"")</f>
        <v/>
      </c>
      <c r="P155" t="e">
        <f ca="1">MATCH(intrim2!N155,OFFSET(Intrim!$G$4,P154,0):'Intrim'!$G$201,0)+P154</f>
        <v>#N/A</v>
      </c>
      <c r="V155">
        <v>150</v>
      </c>
      <c r="W155" t="str">
        <f t="shared" si="20"/>
        <v/>
      </c>
      <c r="X155" t="str">
        <f>IF(W155="","",COUNTIF($W$6:W155,W155))</f>
        <v/>
      </c>
      <c r="Y155" t="e">
        <f t="shared" si="21"/>
        <v>#N/A</v>
      </c>
      <c r="Z155" t="e">
        <f t="shared" si="22"/>
        <v>#N/A</v>
      </c>
      <c r="AA155" t="e">
        <f t="shared" si="23"/>
        <v>#N/A</v>
      </c>
      <c r="AB155" t="e">
        <f>VLOOKUP(Z155,Intrim!R:Z,9,0)</f>
        <v>#N/A</v>
      </c>
    </row>
    <row r="156" spans="1:28" x14ac:dyDescent="0.25">
      <c r="A156" t="str">
        <f t="shared" si="24"/>
        <v>148</v>
      </c>
      <c r="B156">
        <f>COUNTIF($C$6:C156,C156)</f>
        <v>148</v>
      </c>
      <c r="C156" t="str">
        <f t="shared" si="18"/>
        <v/>
      </c>
      <c r="D156" t="str">
        <f ca="1">IFERROR(INDEX(Intrim!$R$4:$R$401,E156),"")</f>
        <v/>
      </c>
      <c r="E156" t="e">
        <f ca="1">MATCH(intrim2!C156,OFFSET(Intrim!$S$4,E155,0):'Intrim'!$S$401,0)+E155</f>
        <v>#N/A</v>
      </c>
      <c r="L156" t="str">
        <f t="shared" si="25"/>
        <v>149</v>
      </c>
      <c r="M156">
        <f>COUNTIF($N$6:N156,N156)</f>
        <v>149</v>
      </c>
      <c r="N156" t="str">
        <f t="shared" si="19"/>
        <v/>
      </c>
      <c r="O156" t="str">
        <f ca="1">IFERROR(INDEX(Intrim!$F$4:$F$201,P156),"")</f>
        <v/>
      </c>
      <c r="P156" t="e">
        <f ca="1">MATCH(intrim2!N156,OFFSET(Intrim!$G$4,P155,0):'Intrim'!$G$201,0)+P155</f>
        <v>#N/A</v>
      </c>
      <c r="V156">
        <v>151</v>
      </c>
      <c r="W156" t="str">
        <f t="shared" si="20"/>
        <v/>
      </c>
      <c r="X156" t="str">
        <f>IF(W156="","",COUNTIF($W$6:W156,W156))</f>
        <v/>
      </c>
      <c r="Y156" t="e">
        <f t="shared" si="21"/>
        <v>#N/A</v>
      </c>
      <c r="Z156" t="e">
        <f t="shared" si="22"/>
        <v>#N/A</v>
      </c>
      <c r="AA156" t="e">
        <f t="shared" si="23"/>
        <v>#N/A</v>
      </c>
      <c r="AB156" t="e">
        <f>VLOOKUP(Z156,Intrim!R:Z,9,0)</f>
        <v>#N/A</v>
      </c>
    </row>
    <row r="157" spans="1:28" x14ac:dyDescent="0.25">
      <c r="A157" t="str">
        <f t="shared" si="24"/>
        <v>149</v>
      </c>
      <c r="B157">
        <f>COUNTIF($C$6:C157,C157)</f>
        <v>149</v>
      </c>
      <c r="C157" t="str">
        <f t="shared" si="18"/>
        <v/>
      </c>
      <c r="D157" t="str">
        <f ca="1">IFERROR(INDEX(Intrim!$R$4:$R$401,E157),"")</f>
        <v/>
      </c>
      <c r="E157" t="e">
        <f ca="1">MATCH(intrim2!C157,OFFSET(Intrim!$S$4,E156,0):'Intrim'!$S$401,0)+E156</f>
        <v>#N/A</v>
      </c>
      <c r="L157" t="str">
        <f t="shared" si="25"/>
        <v>150</v>
      </c>
      <c r="M157">
        <f>COUNTIF($N$6:N157,N157)</f>
        <v>150</v>
      </c>
      <c r="N157" t="str">
        <f t="shared" si="19"/>
        <v/>
      </c>
      <c r="O157" t="str">
        <f ca="1">IFERROR(INDEX(Intrim!$F$4:$F$201,P157),"")</f>
        <v/>
      </c>
      <c r="P157" t="e">
        <f ca="1">MATCH(intrim2!N157,OFFSET(Intrim!$G$4,P156,0):'Intrim'!$G$201,0)+P156</f>
        <v>#N/A</v>
      </c>
      <c r="V157">
        <v>152</v>
      </c>
      <c r="W157" t="str">
        <f t="shared" si="20"/>
        <v/>
      </c>
      <c r="X157" t="str">
        <f>IF(W157="","",COUNTIF($W$6:W157,W157))</f>
        <v/>
      </c>
      <c r="Y157" t="e">
        <f t="shared" si="21"/>
        <v>#N/A</v>
      </c>
      <c r="Z157" t="e">
        <f t="shared" si="22"/>
        <v>#N/A</v>
      </c>
      <c r="AA157" t="e">
        <f t="shared" si="23"/>
        <v>#N/A</v>
      </c>
      <c r="AB157" t="e">
        <f>VLOOKUP(Z157,Intrim!R:Z,9,0)</f>
        <v>#N/A</v>
      </c>
    </row>
    <row r="158" spans="1:28" x14ac:dyDescent="0.25">
      <c r="A158" t="str">
        <f t="shared" si="24"/>
        <v>150</v>
      </c>
      <c r="B158">
        <f>COUNTIF($C$6:C158,C158)</f>
        <v>150</v>
      </c>
      <c r="C158" t="str">
        <f t="shared" si="18"/>
        <v/>
      </c>
      <c r="D158" t="str">
        <f ca="1">IFERROR(INDEX(Intrim!$R$4:$R$401,E158),"")</f>
        <v/>
      </c>
      <c r="E158" t="e">
        <f ca="1">MATCH(intrim2!C158,OFFSET(Intrim!$S$4,E157,0):'Intrim'!$S$401,0)+E157</f>
        <v>#N/A</v>
      </c>
      <c r="L158" t="str">
        <f t="shared" si="25"/>
        <v>151</v>
      </c>
      <c r="M158">
        <f>COUNTIF($N$6:N158,N158)</f>
        <v>151</v>
      </c>
      <c r="N158" t="str">
        <f t="shared" si="19"/>
        <v/>
      </c>
      <c r="O158" t="str">
        <f ca="1">IFERROR(INDEX(Intrim!$F$4:$F$201,P158),"")</f>
        <v/>
      </c>
      <c r="P158" t="e">
        <f ca="1">MATCH(intrim2!N158,OFFSET(Intrim!$G$4,P157,0):'Intrim'!$G$201,0)+P157</f>
        <v>#N/A</v>
      </c>
      <c r="V158">
        <v>153</v>
      </c>
      <c r="W158" t="str">
        <f t="shared" si="20"/>
        <v/>
      </c>
      <c r="X158" t="str">
        <f>IF(W158="","",COUNTIF($W$6:W158,W158))</f>
        <v/>
      </c>
      <c r="Y158" t="e">
        <f t="shared" si="21"/>
        <v>#N/A</v>
      </c>
      <c r="Z158" t="e">
        <f t="shared" si="22"/>
        <v>#N/A</v>
      </c>
      <c r="AA158" t="e">
        <f t="shared" si="23"/>
        <v>#N/A</v>
      </c>
      <c r="AB158" t="e">
        <f>VLOOKUP(Z158,Intrim!R:Z,9,0)</f>
        <v>#N/A</v>
      </c>
    </row>
    <row r="159" spans="1:28" x14ac:dyDescent="0.25">
      <c r="A159" t="str">
        <f t="shared" si="24"/>
        <v>151</v>
      </c>
      <c r="B159">
        <f>COUNTIF($C$6:C159,C159)</f>
        <v>151</v>
      </c>
      <c r="C159" t="str">
        <f t="shared" si="18"/>
        <v/>
      </c>
      <c r="D159" t="str">
        <f ca="1">IFERROR(INDEX(Intrim!$R$4:$R$401,E159),"")</f>
        <v/>
      </c>
      <c r="E159" t="e">
        <f ca="1">MATCH(intrim2!C159,OFFSET(Intrim!$S$4,E158,0):'Intrim'!$S$401,0)+E158</f>
        <v>#N/A</v>
      </c>
      <c r="L159" t="str">
        <f t="shared" si="25"/>
        <v>152</v>
      </c>
      <c r="M159">
        <f>COUNTIF($N$6:N159,N159)</f>
        <v>152</v>
      </c>
      <c r="N159" t="str">
        <f t="shared" si="19"/>
        <v/>
      </c>
      <c r="O159" t="str">
        <f ca="1">IFERROR(INDEX(Intrim!$F$4:$F$201,P159),"")</f>
        <v/>
      </c>
      <c r="P159" t="e">
        <f ca="1">MATCH(intrim2!N159,OFFSET(Intrim!$G$4,P158,0):'Intrim'!$G$201,0)+P158</f>
        <v>#N/A</v>
      </c>
      <c r="V159">
        <v>154</v>
      </c>
      <c r="W159" t="str">
        <f t="shared" si="20"/>
        <v/>
      </c>
      <c r="X159" t="str">
        <f>IF(W159="","",COUNTIF($W$6:W159,W159))</f>
        <v/>
      </c>
      <c r="Y159" t="e">
        <f t="shared" si="21"/>
        <v>#N/A</v>
      </c>
      <c r="Z159" t="e">
        <f t="shared" si="22"/>
        <v>#N/A</v>
      </c>
      <c r="AA159" t="e">
        <f t="shared" si="23"/>
        <v>#N/A</v>
      </c>
      <c r="AB159" t="e">
        <f>VLOOKUP(Z159,Intrim!R:Z,9,0)</f>
        <v>#N/A</v>
      </c>
    </row>
    <row r="160" spans="1:28" x14ac:dyDescent="0.25">
      <c r="A160" t="str">
        <f t="shared" si="24"/>
        <v>152</v>
      </c>
      <c r="B160">
        <f>COUNTIF($C$6:C160,C160)</f>
        <v>152</v>
      </c>
      <c r="C160" t="str">
        <f t="shared" si="18"/>
        <v/>
      </c>
      <c r="D160" t="str">
        <f ca="1">IFERROR(INDEX(Intrim!$R$4:$R$401,E160),"")</f>
        <v/>
      </c>
      <c r="E160" t="e">
        <f ca="1">MATCH(intrim2!C160,OFFSET(Intrim!$S$4,E159,0):'Intrim'!$S$401,0)+E159</f>
        <v>#N/A</v>
      </c>
      <c r="L160" t="str">
        <f t="shared" si="25"/>
        <v>153</v>
      </c>
      <c r="M160">
        <f>COUNTIF($N$6:N160,N160)</f>
        <v>153</v>
      </c>
      <c r="N160" t="str">
        <f t="shared" si="19"/>
        <v/>
      </c>
      <c r="O160" t="str">
        <f ca="1">IFERROR(INDEX(Intrim!$F$4:$F$201,P160),"")</f>
        <v/>
      </c>
      <c r="P160" t="e">
        <f ca="1">MATCH(intrim2!N160,OFFSET(Intrim!$G$4,P159,0):'Intrim'!$G$201,0)+P159</f>
        <v>#N/A</v>
      </c>
      <c r="V160">
        <v>155</v>
      </c>
      <c r="W160" t="str">
        <f t="shared" si="20"/>
        <v/>
      </c>
      <c r="X160" t="str">
        <f>IF(W160="","",COUNTIF($W$6:W160,W160))</f>
        <v/>
      </c>
      <c r="Y160" t="e">
        <f t="shared" si="21"/>
        <v>#N/A</v>
      </c>
      <c r="Z160" t="e">
        <f t="shared" si="22"/>
        <v>#N/A</v>
      </c>
      <c r="AA160" t="e">
        <f t="shared" si="23"/>
        <v>#N/A</v>
      </c>
      <c r="AB160" t="e">
        <f>VLOOKUP(Z160,Intrim!R:Z,9,0)</f>
        <v>#N/A</v>
      </c>
    </row>
    <row r="161" spans="1:28" x14ac:dyDescent="0.25">
      <c r="A161" t="str">
        <f t="shared" si="24"/>
        <v>153</v>
      </c>
      <c r="B161">
        <f>COUNTIF($C$6:C161,C161)</f>
        <v>153</v>
      </c>
      <c r="C161" t="str">
        <f t="shared" si="18"/>
        <v/>
      </c>
      <c r="D161" t="str">
        <f ca="1">IFERROR(INDEX(Intrim!$R$4:$R$401,E161),"")</f>
        <v/>
      </c>
      <c r="E161" t="e">
        <f ca="1">MATCH(intrim2!C161,OFFSET(Intrim!$S$4,E160,0):'Intrim'!$S$401,0)+E160</f>
        <v>#N/A</v>
      </c>
      <c r="L161" t="str">
        <f t="shared" si="25"/>
        <v>154</v>
      </c>
      <c r="M161">
        <f>COUNTIF($N$6:N161,N161)</f>
        <v>154</v>
      </c>
      <c r="N161" t="str">
        <f t="shared" si="19"/>
        <v/>
      </c>
      <c r="O161" t="str">
        <f ca="1">IFERROR(INDEX(Intrim!$F$4:$F$201,P161),"")</f>
        <v/>
      </c>
      <c r="P161" t="e">
        <f ca="1">MATCH(intrim2!N161,OFFSET(Intrim!$G$4,P160,0):'Intrim'!$G$201,0)+P160</f>
        <v>#N/A</v>
      </c>
      <c r="V161">
        <v>156</v>
      </c>
      <c r="W161" t="str">
        <f t="shared" si="20"/>
        <v/>
      </c>
      <c r="X161" t="str">
        <f>IF(W161="","",COUNTIF($W$6:W161,W161))</f>
        <v/>
      </c>
      <c r="Y161" t="e">
        <f t="shared" si="21"/>
        <v>#N/A</v>
      </c>
      <c r="Z161" t="e">
        <f t="shared" si="22"/>
        <v>#N/A</v>
      </c>
      <c r="AA161" t="e">
        <f t="shared" si="23"/>
        <v>#N/A</v>
      </c>
      <c r="AB161" t="e">
        <f>VLOOKUP(Z161,Intrim!R:Z,9,0)</f>
        <v>#N/A</v>
      </c>
    </row>
    <row r="162" spans="1:28" x14ac:dyDescent="0.25">
      <c r="A162" t="str">
        <f t="shared" si="24"/>
        <v>154</v>
      </c>
      <c r="B162">
        <f>COUNTIF($C$6:C162,C162)</f>
        <v>154</v>
      </c>
      <c r="C162" t="str">
        <f t="shared" si="18"/>
        <v/>
      </c>
      <c r="D162" t="str">
        <f ca="1">IFERROR(INDEX(Intrim!$R$4:$R$401,E162),"")</f>
        <v/>
      </c>
      <c r="E162" t="e">
        <f ca="1">MATCH(intrim2!C162,OFFSET(Intrim!$S$4,E161,0):'Intrim'!$S$401,0)+E161</f>
        <v>#N/A</v>
      </c>
      <c r="L162" t="str">
        <f t="shared" si="25"/>
        <v>155</v>
      </c>
      <c r="M162">
        <f>COUNTIF($N$6:N162,N162)</f>
        <v>155</v>
      </c>
      <c r="N162" t="str">
        <f t="shared" si="19"/>
        <v/>
      </c>
      <c r="O162" t="str">
        <f ca="1">IFERROR(INDEX(Intrim!$F$4:$F$201,P162),"")</f>
        <v/>
      </c>
      <c r="P162" t="e">
        <f ca="1">MATCH(intrim2!N162,OFFSET(Intrim!$G$4,P161,0):'Intrim'!$G$201,0)+P161</f>
        <v>#N/A</v>
      </c>
      <c r="V162">
        <v>157</v>
      </c>
      <c r="W162" t="str">
        <f t="shared" si="20"/>
        <v/>
      </c>
      <c r="X162" t="str">
        <f>IF(W162="","",COUNTIF($W$6:W162,W162))</f>
        <v/>
      </c>
      <c r="Y162" t="e">
        <f t="shared" si="21"/>
        <v>#N/A</v>
      </c>
      <c r="Z162" t="e">
        <f t="shared" si="22"/>
        <v>#N/A</v>
      </c>
      <c r="AA162" t="e">
        <f t="shared" si="23"/>
        <v>#N/A</v>
      </c>
      <c r="AB162" t="e">
        <f>VLOOKUP(Z162,Intrim!R:Z,9,0)</f>
        <v>#N/A</v>
      </c>
    </row>
    <row r="163" spans="1:28" x14ac:dyDescent="0.25">
      <c r="A163" t="str">
        <f t="shared" si="24"/>
        <v>155</v>
      </c>
      <c r="B163">
        <f>COUNTIF($C$6:C163,C163)</f>
        <v>155</v>
      </c>
      <c r="C163" t="str">
        <f t="shared" si="18"/>
        <v/>
      </c>
      <c r="D163" t="str">
        <f ca="1">IFERROR(INDEX(Intrim!$R$4:$R$401,E163),"")</f>
        <v/>
      </c>
      <c r="E163" t="e">
        <f ca="1">MATCH(intrim2!C163,OFFSET(Intrim!$S$4,E162,0):'Intrim'!$S$401,0)+E162</f>
        <v>#N/A</v>
      </c>
      <c r="L163" t="str">
        <f t="shared" si="25"/>
        <v>156</v>
      </c>
      <c r="M163">
        <f>COUNTIF($N$6:N163,N163)</f>
        <v>156</v>
      </c>
      <c r="N163" t="str">
        <f t="shared" si="19"/>
        <v/>
      </c>
      <c r="O163" t="str">
        <f ca="1">IFERROR(INDEX(Intrim!$F$4:$F$201,P163),"")</f>
        <v/>
      </c>
      <c r="P163" t="e">
        <f ca="1">MATCH(intrim2!N163,OFFSET(Intrim!$G$4,P162,0):'Intrim'!$G$201,0)+P162</f>
        <v>#N/A</v>
      </c>
      <c r="V163">
        <v>158</v>
      </c>
      <c r="W163" t="str">
        <f t="shared" si="20"/>
        <v/>
      </c>
      <c r="X163" t="str">
        <f>IF(W163="","",COUNTIF($W$6:W163,W163))</f>
        <v/>
      </c>
      <c r="Y163" t="e">
        <f t="shared" si="21"/>
        <v>#N/A</v>
      </c>
      <c r="Z163" t="e">
        <f t="shared" si="22"/>
        <v>#N/A</v>
      </c>
      <c r="AA163" t="e">
        <f t="shared" si="23"/>
        <v>#N/A</v>
      </c>
      <c r="AB163" t="e">
        <f>VLOOKUP(Z163,Intrim!R:Z,9,0)</f>
        <v>#N/A</v>
      </c>
    </row>
    <row r="164" spans="1:28" x14ac:dyDescent="0.25">
      <c r="A164" t="str">
        <f t="shared" si="24"/>
        <v>156</v>
      </c>
      <c r="B164">
        <f>COUNTIF($C$6:C164,C164)</f>
        <v>156</v>
      </c>
      <c r="C164" t="str">
        <f t="shared" si="18"/>
        <v/>
      </c>
      <c r="D164" t="str">
        <f ca="1">IFERROR(INDEX(Intrim!$R$4:$R$401,E164),"")</f>
        <v/>
      </c>
      <c r="E164" t="e">
        <f ca="1">MATCH(intrim2!C164,OFFSET(Intrim!$S$4,E163,0):'Intrim'!$S$401,0)+E163</f>
        <v>#N/A</v>
      </c>
      <c r="L164" t="str">
        <f t="shared" si="25"/>
        <v>157</v>
      </c>
      <c r="M164">
        <f>COUNTIF($N$6:N164,N164)</f>
        <v>157</v>
      </c>
      <c r="N164" t="str">
        <f t="shared" si="19"/>
        <v/>
      </c>
      <c r="O164" t="str">
        <f ca="1">IFERROR(INDEX(Intrim!$F$4:$F$201,P164),"")</f>
        <v/>
      </c>
      <c r="P164" t="e">
        <f ca="1">MATCH(intrim2!N164,OFFSET(Intrim!$G$4,P163,0):'Intrim'!$G$201,0)+P163</f>
        <v>#N/A</v>
      </c>
      <c r="V164">
        <v>159</v>
      </c>
      <c r="W164" t="str">
        <f t="shared" si="20"/>
        <v/>
      </c>
      <c r="X164" t="str">
        <f>IF(W164="","",COUNTIF($W$6:W164,W164))</f>
        <v/>
      </c>
      <c r="Y164" t="e">
        <f t="shared" si="21"/>
        <v>#N/A</v>
      </c>
      <c r="Z164" t="e">
        <f t="shared" si="22"/>
        <v>#N/A</v>
      </c>
      <c r="AA164" t="e">
        <f t="shared" si="23"/>
        <v>#N/A</v>
      </c>
      <c r="AB164" t="e">
        <f>VLOOKUP(Z164,Intrim!R:Z,9,0)</f>
        <v>#N/A</v>
      </c>
    </row>
    <row r="165" spans="1:28" x14ac:dyDescent="0.25">
      <c r="A165" t="str">
        <f t="shared" si="24"/>
        <v>157</v>
      </c>
      <c r="B165">
        <f>COUNTIF($C$6:C165,C165)</f>
        <v>157</v>
      </c>
      <c r="C165" t="str">
        <f t="shared" si="18"/>
        <v/>
      </c>
      <c r="D165" t="str">
        <f ca="1">IFERROR(INDEX(Intrim!$R$4:$R$401,E165),"")</f>
        <v/>
      </c>
      <c r="E165" t="e">
        <f ca="1">MATCH(intrim2!C165,OFFSET(Intrim!$S$4,E164,0):'Intrim'!$S$401,0)+E164</f>
        <v>#N/A</v>
      </c>
      <c r="L165" t="str">
        <f t="shared" si="25"/>
        <v>158</v>
      </c>
      <c r="M165">
        <f>COUNTIF($N$6:N165,N165)</f>
        <v>158</v>
      </c>
      <c r="N165" t="str">
        <f t="shared" si="19"/>
        <v/>
      </c>
      <c r="O165" t="str">
        <f ca="1">IFERROR(INDEX(Intrim!$F$4:$F$201,P165),"")</f>
        <v/>
      </c>
      <c r="P165" t="e">
        <f ca="1">MATCH(intrim2!N165,OFFSET(Intrim!$G$4,P164,0):'Intrim'!$G$201,0)+P164</f>
        <v>#N/A</v>
      </c>
      <c r="V165">
        <v>160</v>
      </c>
      <c r="W165" t="str">
        <f t="shared" si="20"/>
        <v/>
      </c>
      <c r="X165" t="str">
        <f>IF(W165="","",COUNTIF($W$6:W165,W165))</f>
        <v/>
      </c>
      <c r="Y165" t="e">
        <f t="shared" si="21"/>
        <v>#N/A</v>
      </c>
      <c r="Z165" t="e">
        <f t="shared" si="22"/>
        <v>#N/A</v>
      </c>
      <c r="AA165" t="e">
        <f t="shared" si="23"/>
        <v>#N/A</v>
      </c>
      <c r="AB165" t="e">
        <f>VLOOKUP(Z165,Intrim!R:Z,9,0)</f>
        <v>#N/A</v>
      </c>
    </row>
    <row r="166" spans="1:28" x14ac:dyDescent="0.25">
      <c r="A166" t="str">
        <f t="shared" si="24"/>
        <v>158</v>
      </c>
      <c r="B166">
        <f>COUNTIF($C$6:C166,C166)</f>
        <v>158</v>
      </c>
      <c r="C166" t="str">
        <f t="shared" si="18"/>
        <v/>
      </c>
      <c r="D166" t="str">
        <f ca="1">IFERROR(INDEX(Intrim!$R$4:$R$401,E166),"")</f>
        <v/>
      </c>
      <c r="E166" t="e">
        <f ca="1">MATCH(intrim2!C166,OFFSET(Intrim!$S$4,E165,0):'Intrim'!$S$401,0)+E165</f>
        <v>#N/A</v>
      </c>
      <c r="L166" t="str">
        <f t="shared" si="25"/>
        <v>159</v>
      </c>
      <c r="M166">
        <f>COUNTIF($N$6:N166,N166)</f>
        <v>159</v>
      </c>
      <c r="N166" t="str">
        <f t="shared" si="19"/>
        <v/>
      </c>
      <c r="O166" t="str">
        <f ca="1">IFERROR(INDEX(Intrim!$F$4:$F$201,P166),"")</f>
        <v/>
      </c>
      <c r="P166" t="e">
        <f ca="1">MATCH(intrim2!N166,OFFSET(Intrim!$G$4,P165,0):'Intrim'!$G$201,0)+P165</f>
        <v>#N/A</v>
      </c>
      <c r="V166">
        <v>161</v>
      </c>
      <c r="W166" t="str">
        <f t="shared" si="20"/>
        <v/>
      </c>
      <c r="X166" t="str">
        <f>IF(W166="","",COUNTIF($W$6:W166,W166))</f>
        <v/>
      </c>
      <c r="Y166" t="e">
        <f t="shared" si="21"/>
        <v>#N/A</v>
      </c>
      <c r="Z166" t="e">
        <f t="shared" si="22"/>
        <v>#N/A</v>
      </c>
      <c r="AA166" t="e">
        <f t="shared" si="23"/>
        <v>#N/A</v>
      </c>
      <c r="AB166" t="e">
        <f>VLOOKUP(Z166,Intrim!R:Z,9,0)</f>
        <v>#N/A</v>
      </c>
    </row>
    <row r="167" spans="1:28" x14ac:dyDescent="0.25">
      <c r="A167" t="str">
        <f t="shared" si="24"/>
        <v>159</v>
      </c>
      <c r="B167">
        <f>COUNTIF($C$6:C167,C167)</f>
        <v>159</v>
      </c>
      <c r="C167" t="str">
        <f t="shared" si="18"/>
        <v/>
      </c>
      <c r="D167" t="str">
        <f ca="1">IFERROR(INDEX(Intrim!$R$4:$R$401,E167),"")</f>
        <v/>
      </c>
      <c r="E167" t="e">
        <f ca="1">MATCH(intrim2!C167,OFFSET(Intrim!$S$4,E166,0):'Intrim'!$S$401,0)+E166</f>
        <v>#N/A</v>
      </c>
      <c r="L167" t="str">
        <f t="shared" si="25"/>
        <v>160</v>
      </c>
      <c r="M167">
        <f>COUNTIF($N$6:N167,N167)</f>
        <v>160</v>
      </c>
      <c r="N167" t="str">
        <f t="shared" si="19"/>
        <v/>
      </c>
      <c r="O167" t="str">
        <f ca="1">IFERROR(INDEX(Intrim!$F$4:$F$201,P167),"")</f>
        <v/>
      </c>
      <c r="P167" t="e">
        <f ca="1">MATCH(intrim2!N167,OFFSET(Intrim!$G$4,P166,0):'Intrim'!$G$201,0)+P166</f>
        <v>#N/A</v>
      </c>
      <c r="V167">
        <v>162</v>
      </c>
      <c r="W167" t="str">
        <f t="shared" si="20"/>
        <v/>
      </c>
      <c r="X167" t="str">
        <f>IF(W167="","",COUNTIF($W$6:W167,W167))</f>
        <v/>
      </c>
      <c r="Y167" t="e">
        <f t="shared" si="21"/>
        <v>#N/A</v>
      </c>
      <c r="Z167" t="e">
        <f t="shared" si="22"/>
        <v>#N/A</v>
      </c>
      <c r="AA167" t="e">
        <f t="shared" si="23"/>
        <v>#N/A</v>
      </c>
      <c r="AB167" t="e">
        <f>VLOOKUP(Z167,Intrim!R:Z,9,0)</f>
        <v>#N/A</v>
      </c>
    </row>
    <row r="168" spans="1:28" x14ac:dyDescent="0.25">
      <c r="A168" t="str">
        <f t="shared" si="24"/>
        <v>160</v>
      </c>
      <c r="B168">
        <f>COUNTIF($C$6:C168,C168)</f>
        <v>160</v>
      </c>
      <c r="C168" t="str">
        <f t="shared" si="18"/>
        <v/>
      </c>
      <c r="D168" t="str">
        <f ca="1">IFERROR(INDEX(Intrim!$R$4:$R$401,E168),"")</f>
        <v/>
      </c>
      <c r="E168" t="e">
        <f ca="1">MATCH(intrim2!C168,OFFSET(Intrim!$S$4,E167,0):'Intrim'!$S$401,0)+E167</f>
        <v>#N/A</v>
      </c>
      <c r="L168" t="str">
        <f t="shared" si="25"/>
        <v>161</v>
      </c>
      <c r="M168">
        <f>COUNTIF($N$6:N168,N168)</f>
        <v>161</v>
      </c>
      <c r="N168" t="str">
        <f t="shared" si="19"/>
        <v/>
      </c>
      <c r="O168" t="str">
        <f ca="1">IFERROR(INDEX(Intrim!$F$4:$F$201,P168),"")</f>
        <v/>
      </c>
      <c r="P168" t="e">
        <f ca="1">MATCH(intrim2!N168,OFFSET(Intrim!$G$4,P167,0):'Intrim'!$G$201,0)+P167</f>
        <v>#N/A</v>
      </c>
      <c r="V168">
        <v>163</v>
      </c>
      <c r="W168" t="str">
        <f t="shared" si="20"/>
        <v/>
      </c>
      <c r="X168" t="str">
        <f>IF(W168="","",COUNTIF($W$6:W168,W168))</f>
        <v/>
      </c>
      <c r="Y168" t="e">
        <f t="shared" si="21"/>
        <v>#N/A</v>
      </c>
      <c r="Z168" t="e">
        <f t="shared" si="22"/>
        <v>#N/A</v>
      </c>
      <c r="AA168" t="e">
        <f t="shared" si="23"/>
        <v>#N/A</v>
      </c>
      <c r="AB168" t="e">
        <f>VLOOKUP(Z168,Intrim!R:Z,9,0)</f>
        <v>#N/A</v>
      </c>
    </row>
    <row r="169" spans="1:28" x14ac:dyDescent="0.25">
      <c r="A169" t="str">
        <f t="shared" si="24"/>
        <v>161</v>
      </c>
      <c r="B169">
        <f>COUNTIF($C$6:C169,C169)</f>
        <v>161</v>
      </c>
      <c r="C169" t="str">
        <f t="shared" si="18"/>
        <v/>
      </c>
      <c r="D169" t="str">
        <f ca="1">IFERROR(INDEX(Intrim!$R$4:$R$401,E169),"")</f>
        <v/>
      </c>
      <c r="E169" t="e">
        <f ca="1">MATCH(intrim2!C169,OFFSET(Intrim!$S$4,E168,0):'Intrim'!$S$401,0)+E168</f>
        <v>#N/A</v>
      </c>
      <c r="L169" t="str">
        <f t="shared" si="25"/>
        <v>162</v>
      </c>
      <c r="M169">
        <f>COUNTIF($N$6:N169,N169)</f>
        <v>162</v>
      </c>
      <c r="N169" t="str">
        <f t="shared" si="19"/>
        <v/>
      </c>
      <c r="O169" t="str">
        <f ca="1">IFERROR(INDEX(Intrim!$F$4:$F$201,P169),"")</f>
        <v/>
      </c>
      <c r="P169" t="e">
        <f ca="1">MATCH(intrim2!N169,OFFSET(Intrim!$G$4,P168,0):'Intrim'!$G$201,0)+P168</f>
        <v>#N/A</v>
      </c>
      <c r="V169">
        <v>164</v>
      </c>
      <c r="W169" t="str">
        <f t="shared" si="20"/>
        <v/>
      </c>
      <c r="X169" t="str">
        <f>IF(W169="","",COUNTIF($W$6:W169,W169))</f>
        <v/>
      </c>
      <c r="Y169" t="e">
        <f t="shared" si="21"/>
        <v>#N/A</v>
      </c>
      <c r="Z169" t="e">
        <f t="shared" si="22"/>
        <v>#N/A</v>
      </c>
      <c r="AA169" t="e">
        <f t="shared" si="23"/>
        <v>#N/A</v>
      </c>
      <c r="AB169" t="e">
        <f>VLOOKUP(Z169,Intrim!R:Z,9,0)</f>
        <v>#N/A</v>
      </c>
    </row>
    <row r="170" spans="1:28" x14ac:dyDescent="0.25">
      <c r="A170" t="str">
        <f t="shared" si="24"/>
        <v>162</v>
      </c>
      <c r="B170">
        <f>COUNTIF($C$6:C170,C170)</f>
        <v>162</v>
      </c>
      <c r="C170" t="str">
        <f t="shared" si="18"/>
        <v/>
      </c>
      <c r="D170" t="str">
        <f ca="1">IFERROR(INDEX(Intrim!$R$4:$R$401,E170),"")</f>
        <v/>
      </c>
      <c r="E170" t="e">
        <f ca="1">MATCH(intrim2!C170,OFFSET(Intrim!$S$4,E169,0):'Intrim'!$S$401,0)+E169</f>
        <v>#N/A</v>
      </c>
      <c r="L170" t="str">
        <f t="shared" si="25"/>
        <v>163</v>
      </c>
      <c r="M170">
        <f>COUNTIF($N$6:N170,N170)</f>
        <v>163</v>
      </c>
      <c r="N170" t="str">
        <f t="shared" si="19"/>
        <v/>
      </c>
      <c r="O170" t="str">
        <f ca="1">IFERROR(INDEX(Intrim!$F$4:$F$201,P170),"")</f>
        <v/>
      </c>
      <c r="P170" t="e">
        <f ca="1">MATCH(intrim2!N170,OFFSET(Intrim!$G$4,P169,0):'Intrim'!$G$201,0)+P169</f>
        <v>#N/A</v>
      </c>
      <c r="V170">
        <v>165</v>
      </c>
      <c r="W170" t="str">
        <f t="shared" si="20"/>
        <v/>
      </c>
      <c r="X170" t="str">
        <f>IF(W170="","",COUNTIF($W$6:W170,W170))</f>
        <v/>
      </c>
      <c r="Y170" t="e">
        <f t="shared" si="21"/>
        <v>#N/A</v>
      </c>
      <c r="Z170" t="e">
        <f t="shared" si="22"/>
        <v>#N/A</v>
      </c>
      <c r="AA170" t="e">
        <f t="shared" si="23"/>
        <v>#N/A</v>
      </c>
      <c r="AB170" t="e">
        <f>VLOOKUP(Z170,Intrim!R:Z,9,0)</f>
        <v>#N/A</v>
      </c>
    </row>
    <row r="171" spans="1:28" x14ac:dyDescent="0.25">
      <c r="A171" t="str">
        <f t="shared" si="24"/>
        <v>163</v>
      </c>
      <c r="B171">
        <f>COUNTIF($C$6:C171,C171)</f>
        <v>163</v>
      </c>
      <c r="C171" t="str">
        <f t="shared" si="18"/>
        <v/>
      </c>
      <c r="D171" t="str">
        <f ca="1">IFERROR(INDEX(Intrim!$R$4:$R$401,E171),"")</f>
        <v/>
      </c>
      <c r="E171" t="e">
        <f ca="1">MATCH(intrim2!C171,OFFSET(Intrim!$S$4,E170,0):'Intrim'!$S$401,0)+E170</f>
        <v>#N/A</v>
      </c>
      <c r="L171" t="str">
        <f t="shared" si="25"/>
        <v>164</v>
      </c>
      <c r="M171">
        <f>COUNTIF($N$6:N171,N171)</f>
        <v>164</v>
      </c>
      <c r="N171" t="str">
        <f t="shared" si="19"/>
        <v/>
      </c>
      <c r="O171" t="str">
        <f ca="1">IFERROR(INDEX(Intrim!$F$4:$F$201,P171),"")</f>
        <v/>
      </c>
      <c r="P171" t="e">
        <f ca="1">MATCH(intrim2!N171,OFFSET(Intrim!$G$4,P170,0):'Intrim'!$G$201,0)+P170</f>
        <v>#N/A</v>
      </c>
      <c r="V171">
        <v>166</v>
      </c>
      <c r="W171" t="str">
        <f t="shared" si="20"/>
        <v/>
      </c>
      <c r="X171" t="str">
        <f>IF(W171="","",COUNTIF($W$6:W171,W171))</f>
        <v/>
      </c>
      <c r="Y171" t="e">
        <f t="shared" si="21"/>
        <v>#N/A</v>
      </c>
      <c r="Z171" t="e">
        <f t="shared" si="22"/>
        <v>#N/A</v>
      </c>
      <c r="AA171" t="e">
        <f t="shared" si="23"/>
        <v>#N/A</v>
      </c>
      <c r="AB171" t="e">
        <f>VLOOKUP(Z171,Intrim!R:Z,9,0)</f>
        <v>#N/A</v>
      </c>
    </row>
    <row r="172" spans="1:28" x14ac:dyDescent="0.25">
      <c r="A172" t="str">
        <f t="shared" si="24"/>
        <v>164</v>
      </c>
      <c r="B172">
        <f>COUNTIF($C$6:C172,C172)</f>
        <v>164</v>
      </c>
      <c r="C172" t="str">
        <f t="shared" si="18"/>
        <v/>
      </c>
      <c r="D172" t="str">
        <f ca="1">IFERROR(INDEX(Intrim!$R$4:$R$401,E172),"")</f>
        <v/>
      </c>
      <c r="E172" t="e">
        <f ca="1">MATCH(intrim2!C172,OFFSET(Intrim!$S$4,E171,0):'Intrim'!$S$401,0)+E171</f>
        <v>#N/A</v>
      </c>
      <c r="L172" t="str">
        <f t="shared" si="25"/>
        <v>165</v>
      </c>
      <c r="M172">
        <f>COUNTIF($N$6:N172,N172)</f>
        <v>165</v>
      </c>
      <c r="N172" t="str">
        <f t="shared" si="19"/>
        <v/>
      </c>
      <c r="O172" t="str">
        <f ca="1">IFERROR(INDEX(Intrim!$F$4:$F$201,P172),"")</f>
        <v/>
      </c>
      <c r="P172" t="e">
        <f ca="1">MATCH(intrim2!N172,OFFSET(Intrim!$G$4,P171,0):'Intrim'!$G$201,0)+P171</f>
        <v>#N/A</v>
      </c>
      <c r="V172">
        <v>167</v>
      </c>
      <c r="W172" t="str">
        <f t="shared" si="20"/>
        <v/>
      </c>
      <c r="X172" t="str">
        <f>IF(W172="","",COUNTIF($W$6:W172,W172))</f>
        <v/>
      </c>
      <c r="Y172" t="e">
        <f t="shared" si="21"/>
        <v>#N/A</v>
      </c>
      <c r="Z172" t="e">
        <f t="shared" si="22"/>
        <v>#N/A</v>
      </c>
      <c r="AA172" t="e">
        <f t="shared" si="23"/>
        <v>#N/A</v>
      </c>
      <c r="AB172" t="e">
        <f>VLOOKUP(Z172,Intrim!R:Z,9,0)</f>
        <v>#N/A</v>
      </c>
    </row>
    <row r="173" spans="1:28" x14ac:dyDescent="0.25">
      <c r="A173" t="str">
        <f t="shared" si="24"/>
        <v>165</v>
      </c>
      <c r="B173">
        <f>COUNTIF($C$6:C173,C173)</f>
        <v>165</v>
      </c>
      <c r="C173" t="str">
        <f t="shared" si="18"/>
        <v/>
      </c>
      <c r="D173" t="str">
        <f ca="1">IFERROR(INDEX(Intrim!$R$4:$R$401,E173),"")</f>
        <v/>
      </c>
      <c r="E173" t="e">
        <f ca="1">MATCH(intrim2!C173,OFFSET(Intrim!$S$4,E172,0):'Intrim'!$S$401,0)+E172</f>
        <v>#N/A</v>
      </c>
      <c r="L173" t="str">
        <f t="shared" si="25"/>
        <v>166</v>
      </c>
      <c r="M173">
        <f>COUNTIF($N$6:N173,N173)</f>
        <v>166</v>
      </c>
      <c r="N173" t="str">
        <f t="shared" si="19"/>
        <v/>
      </c>
      <c r="O173" t="str">
        <f ca="1">IFERROR(INDEX(Intrim!$F$4:$F$201,P173),"")</f>
        <v/>
      </c>
      <c r="P173" t="e">
        <f ca="1">MATCH(intrim2!N173,OFFSET(Intrim!$G$4,P172,0):'Intrim'!$G$201,0)+P172</f>
        <v>#N/A</v>
      </c>
      <c r="V173">
        <v>168</v>
      </c>
      <c r="W173" t="str">
        <f t="shared" si="20"/>
        <v/>
      </c>
      <c r="X173" t="str">
        <f>IF(W173="","",COUNTIF($W$6:W173,W173))</f>
        <v/>
      </c>
      <c r="Y173" t="e">
        <f t="shared" si="21"/>
        <v>#N/A</v>
      </c>
      <c r="Z173" t="e">
        <f t="shared" si="22"/>
        <v>#N/A</v>
      </c>
      <c r="AA173" t="e">
        <f t="shared" si="23"/>
        <v>#N/A</v>
      </c>
      <c r="AB173" t="e">
        <f>VLOOKUP(Z173,Intrim!R:Z,9,0)</f>
        <v>#N/A</v>
      </c>
    </row>
    <row r="174" spans="1:28" x14ac:dyDescent="0.25">
      <c r="A174" t="str">
        <f t="shared" si="24"/>
        <v>166</v>
      </c>
      <c r="B174">
        <f>COUNTIF($C$6:C174,C174)</f>
        <v>166</v>
      </c>
      <c r="C174" t="str">
        <f t="shared" si="18"/>
        <v/>
      </c>
      <c r="D174" t="str">
        <f ca="1">IFERROR(INDEX(Intrim!$R$4:$R$401,E174),"")</f>
        <v/>
      </c>
      <c r="E174" t="e">
        <f ca="1">MATCH(intrim2!C174,OFFSET(Intrim!$S$4,E173,0):'Intrim'!$S$401,0)+E173</f>
        <v>#N/A</v>
      </c>
      <c r="L174" t="str">
        <f t="shared" si="25"/>
        <v>167</v>
      </c>
      <c r="M174">
        <f>COUNTIF($N$6:N174,N174)</f>
        <v>167</v>
      </c>
      <c r="N174" t="str">
        <f t="shared" si="19"/>
        <v/>
      </c>
      <c r="O174" t="str">
        <f ca="1">IFERROR(INDEX(Intrim!$F$4:$F$201,P174),"")</f>
        <v/>
      </c>
      <c r="P174" t="e">
        <f ca="1">MATCH(intrim2!N174,OFFSET(Intrim!$G$4,P173,0):'Intrim'!$G$201,0)+P173</f>
        <v>#N/A</v>
      </c>
      <c r="V174">
        <v>169</v>
      </c>
      <c r="W174" t="str">
        <f t="shared" si="20"/>
        <v/>
      </c>
      <c r="X174" t="str">
        <f>IF(W174="","",COUNTIF($W$6:W174,W174))</f>
        <v/>
      </c>
      <c r="Y174" t="e">
        <f t="shared" si="21"/>
        <v>#N/A</v>
      </c>
      <c r="Z174" t="e">
        <f t="shared" si="22"/>
        <v>#N/A</v>
      </c>
      <c r="AA174" t="e">
        <f t="shared" si="23"/>
        <v>#N/A</v>
      </c>
      <c r="AB174" t="e">
        <f>VLOOKUP(Z174,Intrim!R:Z,9,0)</f>
        <v>#N/A</v>
      </c>
    </row>
    <row r="175" spans="1:28" x14ac:dyDescent="0.25">
      <c r="A175" t="str">
        <f t="shared" si="24"/>
        <v>167</v>
      </c>
      <c r="B175">
        <f>COUNTIF($C$6:C175,C175)</f>
        <v>167</v>
      </c>
      <c r="C175" t="str">
        <f t="shared" si="18"/>
        <v/>
      </c>
      <c r="D175" t="str">
        <f ca="1">IFERROR(INDEX(Intrim!$R$4:$R$401,E175),"")</f>
        <v/>
      </c>
      <c r="E175" t="e">
        <f ca="1">MATCH(intrim2!C175,OFFSET(Intrim!$S$4,E174,0):'Intrim'!$S$401,0)+E174</f>
        <v>#N/A</v>
      </c>
      <c r="L175" t="str">
        <f t="shared" si="25"/>
        <v>168</v>
      </c>
      <c r="M175">
        <f>COUNTIF($N$6:N175,N175)</f>
        <v>168</v>
      </c>
      <c r="N175" t="str">
        <f t="shared" si="19"/>
        <v/>
      </c>
      <c r="O175" t="str">
        <f ca="1">IFERROR(INDEX(Intrim!$F$4:$F$201,P175),"")</f>
        <v/>
      </c>
      <c r="P175" t="e">
        <f ca="1">MATCH(intrim2!N175,OFFSET(Intrim!$G$4,P174,0):'Intrim'!$G$201,0)+P174</f>
        <v>#N/A</v>
      </c>
      <c r="V175">
        <v>170</v>
      </c>
      <c r="W175" t="str">
        <f t="shared" si="20"/>
        <v/>
      </c>
      <c r="X175" t="str">
        <f>IF(W175="","",COUNTIF($W$6:W175,W175))</f>
        <v/>
      </c>
      <c r="Y175" t="e">
        <f t="shared" si="21"/>
        <v>#N/A</v>
      </c>
      <c r="Z175" t="e">
        <f t="shared" si="22"/>
        <v>#N/A</v>
      </c>
      <c r="AA175" t="e">
        <f t="shared" si="23"/>
        <v>#N/A</v>
      </c>
      <c r="AB175" t="e">
        <f>VLOOKUP(Z175,Intrim!R:Z,9,0)</f>
        <v>#N/A</v>
      </c>
    </row>
    <row r="176" spans="1:28" x14ac:dyDescent="0.25">
      <c r="A176" t="str">
        <f t="shared" si="24"/>
        <v>168</v>
      </c>
      <c r="B176">
        <f>COUNTIF($C$6:C176,C176)</f>
        <v>168</v>
      </c>
      <c r="C176" t="str">
        <f t="shared" si="18"/>
        <v/>
      </c>
      <c r="D176" t="str">
        <f ca="1">IFERROR(INDEX(Intrim!$R$4:$R$401,E176),"")</f>
        <v/>
      </c>
      <c r="E176" t="e">
        <f ca="1">MATCH(intrim2!C176,OFFSET(Intrim!$S$4,E175,0):'Intrim'!$S$401,0)+E175</f>
        <v>#N/A</v>
      </c>
      <c r="L176" t="str">
        <f t="shared" si="25"/>
        <v>169</v>
      </c>
      <c r="M176">
        <f>COUNTIF($N$6:N176,N176)</f>
        <v>169</v>
      </c>
      <c r="N176" t="str">
        <f t="shared" si="19"/>
        <v/>
      </c>
      <c r="O176" t="str">
        <f ca="1">IFERROR(INDEX(Intrim!$F$4:$F$201,P176),"")</f>
        <v/>
      </c>
      <c r="P176" t="e">
        <f ca="1">MATCH(intrim2!N176,OFFSET(Intrim!$G$4,P175,0):'Intrim'!$G$201,0)+P175</f>
        <v>#N/A</v>
      </c>
      <c r="V176">
        <v>171</v>
      </c>
      <c r="W176" t="str">
        <f t="shared" si="20"/>
        <v/>
      </c>
      <c r="X176" t="str">
        <f>IF(W176="","",COUNTIF($W$6:W176,W176))</f>
        <v/>
      </c>
      <c r="Y176" t="e">
        <f t="shared" si="21"/>
        <v>#N/A</v>
      </c>
      <c r="Z176" t="e">
        <f t="shared" si="22"/>
        <v>#N/A</v>
      </c>
      <c r="AA176" t="e">
        <f t="shared" si="23"/>
        <v>#N/A</v>
      </c>
      <c r="AB176" t="e">
        <f>VLOOKUP(Z176,Intrim!R:Z,9,0)</f>
        <v>#N/A</v>
      </c>
    </row>
    <row r="177" spans="1:28" x14ac:dyDescent="0.25">
      <c r="A177" t="str">
        <f t="shared" si="24"/>
        <v>169</v>
      </c>
      <c r="B177">
        <f>COUNTIF($C$6:C177,C177)</f>
        <v>169</v>
      </c>
      <c r="C177" t="str">
        <f t="shared" si="18"/>
        <v/>
      </c>
      <c r="D177" t="str">
        <f ca="1">IFERROR(INDEX(Intrim!$R$4:$R$401,E177),"")</f>
        <v/>
      </c>
      <c r="E177" t="e">
        <f ca="1">MATCH(intrim2!C177,OFFSET(Intrim!$S$4,E176,0):'Intrim'!$S$401,0)+E176</f>
        <v>#N/A</v>
      </c>
      <c r="L177" t="str">
        <f t="shared" si="25"/>
        <v>170</v>
      </c>
      <c r="M177">
        <f>COUNTIF($N$6:N177,N177)</f>
        <v>170</v>
      </c>
      <c r="N177" t="str">
        <f t="shared" si="19"/>
        <v/>
      </c>
      <c r="O177" t="str">
        <f ca="1">IFERROR(INDEX(Intrim!$F$4:$F$201,P177),"")</f>
        <v/>
      </c>
      <c r="P177" t="e">
        <f ca="1">MATCH(intrim2!N177,OFFSET(Intrim!$G$4,P176,0):'Intrim'!$G$201,0)+P176</f>
        <v>#N/A</v>
      </c>
      <c r="V177">
        <v>172</v>
      </c>
      <c r="W177" t="str">
        <f t="shared" si="20"/>
        <v/>
      </c>
      <c r="X177" t="str">
        <f>IF(W177="","",COUNTIF($W$6:W177,W177))</f>
        <v/>
      </c>
      <c r="Y177" t="e">
        <f t="shared" si="21"/>
        <v>#N/A</v>
      </c>
      <c r="Z177" t="e">
        <f t="shared" si="22"/>
        <v>#N/A</v>
      </c>
      <c r="AA177" t="e">
        <f t="shared" si="23"/>
        <v>#N/A</v>
      </c>
      <c r="AB177" t="e">
        <f>VLOOKUP(Z177,Intrim!R:Z,9,0)</f>
        <v>#N/A</v>
      </c>
    </row>
    <row r="178" spans="1:28" x14ac:dyDescent="0.25">
      <c r="A178" t="str">
        <f t="shared" si="24"/>
        <v>170</v>
      </c>
      <c r="B178">
        <f>COUNTIF($C$6:C178,C178)</f>
        <v>170</v>
      </c>
      <c r="C178" t="str">
        <f t="shared" si="18"/>
        <v/>
      </c>
      <c r="D178" t="str">
        <f ca="1">IFERROR(INDEX(Intrim!$R$4:$R$401,E178),"")</f>
        <v/>
      </c>
      <c r="E178" t="e">
        <f ca="1">MATCH(intrim2!C178,OFFSET(Intrim!$S$4,E177,0):'Intrim'!$S$401,0)+E177</f>
        <v>#N/A</v>
      </c>
      <c r="L178" t="str">
        <f t="shared" si="25"/>
        <v>171</v>
      </c>
      <c r="M178">
        <f>COUNTIF($N$6:N178,N178)</f>
        <v>171</v>
      </c>
      <c r="N178" t="str">
        <f t="shared" si="19"/>
        <v/>
      </c>
      <c r="O178" t="str">
        <f ca="1">IFERROR(INDEX(Intrim!$F$4:$F$201,P178),"")</f>
        <v/>
      </c>
      <c r="P178" t="e">
        <f ca="1">MATCH(intrim2!N178,OFFSET(Intrim!$G$4,P177,0):'Intrim'!$G$201,0)+P177</f>
        <v>#N/A</v>
      </c>
      <c r="V178">
        <v>173</v>
      </c>
      <c r="W178" t="str">
        <f t="shared" si="20"/>
        <v/>
      </c>
      <c r="X178" t="str">
        <f>IF(W178="","",COUNTIF($W$6:W178,W178))</f>
        <v/>
      </c>
      <c r="Y178" t="e">
        <f t="shared" si="21"/>
        <v>#N/A</v>
      </c>
      <c r="Z178" t="e">
        <f t="shared" si="22"/>
        <v>#N/A</v>
      </c>
      <c r="AA178" t="e">
        <f t="shared" si="23"/>
        <v>#N/A</v>
      </c>
      <c r="AB178" t="e">
        <f>VLOOKUP(Z178,Intrim!R:Z,9,0)</f>
        <v>#N/A</v>
      </c>
    </row>
    <row r="179" spans="1:28" x14ac:dyDescent="0.25">
      <c r="A179" t="str">
        <f t="shared" si="24"/>
        <v>171</v>
      </c>
      <c r="B179">
        <f>COUNTIF($C$6:C179,C179)</f>
        <v>171</v>
      </c>
      <c r="C179" t="str">
        <f t="shared" si="18"/>
        <v/>
      </c>
      <c r="D179" t="str">
        <f ca="1">IFERROR(INDEX(Intrim!$R$4:$R$401,E179),"")</f>
        <v/>
      </c>
      <c r="E179" t="e">
        <f ca="1">MATCH(intrim2!C179,OFFSET(Intrim!$S$4,E178,0):'Intrim'!$S$401,0)+E178</f>
        <v>#N/A</v>
      </c>
      <c r="L179" t="str">
        <f t="shared" si="25"/>
        <v>172</v>
      </c>
      <c r="M179">
        <f>COUNTIF($N$6:N179,N179)</f>
        <v>172</v>
      </c>
      <c r="N179" t="str">
        <f t="shared" si="19"/>
        <v/>
      </c>
      <c r="O179" t="str">
        <f ca="1">IFERROR(INDEX(Intrim!$F$4:$F$201,P179),"")</f>
        <v/>
      </c>
      <c r="P179" t="e">
        <f ca="1">MATCH(intrim2!N179,OFFSET(Intrim!$G$4,P178,0):'Intrim'!$G$201,0)+P178</f>
        <v>#N/A</v>
      </c>
      <c r="V179">
        <v>174</v>
      </c>
      <c r="W179" t="str">
        <f t="shared" si="20"/>
        <v/>
      </c>
      <c r="X179" t="str">
        <f>IF(W179="","",COUNTIF($W$6:W179,W179))</f>
        <v/>
      </c>
      <c r="Y179" t="e">
        <f t="shared" si="21"/>
        <v>#N/A</v>
      </c>
      <c r="Z179" t="e">
        <f t="shared" si="22"/>
        <v>#N/A</v>
      </c>
      <c r="AA179" t="e">
        <f t="shared" si="23"/>
        <v>#N/A</v>
      </c>
      <c r="AB179" t="e">
        <f>VLOOKUP(Z179,Intrim!R:Z,9,0)</f>
        <v>#N/A</v>
      </c>
    </row>
    <row r="180" spans="1:28" x14ac:dyDescent="0.25">
      <c r="A180" t="str">
        <f t="shared" si="24"/>
        <v>172</v>
      </c>
      <c r="B180">
        <f>COUNTIF($C$6:C180,C180)</f>
        <v>172</v>
      </c>
      <c r="C180" t="str">
        <f t="shared" si="18"/>
        <v/>
      </c>
      <c r="D180" t="str">
        <f ca="1">IFERROR(INDEX(Intrim!$R$4:$R$401,E180),"")</f>
        <v/>
      </c>
      <c r="E180" t="e">
        <f ca="1">MATCH(intrim2!C180,OFFSET(Intrim!$S$4,E179,0):'Intrim'!$S$401,0)+E179</f>
        <v>#N/A</v>
      </c>
      <c r="L180" t="str">
        <f t="shared" si="25"/>
        <v>173</v>
      </c>
      <c r="M180">
        <f>COUNTIF($N$6:N180,N180)</f>
        <v>173</v>
      </c>
      <c r="N180" t="str">
        <f t="shared" si="19"/>
        <v/>
      </c>
      <c r="O180" t="str">
        <f ca="1">IFERROR(INDEX(Intrim!$F$4:$F$201,P180),"")</f>
        <v/>
      </c>
      <c r="P180" t="e">
        <f ca="1">MATCH(intrim2!N180,OFFSET(Intrim!$G$4,P179,0):'Intrim'!$G$201,0)+P179</f>
        <v>#N/A</v>
      </c>
      <c r="V180">
        <v>175</v>
      </c>
      <c r="W180" t="str">
        <f t="shared" si="20"/>
        <v/>
      </c>
      <c r="X180" t="str">
        <f>IF(W180="","",COUNTIF($W$6:W180,W180))</f>
        <v/>
      </c>
      <c r="Y180" t="e">
        <f t="shared" si="21"/>
        <v>#N/A</v>
      </c>
      <c r="Z180" t="e">
        <f t="shared" si="22"/>
        <v>#N/A</v>
      </c>
      <c r="AA180" t="e">
        <f t="shared" si="23"/>
        <v>#N/A</v>
      </c>
      <c r="AB180" t="e">
        <f>VLOOKUP(Z180,Intrim!R:Z,9,0)</f>
        <v>#N/A</v>
      </c>
    </row>
    <row r="181" spans="1:28" x14ac:dyDescent="0.25">
      <c r="A181" t="str">
        <f t="shared" si="24"/>
        <v>173</v>
      </c>
      <c r="B181">
        <f>COUNTIF($C$6:C181,C181)</f>
        <v>173</v>
      </c>
      <c r="C181" t="str">
        <f t="shared" si="18"/>
        <v/>
      </c>
      <c r="D181" t="str">
        <f ca="1">IFERROR(INDEX(Intrim!$R$4:$R$401,E181),"")</f>
        <v/>
      </c>
      <c r="E181" t="e">
        <f ca="1">MATCH(intrim2!C181,OFFSET(Intrim!$S$4,E180,0):'Intrim'!$S$401,0)+E180</f>
        <v>#N/A</v>
      </c>
      <c r="L181" t="str">
        <f t="shared" si="25"/>
        <v>174</v>
      </c>
      <c r="M181">
        <f>COUNTIF($N$6:N181,N181)</f>
        <v>174</v>
      </c>
      <c r="N181" t="str">
        <f t="shared" si="19"/>
        <v/>
      </c>
      <c r="O181" t="str">
        <f ca="1">IFERROR(INDEX(Intrim!$F$4:$F$201,P181),"")</f>
        <v/>
      </c>
      <c r="P181" t="e">
        <f ca="1">MATCH(intrim2!N181,OFFSET(Intrim!$G$4,P180,0):'Intrim'!$G$201,0)+P180</f>
        <v>#N/A</v>
      </c>
      <c r="V181">
        <v>176</v>
      </c>
      <c r="W181" t="str">
        <f t="shared" si="20"/>
        <v/>
      </c>
      <c r="X181" t="str">
        <f>IF(W181="","",COUNTIF($W$6:W181,W181))</f>
        <v/>
      </c>
      <c r="Y181" t="e">
        <f t="shared" si="21"/>
        <v>#N/A</v>
      </c>
      <c r="Z181" t="e">
        <f t="shared" si="22"/>
        <v>#N/A</v>
      </c>
      <c r="AA181" t="e">
        <f t="shared" si="23"/>
        <v>#N/A</v>
      </c>
      <c r="AB181" t="e">
        <f>VLOOKUP(Z181,Intrim!R:Z,9,0)</f>
        <v>#N/A</v>
      </c>
    </row>
    <row r="182" spans="1:28" x14ac:dyDescent="0.25">
      <c r="A182" t="str">
        <f t="shared" si="24"/>
        <v>174</v>
      </c>
      <c r="B182">
        <f>COUNTIF($C$6:C182,C182)</f>
        <v>174</v>
      </c>
      <c r="C182" t="str">
        <f t="shared" si="18"/>
        <v/>
      </c>
      <c r="D182" t="str">
        <f ca="1">IFERROR(INDEX(Intrim!$R$4:$R$401,E182),"")</f>
        <v/>
      </c>
      <c r="E182" t="e">
        <f ca="1">MATCH(intrim2!C182,OFFSET(Intrim!$S$4,E181,0):'Intrim'!$S$401,0)+E181</f>
        <v>#N/A</v>
      </c>
      <c r="L182" t="str">
        <f t="shared" si="25"/>
        <v>175</v>
      </c>
      <c r="M182">
        <f>COUNTIF($N$6:N182,N182)</f>
        <v>175</v>
      </c>
      <c r="N182" t="str">
        <f t="shared" si="19"/>
        <v/>
      </c>
      <c r="O182" t="str">
        <f ca="1">IFERROR(INDEX(Intrim!$F$4:$F$201,P182),"")</f>
        <v/>
      </c>
      <c r="P182" t="e">
        <f ca="1">MATCH(intrim2!N182,OFFSET(Intrim!$G$4,P181,0):'Intrim'!$G$201,0)+P181</f>
        <v>#N/A</v>
      </c>
      <c r="V182">
        <v>177</v>
      </c>
      <c r="W182" t="str">
        <f t="shared" si="20"/>
        <v/>
      </c>
      <c r="X182" t="str">
        <f>IF(W182="","",COUNTIF($W$6:W182,W182))</f>
        <v/>
      </c>
      <c r="Y182" t="e">
        <f t="shared" si="21"/>
        <v>#N/A</v>
      </c>
      <c r="Z182" t="e">
        <f t="shared" si="22"/>
        <v>#N/A</v>
      </c>
      <c r="AA182" t="e">
        <f t="shared" si="23"/>
        <v>#N/A</v>
      </c>
      <c r="AB182" t="e">
        <f>VLOOKUP(Z182,Intrim!R:Z,9,0)</f>
        <v>#N/A</v>
      </c>
    </row>
    <row r="183" spans="1:28" x14ac:dyDescent="0.25">
      <c r="A183" t="str">
        <f t="shared" si="24"/>
        <v>175</v>
      </c>
      <c r="B183">
        <f>COUNTIF($C$6:C183,C183)</f>
        <v>175</v>
      </c>
      <c r="C183" t="str">
        <f t="shared" si="18"/>
        <v/>
      </c>
      <c r="D183" t="str">
        <f ca="1">IFERROR(INDEX(Intrim!$R$4:$R$401,E183),"")</f>
        <v/>
      </c>
      <c r="E183" t="e">
        <f ca="1">MATCH(intrim2!C183,OFFSET(Intrim!$S$4,E182,0):'Intrim'!$S$401,0)+E182</f>
        <v>#N/A</v>
      </c>
      <c r="L183" t="str">
        <f t="shared" si="25"/>
        <v>176</v>
      </c>
      <c r="M183">
        <f>COUNTIF($N$6:N183,N183)</f>
        <v>176</v>
      </c>
      <c r="N183" t="str">
        <f t="shared" si="19"/>
        <v/>
      </c>
      <c r="O183" t="str">
        <f ca="1">IFERROR(INDEX(Intrim!$F$4:$F$201,P183),"")</f>
        <v/>
      </c>
      <c r="P183" t="e">
        <f ca="1">MATCH(intrim2!N183,OFFSET(Intrim!$G$4,P182,0):'Intrim'!$G$201,0)+P182</f>
        <v>#N/A</v>
      </c>
      <c r="V183">
        <v>178</v>
      </c>
      <c r="W183" t="str">
        <f t="shared" si="20"/>
        <v/>
      </c>
      <c r="X183" t="str">
        <f>IF(W183="","",COUNTIF($W$6:W183,W183))</f>
        <v/>
      </c>
      <c r="Y183" t="e">
        <f t="shared" si="21"/>
        <v>#N/A</v>
      </c>
      <c r="Z183" t="e">
        <f t="shared" si="22"/>
        <v>#N/A</v>
      </c>
      <c r="AA183" t="e">
        <f t="shared" si="23"/>
        <v>#N/A</v>
      </c>
      <c r="AB183" t="e">
        <f>VLOOKUP(Z183,Intrim!R:Z,9,0)</f>
        <v>#N/A</v>
      </c>
    </row>
    <row r="184" spans="1:28" x14ac:dyDescent="0.25">
      <c r="A184" t="str">
        <f t="shared" si="24"/>
        <v>176</v>
      </c>
      <c r="B184">
        <f>COUNTIF($C$6:C184,C184)</f>
        <v>176</v>
      </c>
      <c r="C184" t="str">
        <f t="shared" si="18"/>
        <v/>
      </c>
      <c r="D184" t="str">
        <f ca="1">IFERROR(INDEX(Intrim!$R$4:$R$401,E184),"")</f>
        <v/>
      </c>
      <c r="E184" t="e">
        <f ca="1">MATCH(intrim2!C184,OFFSET(Intrim!$S$4,E183,0):'Intrim'!$S$401,0)+E183</f>
        <v>#N/A</v>
      </c>
      <c r="L184" t="str">
        <f t="shared" si="25"/>
        <v>177</v>
      </c>
      <c r="M184">
        <f>COUNTIF($N$6:N184,N184)</f>
        <v>177</v>
      </c>
      <c r="N184" t="str">
        <f t="shared" si="19"/>
        <v/>
      </c>
      <c r="O184" t="str">
        <f ca="1">IFERROR(INDEX(Intrim!$F$4:$F$201,P184),"")</f>
        <v/>
      </c>
      <c r="P184" t="e">
        <f ca="1">MATCH(intrim2!N184,OFFSET(Intrim!$G$4,P183,0):'Intrim'!$G$201,0)+P183</f>
        <v>#N/A</v>
      </c>
      <c r="V184">
        <v>179</v>
      </c>
      <c r="W184" t="str">
        <f t="shared" si="20"/>
        <v/>
      </c>
      <c r="X184" t="str">
        <f>IF(W184="","",COUNTIF($W$6:W184,W184))</f>
        <v/>
      </c>
      <c r="Y184" t="e">
        <f t="shared" si="21"/>
        <v>#N/A</v>
      </c>
      <c r="Z184" t="e">
        <f t="shared" si="22"/>
        <v>#N/A</v>
      </c>
      <c r="AA184" t="e">
        <f t="shared" si="23"/>
        <v>#N/A</v>
      </c>
      <c r="AB184" t="e">
        <f>VLOOKUP(Z184,Intrim!R:Z,9,0)</f>
        <v>#N/A</v>
      </c>
    </row>
    <row r="185" spans="1:28" x14ac:dyDescent="0.25">
      <c r="A185" t="str">
        <f t="shared" si="24"/>
        <v>177</v>
      </c>
      <c r="B185">
        <f>COUNTIF($C$6:C185,C185)</f>
        <v>177</v>
      </c>
      <c r="C185" t="str">
        <f t="shared" si="18"/>
        <v/>
      </c>
      <c r="D185" t="str">
        <f ca="1">IFERROR(INDEX(Intrim!$R$4:$R$401,E185),"")</f>
        <v/>
      </c>
      <c r="E185" t="e">
        <f ca="1">MATCH(intrim2!C185,OFFSET(Intrim!$S$4,E184,0):'Intrim'!$S$401,0)+E184</f>
        <v>#N/A</v>
      </c>
      <c r="L185" t="str">
        <f t="shared" si="25"/>
        <v>178</v>
      </c>
      <c r="M185">
        <f>COUNTIF($N$6:N185,N185)</f>
        <v>178</v>
      </c>
      <c r="N185" t="str">
        <f t="shared" si="19"/>
        <v/>
      </c>
      <c r="O185" t="str">
        <f ca="1">IFERROR(INDEX(Intrim!$F$4:$F$201,P185),"")</f>
        <v/>
      </c>
      <c r="P185" t="e">
        <f ca="1">MATCH(intrim2!N185,OFFSET(Intrim!$G$4,P184,0):'Intrim'!$G$201,0)+P184</f>
        <v>#N/A</v>
      </c>
      <c r="V185">
        <v>180</v>
      </c>
      <c r="W185" t="str">
        <f t="shared" si="20"/>
        <v/>
      </c>
      <c r="X185" t="str">
        <f>IF(W185="","",COUNTIF($W$6:W185,W185))</f>
        <v/>
      </c>
      <c r="Y185" t="e">
        <f t="shared" si="21"/>
        <v>#N/A</v>
      </c>
      <c r="Z185" t="e">
        <f t="shared" si="22"/>
        <v>#N/A</v>
      </c>
      <c r="AA185" t="e">
        <f t="shared" si="23"/>
        <v>#N/A</v>
      </c>
      <c r="AB185" t="e">
        <f>VLOOKUP(Z185,Intrim!R:Z,9,0)</f>
        <v>#N/A</v>
      </c>
    </row>
    <row r="186" spans="1:28" x14ac:dyDescent="0.25">
      <c r="A186" t="str">
        <f t="shared" si="24"/>
        <v>178</v>
      </c>
      <c r="B186">
        <f>COUNTIF($C$6:C186,C186)</f>
        <v>178</v>
      </c>
      <c r="C186" t="str">
        <f t="shared" si="18"/>
        <v/>
      </c>
      <c r="D186" t="str">
        <f ca="1">IFERROR(INDEX(Intrim!$R$4:$R$401,E186),"")</f>
        <v/>
      </c>
      <c r="E186" t="e">
        <f ca="1">MATCH(intrim2!C186,OFFSET(Intrim!$S$4,E185,0):'Intrim'!$S$401,0)+E185</f>
        <v>#N/A</v>
      </c>
      <c r="L186" t="str">
        <f t="shared" si="25"/>
        <v>179</v>
      </c>
      <c r="M186">
        <f>COUNTIF($N$6:N186,N186)</f>
        <v>179</v>
      </c>
      <c r="N186" t="str">
        <f t="shared" si="19"/>
        <v/>
      </c>
      <c r="O186" t="str">
        <f ca="1">IFERROR(INDEX(Intrim!$F$4:$F$201,P186),"")</f>
        <v/>
      </c>
      <c r="P186" t="e">
        <f ca="1">MATCH(intrim2!N186,OFFSET(Intrim!$G$4,P185,0):'Intrim'!$G$201,0)+P185</f>
        <v>#N/A</v>
      </c>
      <c r="V186">
        <v>181</v>
      </c>
      <c r="W186" t="str">
        <f t="shared" si="20"/>
        <v/>
      </c>
      <c r="X186" t="str">
        <f>IF(W186="","",COUNTIF($W$6:W186,W186))</f>
        <v/>
      </c>
      <c r="Y186" t="e">
        <f t="shared" si="21"/>
        <v>#N/A</v>
      </c>
      <c r="Z186" t="e">
        <f t="shared" si="22"/>
        <v>#N/A</v>
      </c>
      <c r="AA186" t="e">
        <f t="shared" si="23"/>
        <v>#N/A</v>
      </c>
      <c r="AB186" t="e">
        <f>VLOOKUP(Z186,Intrim!R:Z,9,0)</f>
        <v>#N/A</v>
      </c>
    </row>
    <row r="187" spans="1:28" x14ac:dyDescent="0.25">
      <c r="A187" t="str">
        <f t="shared" si="24"/>
        <v>179</v>
      </c>
      <c r="B187">
        <f>COUNTIF($C$6:C187,C187)</f>
        <v>179</v>
      </c>
      <c r="C187" t="str">
        <f t="shared" si="18"/>
        <v/>
      </c>
      <c r="D187" t="str">
        <f ca="1">IFERROR(INDEX(Intrim!$R$4:$R$401,E187),"")</f>
        <v/>
      </c>
      <c r="E187" t="e">
        <f ca="1">MATCH(intrim2!C187,OFFSET(Intrim!$S$4,E186,0):'Intrim'!$S$401,0)+E186</f>
        <v>#N/A</v>
      </c>
      <c r="L187" t="str">
        <f t="shared" si="25"/>
        <v>180</v>
      </c>
      <c r="M187">
        <f>COUNTIF($N$6:N187,N187)</f>
        <v>180</v>
      </c>
      <c r="N187" t="str">
        <f t="shared" si="19"/>
        <v/>
      </c>
      <c r="O187" t="str">
        <f ca="1">IFERROR(INDEX(Intrim!$F$4:$F$201,P187),"")</f>
        <v/>
      </c>
      <c r="P187" t="e">
        <f ca="1">MATCH(intrim2!N187,OFFSET(Intrim!$G$4,P186,0):'Intrim'!$G$201,0)+P186</f>
        <v>#N/A</v>
      </c>
      <c r="V187">
        <v>182</v>
      </c>
      <c r="W187" t="str">
        <f t="shared" si="20"/>
        <v/>
      </c>
      <c r="X187" t="str">
        <f>IF(W187="","",COUNTIF($W$6:W187,W187))</f>
        <v/>
      </c>
      <c r="Y187" t="e">
        <f t="shared" si="21"/>
        <v>#N/A</v>
      </c>
      <c r="Z187" t="e">
        <f t="shared" si="22"/>
        <v>#N/A</v>
      </c>
      <c r="AA187" t="e">
        <f t="shared" si="23"/>
        <v>#N/A</v>
      </c>
      <c r="AB187" t="e">
        <f>VLOOKUP(Z187,Intrim!R:Z,9,0)</f>
        <v>#N/A</v>
      </c>
    </row>
    <row r="188" spans="1:28" x14ac:dyDescent="0.25">
      <c r="A188" t="str">
        <f t="shared" si="24"/>
        <v>180</v>
      </c>
      <c r="B188">
        <f>COUNTIF($C$6:C188,C188)</f>
        <v>180</v>
      </c>
      <c r="C188" t="str">
        <f t="shared" si="18"/>
        <v/>
      </c>
      <c r="D188" t="str">
        <f ca="1">IFERROR(INDEX(Intrim!$R$4:$R$401,E188),"")</f>
        <v/>
      </c>
      <c r="E188" t="e">
        <f ca="1">MATCH(intrim2!C188,OFFSET(Intrim!$S$4,E187,0):'Intrim'!$S$401,0)+E187</f>
        <v>#N/A</v>
      </c>
      <c r="L188" t="str">
        <f t="shared" si="25"/>
        <v>181</v>
      </c>
      <c r="M188">
        <f>COUNTIF($N$6:N188,N188)</f>
        <v>181</v>
      </c>
      <c r="N188" t="str">
        <f t="shared" si="19"/>
        <v/>
      </c>
      <c r="O188" t="str">
        <f ca="1">IFERROR(INDEX(Intrim!$F$4:$F$201,P188),"")</f>
        <v/>
      </c>
      <c r="P188" t="e">
        <f ca="1">MATCH(intrim2!N188,OFFSET(Intrim!$G$4,P187,0):'Intrim'!$G$201,0)+P187</f>
        <v>#N/A</v>
      </c>
      <c r="V188">
        <v>183</v>
      </c>
      <c r="W188" t="str">
        <f t="shared" si="20"/>
        <v/>
      </c>
      <c r="X188" t="str">
        <f>IF(W188="","",COUNTIF($W$6:W188,W188))</f>
        <v/>
      </c>
      <c r="Y188" t="e">
        <f t="shared" si="21"/>
        <v>#N/A</v>
      </c>
      <c r="Z188" t="e">
        <f t="shared" si="22"/>
        <v>#N/A</v>
      </c>
      <c r="AA188" t="e">
        <f t="shared" si="23"/>
        <v>#N/A</v>
      </c>
      <c r="AB188" t="e">
        <f>VLOOKUP(Z188,Intrim!R:Z,9,0)</f>
        <v>#N/A</v>
      </c>
    </row>
    <row r="189" spans="1:28" x14ac:dyDescent="0.25">
      <c r="A189" t="str">
        <f t="shared" si="24"/>
        <v>181</v>
      </c>
      <c r="B189">
        <f>COUNTIF($C$6:C189,C189)</f>
        <v>181</v>
      </c>
      <c r="C189" t="str">
        <f t="shared" si="18"/>
        <v/>
      </c>
      <c r="D189" t="str">
        <f ca="1">IFERROR(INDEX(Intrim!$R$4:$R$401,E189),"")</f>
        <v/>
      </c>
      <c r="E189" t="e">
        <f ca="1">MATCH(intrim2!C189,OFFSET(Intrim!$S$4,E188,0):'Intrim'!$S$401,0)+E188</f>
        <v>#N/A</v>
      </c>
      <c r="L189" t="str">
        <f t="shared" si="25"/>
        <v>182</v>
      </c>
      <c r="M189">
        <f>COUNTIF($N$6:N189,N189)</f>
        <v>182</v>
      </c>
      <c r="N189" t="str">
        <f t="shared" si="19"/>
        <v/>
      </c>
      <c r="O189" t="str">
        <f ca="1">IFERROR(INDEX(Intrim!$F$4:$F$201,P189),"")</f>
        <v/>
      </c>
      <c r="P189" t="e">
        <f ca="1">MATCH(intrim2!N189,OFFSET(Intrim!$G$4,P188,0):'Intrim'!$G$201,0)+P188</f>
        <v>#N/A</v>
      </c>
      <c r="V189">
        <v>184</v>
      </c>
      <c r="W189" t="str">
        <f t="shared" si="20"/>
        <v/>
      </c>
      <c r="X189" t="str">
        <f>IF(W189="","",COUNTIF($W$6:W189,W189))</f>
        <v/>
      </c>
      <c r="Y189" t="e">
        <f t="shared" si="21"/>
        <v>#N/A</v>
      </c>
      <c r="Z189" t="e">
        <f t="shared" si="22"/>
        <v>#N/A</v>
      </c>
      <c r="AA189" t="e">
        <f t="shared" si="23"/>
        <v>#N/A</v>
      </c>
      <c r="AB189" t="e">
        <f>VLOOKUP(Z189,Intrim!R:Z,9,0)</f>
        <v>#N/A</v>
      </c>
    </row>
    <row r="190" spans="1:28" x14ac:dyDescent="0.25">
      <c r="A190" t="str">
        <f t="shared" si="24"/>
        <v>182</v>
      </c>
      <c r="B190">
        <f>COUNTIF($C$6:C190,C190)</f>
        <v>182</v>
      </c>
      <c r="C190" t="str">
        <f t="shared" si="18"/>
        <v/>
      </c>
      <c r="D190" t="str">
        <f ca="1">IFERROR(INDEX(Intrim!$R$4:$R$401,E190),"")</f>
        <v/>
      </c>
      <c r="E190" t="e">
        <f ca="1">MATCH(intrim2!C190,OFFSET(Intrim!$S$4,E189,0):'Intrim'!$S$401,0)+E189</f>
        <v>#N/A</v>
      </c>
      <c r="L190" t="str">
        <f t="shared" si="25"/>
        <v>183</v>
      </c>
      <c r="M190">
        <f>COUNTIF($N$6:N190,N190)</f>
        <v>183</v>
      </c>
      <c r="N190" t="str">
        <f t="shared" si="19"/>
        <v/>
      </c>
      <c r="O190" t="str">
        <f ca="1">IFERROR(INDEX(Intrim!$F$4:$F$201,P190),"")</f>
        <v/>
      </c>
      <c r="P190" t="e">
        <f ca="1">MATCH(intrim2!N190,OFFSET(Intrim!$G$4,P189,0):'Intrim'!$G$201,0)+P189</f>
        <v>#N/A</v>
      </c>
      <c r="V190">
        <v>185</v>
      </c>
      <c r="W190" t="str">
        <f t="shared" si="20"/>
        <v/>
      </c>
      <c r="X190" t="str">
        <f>IF(W190="","",COUNTIF($W$6:W190,W190))</f>
        <v/>
      </c>
      <c r="Y190" t="e">
        <f t="shared" si="21"/>
        <v>#N/A</v>
      </c>
      <c r="Z190" t="e">
        <f t="shared" si="22"/>
        <v>#N/A</v>
      </c>
      <c r="AA190" t="e">
        <f t="shared" si="23"/>
        <v>#N/A</v>
      </c>
      <c r="AB190" t="e">
        <f>VLOOKUP(Z190,Intrim!R:Z,9,0)</f>
        <v>#N/A</v>
      </c>
    </row>
    <row r="191" spans="1:28" x14ac:dyDescent="0.25">
      <c r="A191" t="str">
        <f t="shared" si="24"/>
        <v>183</v>
      </c>
      <c r="B191">
        <f>COUNTIF($C$6:C191,C191)</f>
        <v>183</v>
      </c>
      <c r="C191" t="str">
        <f t="shared" si="18"/>
        <v/>
      </c>
      <c r="D191" t="str">
        <f ca="1">IFERROR(INDEX(Intrim!$R$4:$R$401,E191),"")</f>
        <v/>
      </c>
      <c r="E191" t="e">
        <f ca="1">MATCH(intrim2!C191,OFFSET(Intrim!$S$4,E190,0):'Intrim'!$S$401,0)+E190</f>
        <v>#N/A</v>
      </c>
      <c r="L191" t="str">
        <f t="shared" si="25"/>
        <v>184</v>
      </c>
      <c r="M191">
        <f>COUNTIF($N$6:N191,N191)</f>
        <v>184</v>
      </c>
      <c r="N191" t="str">
        <f t="shared" si="19"/>
        <v/>
      </c>
      <c r="O191" t="str">
        <f ca="1">IFERROR(INDEX(Intrim!$F$4:$F$201,P191),"")</f>
        <v/>
      </c>
      <c r="P191" t="e">
        <f ca="1">MATCH(intrim2!N191,OFFSET(Intrim!$G$4,P190,0):'Intrim'!$G$201,0)+P190</f>
        <v>#N/A</v>
      </c>
      <c r="V191">
        <v>186</v>
      </c>
      <c r="W191" t="str">
        <f t="shared" si="20"/>
        <v/>
      </c>
      <c r="X191" t="str">
        <f>IF(W191="","",COUNTIF($W$6:W191,W191))</f>
        <v/>
      </c>
      <c r="Y191" t="e">
        <f t="shared" si="21"/>
        <v>#N/A</v>
      </c>
      <c r="Z191" t="e">
        <f t="shared" si="22"/>
        <v>#N/A</v>
      </c>
      <c r="AA191" t="e">
        <f t="shared" si="23"/>
        <v>#N/A</v>
      </c>
      <c r="AB191" t="e">
        <f>VLOOKUP(Z191,Intrim!R:Z,9,0)</f>
        <v>#N/A</v>
      </c>
    </row>
    <row r="192" spans="1:28" x14ac:dyDescent="0.25">
      <c r="A192" t="str">
        <f t="shared" si="24"/>
        <v>184</v>
      </c>
      <c r="B192">
        <f>COUNTIF($C$6:C192,C192)</f>
        <v>184</v>
      </c>
      <c r="C192" t="str">
        <f t="shared" si="18"/>
        <v/>
      </c>
      <c r="D192" t="str">
        <f ca="1">IFERROR(INDEX(Intrim!$R$4:$R$401,E192),"")</f>
        <v/>
      </c>
      <c r="E192" t="e">
        <f ca="1">MATCH(intrim2!C192,OFFSET(Intrim!$S$4,E191,0):'Intrim'!$S$401,0)+E191</f>
        <v>#N/A</v>
      </c>
      <c r="L192" t="str">
        <f t="shared" si="25"/>
        <v>185</v>
      </c>
      <c r="M192">
        <f>COUNTIF($N$6:N192,N192)</f>
        <v>185</v>
      </c>
      <c r="N192" t="str">
        <f t="shared" si="19"/>
        <v/>
      </c>
      <c r="O192" t="str">
        <f ca="1">IFERROR(INDEX(Intrim!$F$4:$F$201,P192),"")</f>
        <v/>
      </c>
      <c r="P192" t="e">
        <f ca="1">MATCH(intrim2!N192,OFFSET(Intrim!$G$4,P191,0):'Intrim'!$G$201,0)+P191</f>
        <v>#N/A</v>
      </c>
      <c r="V192">
        <v>187</v>
      </c>
      <c r="W192" t="str">
        <f t="shared" si="20"/>
        <v/>
      </c>
      <c r="X192" t="str">
        <f>IF(W192="","",COUNTIF($W$6:W192,W192))</f>
        <v/>
      </c>
      <c r="Y192" t="e">
        <f t="shared" si="21"/>
        <v>#N/A</v>
      </c>
      <c r="Z192" t="e">
        <f t="shared" si="22"/>
        <v>#N/A</v>
      </c>
      <c r="AA192" t="e">
        <f t="shared" si="23"/>
        <v>#N/A</v>
      </c>
      <c r="AB192" t="e">
        <f>VLOOKUP(Z192,Intrim!R:Z,9,0)</f>
        <v>#N/A</v>
      </c>
    </row>
    <row r="193" spans="1:28" x14ac:dyDescent="0.25">
      <c r="A193" t="str">
        <f t="shared" si="24"/>
        <v>185</v>
      </c>
      <c r="B193">
        <f>COUNTIF($C$6:C193,C193)</f>
        <v>185</v>
      </c>
      <c r="C193" t="str">
        <f t="shared" si="18"/>
        <v/>
      </c>
      <c r="D193" t="str">
        <f ca="1">IFERROR(INDEX(Intrim!$R$4:$R$401,E193),"")</f>
        <v/>
      </c>
      <c r="E193" t="e">
        <f ca="1">MATCH(intrim2!C193,OFFSET(Intrim!$S$4,E192,0):'Intrim'!$S$401,0)+E192</f>
        <v>#N/A</v>
      </c>
      <c r="L193" t="str">
        <f t="shared" si="25"/>
        <v>186</v>
      </c>
      <c r="M193">
        <f>COUNTIF($N$6:N193,N193)</f>
        <v>186</v>
      </c>
      <c r="N193" t="str">
        <f t="shared" si="19"/>
        <v/>
      </c>
      <c r="O193" t="str">
        <f ca="1">IFERROR(INDEX(Intrim!$F$4:$F$201,P193),"")</f>
        <v/>
      </c>
      <c r="P193" t="e">
        <f ca="1">MATCH(intrim2!N193,OFFSET(Intrim!$G$4,P192,0):'Intrim'!$G$201,0)+P192</f>
        <v>#N/A</v>
      </c>
      <c r="V193">
        <v>188</v>
      </c>
      <c r="W193" t="str">
        <f t="shared" si="20"/>
        <v/>
      </c>
      <c r="X193" t="str">
        <f>IF(W193="","",COUNTIF($W$6:W193,W193))</f>
        <v/>
      </c>
      <c r="Y193" t="e">
        <f t="shared" si="21"/>
        <v>#N/A</v>
      </c>
      <c r="Z193" t="e">
        <f t="shared" si="22"/>
        <v>#N/A</v>
      </c>
      <c r="AA193" t="e">
        <f t="shared" si="23"/>
        <v>#N/A</v>
      </c>
      <c r="AB193" t="e">
        <f>VLOOKUP(Z193,Intrim!R:Z,9,0)</f>
        <v>#N/A</v>
      </c>
    </row>
    <row r="194" spans="1:28" x14ac:dyDescent="0.25">
      <c r="A194" t="str">
        <f t="shared" si="24"/>
        <v>186</v>
      </c>
      <c r="B194">
        <f>COUNTIF($C$6:C194,C194)</f>
        <v>186</v>
      </c>
      <c r="C194" t="str">
        <f t="shared" si="18"/>
        <v/>
      </c>
      <c r="D194" t="str">
        <f ca="1">IFERROR(INDEX(Intrim!$R$4:$R$401,E194),"")</f>
        <v/>
      </c>
      <c r="E194" t="e">
        <f ca="1">MATCH(intrim2!C194,OFFSET(Intrim!$S$4,E193,0):'Intrim'!$S$401,0)+E193</f>
        <v>#N/A</v>
      </c>
      <c r="L194" t="str">
        <f t="shared" si="25"/>
        <v>187</v>
      </c>
      <c r="M194">
        <f>COUNTIF($N$6:N194,N194)</f>
        <v>187</v>
      </c>
      <c r="N194" t="str">
        <f t="shared" si="19"/>
        <v/>
      </c>
      <c r="O194" t="str">
        <f ca="1">IFERROR(INDEX(Intrim!$F$4:$F$201,P194),"")</f>
        <v/>
      </c>
      <c r="P194" t="e">
        <f ca="1">MATCH(intrim2!N194,OFFSET(Intrim!$G$4,P193,0):'Intrim'!$G$201,0)+P193</f>
        <v>#N/A</v>
      </c>
      <c r="V194">
        <v>189</v>
      </c>
      <c r="W194" t="str">
        <f t="shared" si="20"/>
        <v/>
      </c>
      <c r="X194" t="str">
        <f>IF(W194="","",COUNTIF($W$6:W194,W194))</f>
        <v/>
      </c>
      <c r="Y194" t="e">
        <f t="shared" si="21"/>
        <v>#N/A</v>
      </c>
      <c r="Z194" t="e">
        <f t="shared" si="22"/>
        <v>#N/A</v>
      </c>
      <c r="AA194" t="e">
        <f t="shared" si="23"/>
        <v>#N/A</v>
      </c>
      <c r="AB194" t="e">
        <f>VLOOKUP(Z194,Intrim!R:Z,9,0)</f>
        <v>#N/A</v>
      </c>
    </row>
    <row r="195" spans="1:28" x14ac:dyDescent="0.25">
      <c r="A195" t="str">
        <f t="shared" si="24"/>
        <v>187</v>
      </c>
      <c r="B195">
        <f>COUNTIF($C$6:C195,C195)</f>
        <v>187</v>
      </c>
      <c r="C195" t="str">
        <f t="shared" si="18"/>
        <v/>
      </c>
      <c r="D195" t="str">
        <f ca="1">IFERROR(INDEX(Intrim!$R$4:$R$401,E195),"")</f>
        <v/>
      </c>
      <c r="E195" t="e">
        <f ca="1">MATCH(intrim2!C195,OFFSET(Intrim!$S$4,E194,0):'Intrim'!$S$401,0)+E194</f>
        <v>#N/A</v>
      </c>
      <c r="L195" t="str">
        <f t="shared" si="25"/>
        <v>188</v>
      </c>
      <c r="M195">
        <f>COUNTIF($N$6:N195,N195)</f>
        <v>188</v>
      </c>
      <c r="N195" t="str">
        <f t="shared" si="19"/>
        <v/>
      </c>
      <c r="O195" t="str">
        <f ca="1">IFERROR(INDEX(Intrim!$F$4:$F$201,P195),"")</f>
        <v/>
      </c>
      <c r="P195" t="e">
        <f ca="1">MATCH(intrim2!N195,OFFSET(Intrim!$G$4,P194,0):'Intrim'!$G$201,0)+P194</f>
        <v>#N/A</v>
      </c>
      <c r="V195">
        <v>190</v>
      </c>
      <c r="W195" t="str">
        <f t="shared" si="20"/>
        <v/>
      </c>
      <c r="X195" t="str">
        <f>IF(W195="","",COUNTIF($W$6:W195,W195))</f>
        <v/>
      </c>
      <c r="Y195" t="e">
        <f t="shared" si="21"/>
        <v>#N/A</v>
      </c>
      <c r="Z195" t="e">
        <f t="shared" si="22"/>
        <v>#N/A</v>
      </c>
      <c r="AA195" t="e">
        <f t="shared" si="23"/>
        <v>#N/A</v>
      </c>
      <c r="AB195" t="e">
        <f>VLOOKUP(Z195,Intrim!R:Z,9,0)</f>
        <v>#N/A</v>
      </c>
    </row>
    <row r="196" spans="1:28" x14ac:dyDescent="0.25">
      <c r="A196" t="str">
        <f t="shared" si="24"/>
        <v>188</v>
      </c>
      <c r="B196">
        <f>COUNTIF($C$6:C196,C196)</f>
        <v>188</v>
      </c>
      <c r="C196" t="str">
        <f t="shared" si="18"/>
        <v/>
      </c>
      <c r="D196" t="str">
        <f ca="1">IFERROR(INDEX(Intrim!$R$4:$R$401,E196),"")</f>
        <v/>
      </c>
      <c r="E196" t="e">
        <f ca="1">MATCH(intrim2!C196,OFFSET(Intrim!$S$4,E195,0):'Intrim'!$S$401,0)+E195</f>
        <v>#N/A</v>
      </c>
      <c r="L196" t="str">
        <f t="shared" si="25"/>
        <v>189</v>
      </c>
      <c r="M196">
        <f>COUNTIF($N$6:N196,N196)</f>
        <v>189</v>
      </c>
      <c r="N196" t="str">
        <f t="shared" si="19"/>
        <v/>
      </c>
      <c r="O196" t="str">
        <f ca="1">IFERROR(INDEX(Intrim!$F$4:$F$201,P196),"")</f>
        <v/>
      </c>
      <c r="P196" t="e">
        <f ca="1">MATCH(intrim2!N196,OFFSET(Intrim!$G$4,P195,0):'Intrim'!$G$201,0)+P195</f>
        <v>#N/A</v>
      </c>
      <c r="V196">
        <v>191</v>
      </c>
      <c r="W196" t="str">
        <f t="shared" si="20"/>
        <v/>
      </c>
      <c r="X196" t="str">
        <f>IF(W196="","",COUNTIF($W$6:W196,W196))</f>
        <v/>
      </c>
      <c r="Y196" t="e">
        <f t="shared" si="21"/>
        <v>#N/A</v>
      </c>
      <c r="Z196" t="e">
        <f t="shared" si="22"/>
        <v>#N/A</v>
      </c>
      <c r="AA196" t="e">
        <f t="shared" si="23"/>
        <v>#N/A</v>
      </c>
      <c r="AB196" t="e">
        <f>VLOOKUP(Z196,Intrim!R:Z,9,0)</f>
        <v>#N/A</v>
      </c>
    </row>
    <row r="197" spans="1:28" x14ac:dyDescent="0.25">
      <c r="A197" t="str">
        <f t="shared" si="24"/>
        <v>189</v>
      </c>
      <c r="B197">
        <f>COUNTIF($C$6:C197,C197)</f>
        <v>189</v>
      </c>
      <c r="C197" t="str">
        <f t="shared" si="18"/>
        <v/>
      </c>
      <c r="D197" t="str">
        <f ca="1">IFERROR(INDEX(Intrim!$R$4:$R$401,E197),"")</f>
        <v/>
      </c>
      <c r="E197" t="e">
        <f ca="1">MATCH(intrim2!C197,OFFSET(Intrim!$S$4,E196,0):'Intrim'!$S$401,0)+E196</f>
        <v>#N/A</v>
      </c>
      <c r="L197" t="str">
        <f t="shared" si="25"/>
        <v>190</v>
      </c>
      <c r="M197">
        <f>COUNTIF($N$6:N197,N197)</f>
        <v>190</v>
      </c>
      <c r="N197" t="str">
        <f t="shared" si="19"/>
        <v/>
      </c>
      <c r="O197" t="str">
        <f ca="1">IFERROR(INDEX(Intrim!$F$4:$F$201,P197),"")</f>
        <v/>
      </c>
      <c r="P197" t="e">
        <f ca="1">MATCH(intrim2!N197,OFFSET(Intrim!$G$4,P196,0):'Intrim'!$G$201,0)+P196</f>
        <v>#N/A</v>
      </c>
      <c r="V197">
        <v>192</v>
      </c>
      <c r="W197" t="str">
        <f t="shared" si="20"/>
        <v/>
      </c>
      <c r="X197" t="str">
        <f>IF(W197="","",COUNTIF($W$6:W197,W197))</f>
        <v/>
      </c>
      <c r="Y197" t="e">
        <f t="shared" si="21"/>
        <v>#N/A</v>
      </c>
      <c r="Z197" t="e">
        <f t="shared" si="22"/>
        <v>#N/A</v>
      </c>
      <c r="AA197" t="e">
        <f t="shared" si="23"/>
        <v>#N/A</v>
      </c>
      <c r="AB197" t="e">
        <f>VLOOKUP(Z197,Intrim!R:Z,9,0)</f>
        <v>#N/A</v>
      </c>
    </row>
    <row r="198" spans="1:28" x14ac:dyDescent="0.25">
      <c r="A198" t="str">
        <f t="shared" si="24"/>
        <v>190</v>
      </c>
      <c r="B198">
        <f>COUNTIF($C$6:C198,C198)</f>
        <v>190</v>
      </c>
      <c r="C198" t="str">
        <f t="shared" si="18"/>
        <v/>
      </c>
      <c r="D198" t="str">
        <f ca="1">IFERROR(INDEX(Intrim!$R$4:$R$401,E198),"")</f>
        <v/>
      </c>
      <c r="E198" t="e">
        <f ca="1">MATCH(intrim2!C198,OFFSET(Intrim!$S$4,E197,0):'Intrim'!$S$401,0)+E197</f>
        <v>#N/A</v>
      </c>
      <c r="L198" t="str">
        <f t="shared" si="25"/>
        <v>191</v>
      </c>
      <c r="M198">
        <f>COUNTIF($N$6:N198,N198)</f>
        <v>191</v>
      </c>
      <c r="N198" t="str">
        <f t="shared" si="19"/>
        <v/>
      </c>
      <c r="O198" t="str">
        <f ca="1">IFERROR(INDEX(Intrim!$F$4:$F$201,P198),"")</f>
        <v/>
      </c>
      <c r="P198" t="e">
        <f ca="1">MATCH(intrim2!N198,OFFSET(Intrim!$G$4,P197,0):'Intrim'!$G$201,0)+P197</f>
        <v>#N/A</v>
      </c>
      <c r="V198">
        <v>193</v>
      </c>
      <c r="W198" t="str">
        <f t="shared" si="20"/>
        <v/>
      </c>
      <c r="X198" t="str">
        <f>IF(W198="","",COUNTIF($W$6:W198,W198))</f>
        <v/>
      </c>
      <c r="Y198" t="e">
        <f t="shared" si="21"/>
        <v>#N/A</v>
      </c>
      <c r="Z198" t="e">
        <f t="shared" si="22"/>
        <v>#N/A</v>
      </c>
      <c r="AA198" t="e">
        <f t="shared" si="23"/>
        <v>#N/A</v>
      </c>
      <c r="AB198" t="e">
        <f>VLOOKUP(Z198,Intrim!R:Z,9,0)</f>
        <v>#N/A</v>
      </c>
    </row>
    <row r="199" spans="1:28" x14ac:dyDescent="0.25">
      <c r="A199" t="str">
        <f t="shared" si="24"/>
        <v>191</v>
      </c>
      <c r="B199">
        <f>COUNTIF($C$6:C199,C199)</f>
        <v>191</v>
      </c>
      <c r="C199" t="str">
        <f t="shared" ref="C199:C262" si="26">IF(ROW(C199)&lt;=$D$3+5,$B$1,"")</f>
        <v/>
      </c>
      <c r="D199" t="str">
        <f ca="1">IFERROR(INDEX(Intrim!$R$4:$R$401,E199),"")</f>
        <v/>
      </c>
      <c r="E199" t="e">
        <f ca="1">MATCH(intrim2!C199,OFFSET(Intrim!$S$4,E198,0):'Intrim'!$S$401,0)+E198</f>
        <v>#N/A</v>
      </c>
      <c r="L199" t="str">
        <f t="shared" si="25"/>
        <v>192</v>
      </c>
      <c r="M199">
        <f>COUNTIF($N$6:N199,N199)</f>
        <v>192</v>
      </c>
      <c r="N199" t="str">
        <f t="shared" ref="N199:N262" si="27">IF(ROW(N199)&lt;=$O$3+5,$B$1,"")</f>
        <v/>
      </c>
      <c r="O199" t="str">
        <f ca="1">IFERROR(INDEX(Intrim!$F$4:$F$201,P199),"")</f>
        <v/>
      </c>
      <c r="P199" t="e">
        <f ca="1">MATCH(intrim2!N199,OFFSET(Intrim!$G$4,P198,0):'Intrim'!$G$201,0)+P198</f>
        <v>#N/A</v>
      </c>
      <c r="V199">
        <v>194</v>
      </c>
      <c r="W199" t="str">
        <f t="shared" ref="W199:W262" si="28">IF(ROUNDUP(V199/$D$3,0)&lt;=$O$3,ROUNDUP(V199/$D$3,0),"")</f>
        <v/>
      </c>
      <c r="X199" t="str">
        <f>IF(W199="","",COUNTIF($W$6:W199,W199))</f>
        <v/>
      </c>
      <c r="Y199" t="e">
        <f t="shared" ref="Y199:Y262" si="29">VLOOKUP(W199&amp;$Y$3,L:O,4,0)</f>
        <v>#N/A</v>
      </c>
      <c r="Z199" t="e">
        <f t="shared" ref="Z199:Z262" si="30">VLOOKUP(X199&amp;$Y$3,A:D,4,0)</f>
        <v>#N/A</v>
      </c>
      <c r="AA199" t="e">
        <f t="shared" ref="AA199:AA262" si="31">INDEX($N$6:$N$305,MATCH(Y199,$O$6:$O$305,0))</f>
        <v>#N/A</v>
      </c>
      <c r="AB199" t="e">
        <f>VLOOKUP(Z199,Intrim!R:Z,9,0)</f>
        <v>#N/A</v>
      </c>
    </row>
    <row r="200" spans="1:28" x14ac:dyDescent="0.25">
      <c r="A200" t="str">
        <f t="shared" ref="A200:A263" si="32">+B200&amp;C200</f>
        <v>192</v>
      </c>
      <c r="B200">
        <f>COUNTIF($C$6:C200,C200)</f>
        <v>192</v>
      </c>
      <c r="C200" t="str">
        <f t="shared" si="26"/>
        <v/>
      </c>
      <c r="D200" t="str">
        <f ca="1">IFERROR(INDEX(Intrim!$R$4:$R$401,E200),"")</f>
        <v/>
      </c>
      <c r="E200" t="e">
        <f ca="1">MATCH(intrim2!C200,OFFSET(Intrim!$S$4,E199,0):'Intrim'!$S$401,0)+E199</f>
        <v>#N/A</v>
      </c>
      <c r="L200" t="str">
        <f t="shared" si="25"/>
        <v>193</v>
      </c>
      <c r="M200">
        <f>COUNTIF($N$6:N200,N200)</f>
        <v>193</v>
      </c>
      <c r="N200" t="str">
        <f t="shared" si="27"/>
        <v/>
      </c>
      <c r="O200" t="str">
        <f ca="1">IFERROR(INDEX(Intrim!$F$4:$F$201,P200),"")</f>
        <v/>
      </c>
      <c r="P200" t="e">
        <f ca="1">MATCH(intrim2!N200,OFFSET(Intrim!$G$4,P199,0):'Intrim'!$G$201,0)+P199</f>
        <v>#N/A</v>
      </c>
      <c r="V200">
        <v>195</v>
      </c>
      <c r="W200" t="str">
        <f t="shared" si="28"/>
        <v/>
      </c>
      <c r="X200" t="str">
        <f>IF(W200="","",COUNTIF($W$6:W200,W200))</f>
        <v/>
      </c>
      <c r="Y200" t="e">
        <f t="shared" si="29"/>
        <v>#N/A</v>
      </c>
      <c r="Z200" t="e">
        <f t="shared" si="30"/>
        <v>#N/A</v>
      </c>
      <c r="AA200" t="e">
        <f t="shared" si="31"/>
        <v>#N/A</v>
      </c>
      <c r="AB200" t="e">
        <f>VLOOKUP(Z200,Intrim!R:Z,9,0)</f>
        <v>#N/A</v>
      </c>
    </row>
    <row r="201" spans="1:28" x14ac:dyDescent="0.25">
      <c r="A201" t="str">
        <f t="shared" si="32"/>
        <v>193</v>
      </c>
      <c r="B201">
        <f>COUNTIF($C$6:C201,C201)</f>
        <v>193</v>
      </c>
      <c r="C201" t="str">
        <f t="shared" si="26"/>
        <v/>
      </c>
      <c r="D201" t="str">
        <f ca="1">IFERROR(INDEX(Intrim!$R$4:$R$401,E201),"")</f>
        <v/>
      </c>
      <c r="E201" t="e">
        <f ca="1">MATCH(intrim2!C201,OFFSET(Intrim!$S$4,E200,0):'Intrim'!$S$401,0)+E200</f>
        <v>#N/A</v>
      </c>
      <c r="L201" t="str">
        <f t="shared" ref="L201:L264" si="33">+M201&amp;N201</f>
        <v>194</v>
      </c>
      <c r="M201">
        <f>COUNTIF($N$6:N201,N201)</f>
        <v>194</v>
      </c>
      <c r="N201" t="str">
        <f t="shared" si="27"/>
        <v/>
      </c>
      <c r="O201" t="str">
        <f ca="1">IFERROR(INDEX(Intrim!$F$4:$F$201,P201),"")</f>
        <v/>
      </c>
      <c r="P201" t="e">
        <f ca="1">MATCH(intrim2!N201,OFFSET(Intrim!$G$4,P200,0):'Intrim'!$G$201,0)+P200</f>
        <v>#N/A</v>
      </c>
      <c r="V201">
        <v>196</v>
      </c>
      <c r="W201" t="str">
        <f t="shared" si="28"/>
        <v/>
      </c>
      <c r="X201" t="str">
        <f>IF(W201="","",COUNTIF($W$6:W201,W201))</f>
        <v/>
      </c>
      <c r="Y201" t="e">
        <f t="shared" si="29"/>
        <v>#N/A</v>
      </c>
      <c r="Z201" t="e">
        <f t="shared" si="30"/>
        <v>#N/A</v>
      </c>
      <c r="AA201" t="e">
        <f t="shared" si="31"/>
        <v>#N/A</v>
      </c>
      <c r="AB201" t="e">
        <f>VLOOKUP(Z201,Intrim!R:Z,9,0)</f>
        <v>#N/A</v>
      </c>
    </row>
    <row r="202" spans="1:28" x14ac:dyDescent="0.25">
      <c r="A202" t="str">
        <f t="shared" si="32"/>
        <v>194</v>
      </c>
      <c r="B202">
        <f>COUNTIF($C$6:C202,C202)</f>
        <v>194</v>
      </c>
      <c r="C202" t="str">
        <f t="shared" si="26"/>
        <v/>
      </c>
      <c r="D202" t="str">
        <f ca="1">IFERROR(INDEX(Intrim!$R$4:$R$401,E202),"")</f>
        <v/>
      </c>
      <c r="E202" t="e">
        <f ca="1">MATCH(intrim2!C202,OFFSET(Intrim!$S$4,E201,0):'Intrim'!$S$401,0)+E201</f>
        <v>#N/A</v>
      </c>
      <c r="L202" t="str">
        <f t="shared" si="33"/>
        <v>195</v>
      </c>
      <c r="M202">
        <f>COUNTIF($N$6:N202,N202)</f>
        <v>195</v>
      </c>
      <c r="N202" t="str">
        <f t="shared" si="27"/>
        <v/>
      </c>
      <c r="O202" t="str">
        <f ca="1">IFERROR(INDEX(Intrim!$F$4:$F$201,P202),"")</f>
        <v/>
      </c>
      <c r="P202" t="e">
        <f ca="1">MATCH(intrim2!N202,OFFSET(Intrim!$G$4,P201,0):'Intrim'!$G$201,0)+P201</f>
        <v>#N/A</v>
      </c>
      <c r="V202">
        <v>197</v>
      </c>
      <c r="W202" t="str">
        <f t="shared" si="28"/>
        <v/>
      </c>
      <c r="X202" t="str">
        <f>IF(W202="","",COUNTIF($W$6:W202,W202))</f>
        <v/>
      </c>
      <c r="Y202" t="e">
        <f t="shared" si="29"/>
        <v>#N/A</v>
      </c>
      <c r="Z202" t="e">
        <f t="shared" si="30"/>
        <v>#N/A</v>
      </c>
      <c r="AA202" t="e">
        <f t="shared" si="31"/>
        <v>#N/A</v>
      </c>
      <c r="AB202" t="e">
        <f>VLOOKUP(Z202,Intrim!R:Z,9,0)</f>
        <v>#N/A</v>
      </c>
    </row>
    <row r="203" spans="1:28" x14ac:dyDescent="0.25">
      <c r="A203" t="str">
        <f t="shared" si="32"/>
        <v>195</v>
      </c>
      <c r="B203">
        <f>COUNTIF($C$6:C203,C203)</f>
        <v>195</v>
      </c>
      <c r="C203" t="str">
        <f t="shared" si="26"/>
        <v/>
      </c>
      <c r="D203" t="str">
        <f ca="1">IFERROR(INDEX(Intrim!$R$4:$R$401,E203),"")</f>
        <v/>
      </c>
      <c r="E203" t="e">
        <f ca="1">MATCH(intrim2!C203,OFFSET(Intrim!$S$4,E202,0):'Intrim'!$S$401,0)+E202</f>
        <v>#N/A</v>
      </c>
      <c r="L203" t="str">
        <f t="shared" si="33"/>
        <v>196</v>
      </c>
      <c r="M203">
        <f>COUNTIF($N$6:N203,N203)</f>
        <v>196</v>
      </c>
      <c r="N203" t="str">
        <f t="shared" si="27"/>
        <v/>
      </c>
      <c r="O203" t="str">
        <f ca="1">IFERROR(INDEX(Intrim!$F$4:$F$201,P203),"")</f>
        <v/>
      </c>
      <c r="P203" t="e">
        <f ca="1">MATCH(intrim2!N203,OFFSET(Intrim!$G$4,P202,0):'Intrim'!$G$201,0)+P202</f>
        <v>#N/A</v>
      </c>
      <c r="V203">
        <v>198</v>
      </c>
      <c r="W203" t="str">
        <f t="shared" si="28"/>
        <v/>
      </c>
      <c r="X203" t="str">
        <f>IF(W203="","",COUNTIF($W$6:W203,W203))</f>
        <v/>
      </c>
      <c r="Y203" t="e">
        <f t="shared" si="29"/>
        <v>#N/A</v>
      </c>
      <c r="Z203" t="e">
        <f t="shared" si="30"/>
        <v>#N/A</v>
      </c>
      <c r="AA203" t="e">
        <f t="shared" si="31"/>
        <v>#N/A</v>
      </c>
      <c r="AB203" t="e">
        <f>VLOOKUP(Z203,Intrim!R:Z,9,0)</f>
        <v>#N/A</v>
      </c>
    </row>
    <row r="204" spans="1:28" x14ac:dyDescent="0.25">
      <c r="A204" t="str">
        <f t="shared" si="32"/>
        <v>196</v>
      </c>
      <c r="B204">
        <f>COUNTIF($C$6:C204,C204)</f>
        <v>196</v>
      </c>
      <c r="C204" t="str">
        <f t="shared" si="26"/>
        <v/>
      </c>
      <c r="D204" t="str">
        <f ca="1">IFERROR(INDEX(Intrim!$R$4:$R$401,E204),"")</f>
        <v/>
      </c>
      <c r="E204" t="e">
        <f ca="1">MATCH(intrim2!C204,OFFSET(Intrim!$S$4,E203,0):'Intrim'!$S$401,0)+E203</f>
        <v>#N/A</v>
      </c>
      <c r="L204" t="str">
        <f t="shared" si="33"/>
        <v>197</v>
      </c>
      <c r="M204">
        <f>COUNTIF($N$6:N204,N204)</f>
        <v>197</v>
      </c>
      <c r="N204" t="str">
        <f t="shared" si="27"/>
        <v/>
      </c>
      <c r="O204" t="str">
        <f ca="1">IFERROR(INDEX(Intrim!$F$4:$F$201,P204),"")</f>
        <v/>
      </c>
      <c r="P204" t="e">
        <f ca="1">MATCH(intrim2!N204,OFFSET(Intrim!$G$4,P203,0):'Intrim'!$G$201,0)+P203</f>
        <v>#N/A</v>
      </c>
      <c r="V204">
        <v>199</v>
      </c>
      <c r="W204" t="str">
        <f t="shared" si="28"/>
        <v/>
      </c>
      <c r="X204" t="str">
        <f>IF(W204="","",COUNTIF($W$6:W204,W204))</f>
        <v/>
      </c>
      <c r="Y204" t="e">
        <f t="shared" si="29"/>
        <v>#N/A</v>
      </c>
      <c r="Z204" t="e">
        <f t="shared" si="30"/>
        <v>#N/A</v>
      </c>
      <c r="AA204" t="e">
        <f t="shared" si="31"/>
        <v>#N/A</v>
      </c>
      <c r="AB204" t="e">
        <f>VLOOKUP(Z204,Intrim!R:Z,9,0)</f>
        <v>#N/A</v>
      </c>
    </row>
    <row r="205" spans="1:28" x14ac:dyDescent="0.25">
      <c r="A205" t="str">
        <f t="shared" si="32"/>
        <v>197</v>
      </c>
      <c r="B205">
        <f>COUNTIF($C$6:C205,C205)</f>
        <v>197</v>
      </c>
      <c r="C205" t="str">
        <f t="shared" si="26"/>
        <v/>
      </c>
      <c r="D205" t="str">
        <f ca="1">IFERROR(INDEX(Intrim!$R$4:$R$401,E205),"")</f>
        <v/>
      </c>
      <c r="E205" t="e">
        <f ca="1">MATCH(intrim2!C205,OFFSET(Intrim!$S$4,E204,0):'Intrim'!$S$401,0)+E204</f>
        <v>#N/A</v>
      </c>
      <c r="L205" t="str">
        <f t="shared" si="33"/>
        <v>198</v>
      </c>
      <c r="M205">
        <f>COUNTIF($N$6:N205,N205)</f>
        <v>198</v>
      </c>
      <c r="N205" t="str">
        <f t="shared" si="27"/>
        <v/>
      </c>
      <c r="O205" t="str">
        <f ca="1">IFERROR(INDEX(Intrim!$F$4:$F$201,P205),"")</f>
        <v/>
      </c>
      <c r="P205" t="e">
        <f ca="1">MATCH(intrim2!N205,OFFSET(Intrim!$G$4,P204,0):'Intrim'!$G$201,0)+P204</f>
        <v>#N/A</v>
      </c>
      <c r="V205">
        <v>200</v>
      </c>
      <c r="W205" t="str">
        <f t="shared" si="28"/>
        <v/>
      </c>
      <c r="X205" t="str">
        <f>IF(W205="","",COUNTIF($W$6:W205,W205))</f>
        <v/>
      </c>
      <c r="Y205" t="e">
        <f t="shared" si="29"/>
        <v>#N/A</v>
      </c>
      <c r="Z205" t="e">
        <f t="shared" si="30"/>
        <v>#N/A</v>
      </c>
      <c r="AA205" t="e">
        <f t="shared" si="31"/>
        <v>#N/A</v>
      </c>
      <c r="AB205" t="e">
        <f>VLOOKUP(Z205,Intrim!R:Z,9,0)</f>
        <v>#N/A</v>
      </c>
    </row>
    <row r="206" spans="1:28" x14ac:dyDescent="0.25">
      <c r="A206" t="str">
        <f t="shared" si="32"/>
        <v>198</v>
      </c>
      <c r="B206">
        <f>COUNTIF($C$6:C206,C206)</f>
        <v>198</v>
      </c>
      <c r="C206" t="str">
        <f t="shared" si="26"/>
        <v/>
      </c>
      <c r="D206" t="str">
        <f ca="1">IFERROR(INDEX(Intrim!$R$4:$R$401,E206),"")</f>
        <v/>
      </c>
      <c r="E206" t="e">
        <f ca="1">MATCH(intrim2!C206,OFFSET(Intrim!$S$4,E205,0):'Intrim'!$S$401,0)+E205</f>
        <v>#N/A</v>
      </c>
      <c r="L206" t="str">
        <f t="shared" si="33"/>
        <v>199</v>
      </c>
      <c r="M206">
        <f>COUNTIF($N$6:N206,N206)</f>
        <v>199</v>
      </c>
      <c r="N206" t="str">
        <f t="shared" si="27"/>
        <v/>
      </c>
      <c r="O206" t="str">
        <f ca="1">IFERROR(INDEX(Intrim!$F$4:$F$201,P206),"")</f>
        <v/>
      </c>
      <c r="P206" t="e">
        <f ca="1">MATCH(intrim2!N206,OFFSET(Intrim!$G$4,P205,0):'Intrim'!$G$201,0)+P205</f>
        <v>#N/A</v>
      </c>
      <c r="V206">
        <v>201</v>
      </c>
      <c r="W206" t="str">
        <f t="shared" si="28"/>
        <v/>
      </c>
      <c r="X206" t="str">
        <f>IF(W206="","",COUNTIF($W$6:W206,W206))</f>
        <v/>
      </c>
      <c r="Y206" t="e">
        <f t="shared" si="29"/>
        <v>#N/A</v>
      </c>
      <c r="Z206" t="e">
        <f t="shared" si="30"/>
        <v>#N/A</v>
      </c>
      <c r="AA206" t="e">
        <f t="shared" si="31"/>
        <v>#N/A</v>
      </c>
      <c r="AB206" t="e">
        <f>VLOOKUP(Z206,Intrim!R:Z,9,0)</f>
        <v>#N/A</v>
      </c>
    </row>
    <row r="207" spans="1:28" x14ac:dyDescent="0.25">
      <c r="A207" t="str">
        <f t="shared" si="32"/>
        <v>199</v>
      </c>
      <c r="B207">
        <f>COUNTIF($C$6:C207,C207)</f>
        <v>199</v>
      </c>
      <c r="C207" t="str">
        <f t="shared" si="26"/>
        <v/>
      </c>
      <c r="D207" t="str">
        <f ca="1">IFERROR(INDEX(Intrim!$R$4:$R$401,E207),"")</f>
        <v/>
      </c>
      <c r="E207" t="e">
        <f ca="1">MATCH(intrim2!C207,OFFSET(Intrim!$S$4,E206,0):'Intrim'!$S$401,0)+E206</f>
        <v>#N/A</v>
      </c>
      <c r="L207" t="str">
        <f t="shared" si="33"/>
        <v>200</v>
      </c>
      <c r="M207">
        <f>COUNTIF($N$6:N207,N207)</f>
        <v>200</v>
      </c>
      <c r="N207" t="str">
        <f t="shared" si="27"/>
        <v/>
      </c>
      <c r="O207" t="str">
        <f ca="1">IFERROR(INDEX(Intrim!$F$4:$F$201,P207),"")</f>
        <v/>
      </c>
      <c r="P207" t="e">
        <f ca="1">MATCH(intrim2!N207,OFFSET(Intrim!$G$4,P206,0):'Intrim'!$G$201,0)+P206</f>
        <v>#N/A</v>
      </c>
      <c r="V207">
        <v>202</v>
      </c>
      <c r="W207" t="str">
        <f t="shared" si="28"/>
        <v/>
      </c>
      <c r="X207" t="str">
        <f>IF(W207="","",COUNTIF($W$6:W207,W207))</f>
        <v/>
      </c>
      <c r="Y207" t="e">
        <f t="shared" si="29"/>
        <v>#N/A</v>
      </c>
      <c r="Z207" t="e">
        <f t="shared" si="30"/>
        <v>#N/A</v>
      </c>
      <c r="AA207" t="e">
        <f t="shared" si="31"/>
        <v>#N/A</v>
      </c>
      <c r="AB207" t="e">
        <f>VLOOKUP(Z207,Intrim!R:Z,9,0)</f>
        <v>#N/A</v>
      </c>
    </row>
    <row r="208" spans="1:28" x14ac:dyDescent="0.25">
      <c r="A208" t="str">
        <f t="shared" si="32"/>
        <v>200</v>
      </c>
      <c r="B208">
        <f>COUNTIF($C$6:C208,C208)</f>
        <v>200</v>
      </c>
      <c r="C208" t="str">
        <f t="shared" si="26"/>
        <v/>
      </c>
      <c r="D208" t="str">
        <f ca="1">IFERROR(INDEX(Intrim!$R$4:$R$401,E208),"")</f>
        <v/>
      </c>
      <c r="E208" t="e">
        <f ca="1">MATCH(intrim2!C208,OFFSET(Intrim!$S$4,E207,0):'Intrim'!$S$401,0)+E207</f>
        <v>#N/A</v>
      </c>
      <c r="L208" t="str">
        <f t="shared" si="33"/>
        <v>201</v>
      </c>
      <c r="M208">
        <f>COUNTIF($N$6:N208,N208)</f>
        <v>201</v>
      </c>
      <c r="N208" t="str">
        <f t="shared" si="27"/>
        <v/>
      </c>
      <c r="O208" t="str">
        <f ca="1">IFERROR(INDEX(Intrim!$F$4:$F$201,P208),"")</f>
        <v/>
      </c>
      <c r="P208" t="e">
        <f ca="1">MATCH(intrim2!N208,OFFSET(Intrim!$G$4,P207,0):'Intrim'!$G$201,0)+P207</f>
        <v>#N/A</v>
      </c>
      <c r="V208">
        <v>203</v>
      </c>
      <c r="W208" t="str">
        <f t="shared" si="28"/>
        <v/>
      </c>
      <c r="X208" t="str">
        <f>IF(W208="","",COUNTIF($W$6:W208,W208))</f>
        <v/>
      </c>
      <c r="Y208" t="e">
        <f t="shared" si="29"/>
        <v>#N/A</v>
      </c>
      <c r="Z208" t="e">
        <f t="shared" si="30"/>
        <v>#N/A</v>
      </c>
      <c r="AA208" t="e">
        <f t="shared" si="31"/>
        <v>#N/A</v>
      </c>
      <c r="AB208" t="e">
        <f>VLOOKUP(Z208,Intrim!R:Z,9,0)</f>
        <v>#N/A</v>
      </c>
    </row>
    <row r="209" spans="1:28" x14ac:dyDescent="0.25">
      <c r="A209" t="str">
        <f t="shared" si="32"/>
        <v>201</v>
      </c>
      <c r="B209">
        <f>COUNTIF($C$6:C209,C209)</f>
        <v>201</v>
      </c>
      <c r="C209" t="str">
        <f t="shared" si="26"/>
        <v/>
      </c>
      <c r="D209" t="str">
        <f ca="1">IFERROR(INDEX(Intrim!$R$4:$R$401,E209),"")</f>
        <v/>
      </c>
      <c r="E209" t="e">
        <f ca="1">MATCH(intrim2!C209,OFFSET(Intrim!$S$4,E208,0):'Intrim'!$S$401,0)+E208</f>
        <v>#N/A</v>
      </c>
      <c r="L209" t="str">
        <f t="shared" si="33"/>
        <v>202</v>
      </c>
      <c r="M209">
        <f>COUNTIF($N$6:N209,N209)</f>
        <v>202</v>
      </c>
      <c r="N209" t="str">
        <f t="shared" si="27"/>
        <v/>
      </c>
      <c r="O209" t="str">
        <f ca="1">IFERROR(INDEX(Intrim!$F$4:$F$201,P209),"")</f>
        <v/>
      </c>
      <c r="P209" t="e">
        <f ca="1">MATCH(intrim2!N209,OFFSET(Intrim!$G$4,P208,0):'Intrim'!$G$201,0)+P208</f>
        <v>#N/A</v>
      </c>
      <c r="V209">
        <v>204</v>
      </c>
      <c r="W209" t="str">
        <f t="shared" si="28"/>
        <v/>
      </c>
      <c r="X209" t="str">
        <f>IF(W209="","",COUNTIF($W$6:W209,W209))</f>
        <v/>
      </c>
      <c r="Y209" t="e">
        <f t="shared" si="29"/>
        <v>#N/A</v>
      </c>
      <c r="Z209" t="e">
        <f t="shared" si="30"/>
        <v>#N/A</v>
      </c>
      <c r="AA209" t="e">
        <f t="shared" si="31"/>
        <v>#N/A</v>
      </c>
      <c r="AB209" t="e">
        <f>VLOOKUP(Z209,Intrim!R:Z,9,0)</f>
        <v>#N/A</v>
      </c>
    </row>
    <row r="210" spans="1:28" x14ac:dyDescent="0.25">
      <c r="A210" t="str">
        <f t="shared" si="32"/>
        <v>202</v>
      </c>
      <c r="B210">
        <f>COUNTIF($C$6:C210,C210)</f>
        <v>202</v>
      </c>
      <c r="C210" t="str">
        <f t="shared" si="26"/>
        <v/>
      </c>
      <c r="D210" t="str">
        <f ca="1">IFERROR(INDEX(Intrim!$R$4:$R$401,E210),"")</f>
        <v/>
      </c>
      <c r="E210" t="e">
        <f ca="1">MATCH(intrim2!C210,OFFSET(Intrim!$S$4,E209,0):'Intrim'!$S$401,0)+E209</f>
        <v>#N/A</v>
      </c>
      <c r="L210" t="str">
        <f t="shared" si="33"/>
        <v>203</v>
      </c>
      <c r="M210">
        <f>COUNTIF($N$6:N210,N210)</f>
        <v>203</v>
      </c>
      <c r="N210" t="str">
        <f t="shared" si="27"/>
        <v/>
      </c>
      <c r="O210" t="str">
        <f ca="1">IFERROR(INDEX(Intrim!$F$4:$F$201,P210),"")</f>
        <v/>
      </c>
      <c r="P210" t="e">
        <f ca="1">MATCH(intrim2!N210,OFFSET(Intrim!$G$4,P209,0):'Intrim'!$G$201,0)+P209</f>
        <v>#N/A</v>
      </c>
      <c r="V210">
        <v>205</v>
      </c>
      <c r="W210" t="str">
        <f t="shared" si="28"/>
        <v/>
      </c>
      <c r="X210" t="str">
        <f>IF(W210="","",COUNTIF($W$6:W210,W210))</f>
        <v/>
      </c>
      <c r="Y210" t="e">
        <f t="shared" si="29"/>
        <v>#N/A</v>
      </c>
      <c r="Z210" t="e">
        <f t="shared" si="30"/>
        <v>#N/A</v>
      </c>
      <c r="AA210" t="e">
        <f t="shared" si="31"/>
        <v>#N/A</v>
      </c>
      <c r="AB210" t="e">
        <f>VLOOKUP(Z210,Intrim!R:Z,9,0)</f>
        <v>#N/A</v>
      </c>
    </row>
    <row r="211" spans="1:28" x14ac:dyDescent="0.25">
      <c r="A211" t="str">
        <f t="shared" si="32"/>
        <v>203</v>
      </c>
      <c r="B211">
        <f>COUNTIF($C$6:C211,C211)</f>
        <v>203</v>
      </c>
      <c r="C211" t="str">
        <f t="shared" si="26"/>
        <v/>
      </c>
      <c r="D211" t="str">
        <f ca="1">IFERROR(INDEX(Intrim!$R$4:$R$401,E211),"")</f>
        <v/>
      </c>
      <c r="E211" t="e">
        <f ca="1">MATCH(intrim2!C211,OFFSET(Intrim!$S$4,E210,0):'Intrim'!$S$401,0)+E210</f>
        <v>#N/A</v>
      </c>
      <c r="L211" t="str">
        <f t="shared" si="33"/>
        <v>204</v>
      </c>
      <c r="M211">
        <f>COUNTIF($N$6:N211,N211)</f>
        <v>204</v>
      </c>
      <c r="N211" t="str">
        <f t="shared" si="27"/>
        <v/>
      </c>
      <c r="O211" t="str">
        <f ca="1">IFERROR(INDEX(Intrim!$F$4:$F$201,P211),"")</f>
        <v/>
      </c>
      <c r="P211" t="e">
        <f ca="1">MATCH(intrim2!N211,OFFSET(Intrim!$G$4,P210,0):'Intrim'!$G$201,0)+P210</f>
        <v>#N/A</v>
      </c>
      <c r="V211">
        <v>206</v>
      </c>
      <c r="W211" t="str">
        <f t="shared" si="28"/>
        <v/>
      </c>
      <c r="X211" t="str">
        <f>IF(W211="","",COUNTIF($W$6:W211,W211))</f>
        <v/>
      </c>
      <c r="Y211" t="e">
        <f t="shared" si="29"/>
        <v>#N/A</v>
      </c>
      <c r="Z211" t="e">
        <f t="shared" si="30"/>
        <v>#N/A</v>
      </c>
      <c r="AA211" t="e">
        <f t="shared" si="31"/>
        <v>#N/A</v>
      </c>
      <c r="AB211" t="e">
        <f>VLOOKUP(Z211,Intrim!R:Z,9,0)</f>
        <v>#N/A</v>
      </c>
    </row>
    <row r="212" spans="1:28" x14ac:dyDescent="0.25">
      <c r="A212" t="str">
        <f t="shared" si="32"/>
        <v>204</v>
      </c>
      <c r="B212">
        <f>COUNTIF($C$6:C212,C212)</f>
        <v>204</v>
      </c>
      <c r="C212" t="str">
        <f t="shared" si="26"/>
        <v/>
      </c>
      <c r="D212" t="str">
        <f ca="1">IFERROR(INDEX(Intrim!$R$4:$R$401,E212),"")</f>
        <v/>
      </c>
      <c r="E212" t="e">
        <f ca="1">MATCH(intrim2!C212,OFFSET(Intrim!$S$4,E211,0):'Intrim'!$S$401,0)+E211</f>
        <v>#N/A</v>
      </c>
      <c r="L212" t="str">
        <f t="shared" si="33"/>
        <v>205</v>
      </c>
      <c r="M212">
        <f>COUNTIF($N$6:N212,N212)</f>
        <v>205</v>
      </c>
      <c r="N212" t="str">
        <f t="shared" si="27"/>
        <v/>
      </c>
      <c r="O212" t="str">
        <f ca="1">IFERROR(INDEX(Intrim!$F$4:$F$201,P212),"")</f>
        <v/>
      </c>
      <c r="P212" t="e">
        <f ca="1">MATCH(intrim2!N212,OFFSET(Intrim!$G$4,P211,0):'Intrim'!$G$201,0)+P211</f>
        <v>#N/A</v>
      </c>
      <c r="V212">
        <v>207</v>
      </c>
      <c r="W212" t="str">
        <f t="shared" si="28"/>
        <v/>
      </c>
      <c r="X212" t="str">
        <f>IF(W212="","",COUNTIF($W$6:W212,W212))</f>
        <v/>
      </c>
      <c r="Y212" t="e">
        <f t="shared" si="29"/>
        <v>#N/A</v>
      </c>
      <c r="Z212" t="e">
        <f t="shared" si="30"/>
        <v>#N/A</v>
      </c>
      <c r="AA212" t="e">
        <f t="shared" si="31"/>
        <v>#N/A</v>
      </c>
      <c r="AB212" t="e">
        <f>VLOOKUP(Z212,Intrim!R:Z,9,0)</f>
        <v>#N/A</v>
      </c>
    </row>
    <row r="213" spans="1:28" x14ac:dyDescent="0.25">
      <c r="A213" t="str">
        <f t="shared" si="32"/>
        <v>205</v>
      </c>
      <c r="B213">
        <f>COUNTIF($C$6:C213,C213)</f>
        <v>205</v>
      </c>
      <c r="C213" t="str">
        <f t="shared" si="26"/>
        <v/>
      </c>
      <c r="D213" t="str">
        <f ca="1">IFERROR(INDEX(Intrim!$R$4:$R$401,E213),"")</f>
        <v/>
      </c>
      <c r="E213" t="e">
        <f ca="1">MATCH(intrim2!C213,OFFSET(Intrim!$S$4,E212,0):'Intrim'!$S$401,0)+E212</f>
        <v>#N/A</v>
      </c>
      <c r="L213" t="str">
        <f t="shared" si="33"/>
        <v>206</v>
      </c>
      <c r="M213">
        <f>COUNTIF($N$6:N213,N213)</f>
        <v>206</v>
      </c>
      <c r="N213" t="str">
        <f t="shared" si="27"/>
        <v/>
      </c>
      <c r="O213" t="str">
        <f ca="1">IFERROR(INDEX(Intrim!$F$4:$F$201,P213),"")</f>
        <v/>
      </c>
      <c r="P213" t="e">
        <f ca="1">MATCH(intrim2!N213,OFFSET(Intrim!$G$4,P212,0):'Intrim'!$G$201,0)+P212</f>
        <v>#N/A</v>
      </c>
      <c r="V213">
        <v>208</v>
      </c>
      <c r="W213" t="str">
        <f t="shared" si="28"/>
        <v/>
      </c>
      <c r="X213" t="str">
        <f>IF(W213="","",COUNTIF($W$6:W213,W213))</f>
        <v/>
      </c>
      <c r="Y213" t="e">
        <f t="shared" si="29"/>
        <v>#N/A</v>
      </c>
      <c r="Z213" t="e">
        <f t="shared" si="30"/>
        <v>#N/A</v>
      </c>
      <c r="AA213" t="e">
        <f t="shared" si="31"/>
        <v>#N/A</v>
      </c>
      <c r="AB213" t="e">
        <f>VLOOKUP(Z213,Intrim!R:Z,9,0)</f>
        <v>#N/A</v>
      </c>
    </row>
    <row r="214" spans="1:28" x14ac:dyDescent="0.25">
      <c r="A214" t="str">
        <f t="shared" si="32"/>
        <v>206</v>
      </c>
      <c r="B214">
        <f>COUNTIF($C$6:C214,C214)</f>
        <v>206</v>
      </c>
      <c r="C214" t="str">
        <f t="shared" si="26"/>
        <v/>
      </c>
      <c r="D214" t="str">
        <f ca="1">IFERROR(INDEX(Intrim!$R$4:$R$401,E214),"")</f>
        <v/>
      </c>
      <c r="E214" t="e">
        <f ca="1">MATCH(intrim2!C214,OFFSET(Intrim!$S$4,E213,0):'Intrim'!$S$401,0)+E213</f>
        <v>#N/A</v>
      </c>
      <c r="L214" t="str">
        <f t="shared" si="33"/>
        <v>207</v>
      </c>
      <c r="M214">
        <f>COUNTIF($N$6:N214,N214)</f>
        <v>207</v>
      </c>
      <c r="N214" t="str">
        <f t="shared" si="27"/>
        <v/>
      </c>
      <c r="O214" t="str">
        <f ca="1">IFERROR(INDEX(Intrim!$F$4:$F$201,P214),"")</f>
        <v/>
      </c>
      <c r="P214" t="e">
        <f ca="1">MATCH(intrim2!N214,OFFSET(Intrim!$G$4,P213,0):'Intrim'!$G$201,0)+P213</f>
        <v>#N/A</v>
      </c>
      <c r="V214">
        <v>209</v>
      </c>
      <c r="W214" t="str">
        <f t="shared" si="28"/>
        <v/>
      </c>
      <c r="X214" t="str">
        <f>IF(W214="","",COUNTIF($W$6:W214,W214))</f>
        <v/>
      </c>
      <c r="Y214" t="e">
        <f t="shared" si="29"/>
        <v>#N/A</v>
      </c>
      <c r="Z214" t="e">
        <f t="shared" si="30"/>
        <v>#N/A</v>
      </c>
      <c r="AA214" t="e">
        <f t="shared" si="31"/>
        <v>#N/A</v>
      </c>
      <c r="AB214" t="e">
        <f>VLOOKUP(Z214,Intrim!R:Z,9,0)</f>
        <v>#N/A</v>
      </c>
    </row>
    <row r="215" spans="1:28" x14ac:dyDescent="0.25">
      <c r="A215" t="str">
        <f t="shared" si="32"/>
        <v>207</v>
      </c>
      <c r="B215">
        <f>COUNTIF($C$6:C215,C215)</f>
        <v>207</v>
      </c>
      <c r="C215" t="str">
        <f t="shared" si="26"/>
        <v/>
      </c>
      <c r="D215" t="str">
        <f ca="1">IFERROR(INDEX(Intrim!$R$4:$R$401,E215),"")</f>
        <v/>
      </c>
      <c r="E215" t="e">
        <f ca="1">MATCH(intrim2!C215,OFFSET(Intrim!$S$4,E214,0):'Intrim'!$S$401,0)+E214</f>
        <v>#N/A</v>
      </c>
      <c r="L215" t="str">
        <f t="shared" si="33"/>
        <v>208</v>
      </c>
      <c r="M215">
        <f>COUNTIF($N$6:N215,N215)</f>
        <v>208</v>
      </c>
      <c r="N215" t="str">
        <f t="shared" si="27"/>
        <v/>
      </c>
      <c r="O215" t="str">
        <f ca="1">IFERROR(INDEX(Intrim!$F$4:$F$201,P215),"")</f>
        <v/>
      </c>
      <c r="P215" t="e">
        <f ca="1">MATCH(intrim2!N215,OFFSET(Intrim!$G$4,P214,0):'Intrim'!$G$201,0)+P214</f>
        <v>#N/A</v>
      </c>
      <c r="V215">
        <v>210</v>
      </c>
      <c r="W215" t="str">
        <f t="shared" si="28"/>
        <v/>
      </c>
      <c r="X215" t="str">
        <f>IF(W215="","",COUNTIF($W$6:W215,W215))</f>
        <v/>
      </c>
      <c r="Y215" t="e">
        <f t="shared" si="29"/>
        <v>#N/A</v>
      </c>
      <c r="Z215" t="e">
        <f t="shared" si="30"/>
        <v>#N/A</v>
      </c>
      <c r="AA215" t="e">
        <f t="shared" si="31"/>
        <v>#N/A</v>
      </c>
      <c r="AB215" t="e">
        <f>VLOOKUP(Z215,Intrim!R:Z,9,0)</f>
        <v>#N/A</v>
      </c>
    </row>
    <row r="216" spans="1:28" x14ac:dyDescent="0.25">
      <c r="A216" t="str">
        <f t="shared" si="32"/>
        <v>208</v>
      </c>
      <c r="B216">
        <f>COUNTIF($C$6:C216,C216)</f>
        <v>208</v>
      </c>
      <c r="C216" t="str">
        <f t="shared" si="26"/>
        <v/>
      </c>
      <c r="D216" t="str">
        <f ca="1">IFERROR(INDEX(Intrim!$R$4:$R$401,E216),"")</f>
        <v/>
      </c>
      <c r="E216" t="e">
        <f ca="1">MATCH(intrim2!C216,OFFSET(Intrim!$S$4,E215,0):'Intrim'!$S$401,0)+E215</f>
        <v>#N/A</v>
      </c>
      <c r="L216" t="str">
        <f t="shared" si="33"/>
        <v>209</v>
      </c>
      <c r="M216">
        <f>COUNTIF($N$6:N216,N216)</f>
        <v>209</v>
      </c>
      <c r="N216" t="str">
        <f t="shared" si="27"/>
        <v/>
      </c>
      <c r="O216" t="str">
        <f ca="1">IFERROR(INDEX(Intrim!$F$4:$F$201,P216),"")</f>
        <v/>
      </c>
      <c r="P216" t="e">
        <f ca="1">MATCH(intrim2!N216,OFFSET(Intrim!$G$4,P215,0):'Intrim'!$G$201,0)+P215</f>
        <v>#N/A</v>
      </c>
      <c r="V216">
        <v>211</v>
      </c>
      <c r="W216" t="str">
        <f t="shared" si="28"/>
        <v/>
      </c>
      <c r="X216" t="str">
        <f>IF(W216="","",COUNTIF($W$6:W216,W216))</f>
        <v/>
      </c>
      <c r="Y216" t="e">
        <f t="shared" si="29"/>
        <v>#N/A</v>
      </c>
      <c r="Z216" t="e">
        <f t="shared" si="30"/>
        <v>#N/A</v>
      </c>
      <c r="AA216" t="e">
        <f t="shared" si="31"/>
        <v>#N/A</v>
      </c>
      <c r="AB216" t="e">
        <f>VLOOKUP(Z216,Intrim!R:Z,9,0)</f>
        <v>#N/A</v>
      </c>
    </row>
    <row r="217" spans="1:28" x14ac:dyDescent="0.25">
      <c r="A217" t="str">
        <f t="shared" si="32"/>
        <v>209</v>
      </c>
      <c r="B217">
        <f>COUNTIF($C$6:C217,C217)</f>
        <v>209</v>
      </c>
      <c r="C217" t="str">
        <f t="shared" si="26"/>
        <v/>
      </c>
      <c r="D217" t="str">
        <f ca="1">IFERROR(INDEX(Intrim!$R$4:$R$401,E217),"")</f>
        <v/>
      </c>
      <c r="E217" t="e">
        <f ca="1">MATCH(intrim2!C217,OFFSET(Intrim!$S$4,E216,0):'Intrim'!$S$401,0)+E216</f>
        <v>#N/A</v>
      </c>
      <c r="L217" t="str">
        <f t="shared" si="33"/>
        <v>210</v>
      </c>
      <c r="M217">
        <f>COUNTIF($N$6:N217,N217)</f>
        <v>210</v>
      </c>
      <c r="N217" t="str">
        <f t="shared" si="27"/>
        <v/>
      </c>
      <c r="O217" t="str">
        <f ca="1">IFERROR(INDEX(Intrim!$F$4:$F$201,P217),"")</f>
        <v/>
      </c>
      <c r="P217" t="e">
        <f ca="1">MATCH(intrim2!N217,OFFSET(Intrim!$G$4,P216,0):'Intrim'!$G$201,0)+P216</f>
        <v>#N/A</v>
      </c>
      <c r="V217">
        <v>212</v>
      </c>
      <c r="W217" t="str">
        <f t="shared" si="28"/>
        <v/>
      </c>
      <c r="X217" t="str">
        <f>IF(W217="","",COUNTIF($W$6:W217,W217))</f>
        <v/>
      </c>
      <c r="Y217" t="e">
        <f t="shared" si="29"/>
        <v>#N/A</v>
      </c>
      <c r="Z217" t="e">
        <f t="shared" si="30"/>
        <v>#N/A</v>
      </c>
      <c r="AA217" t="e">
        <f t="shared" si="31"/>
        <v>#N/A</v>
      </c>
      <c r="AB217" t="e">
        <f>VLOOKUP(Z217,Intrim!R:Z,9,0)</f>
        <v>#N/A</v>
      </c>
    </row>
    <row r="218" spans="1:28" x14ac:dyDescent="0.25">
      <c r="A218" t="str">
        <f t="shared" si="32"/>
        <v>210</v>
      </c>
      <c r="B218">
        <f>COUNTIF($C$6:C218,C218)</f>
        <v>210</v>
      </c>
      <c r="C218" t="str">
        <f t="shared" si="26"/>
        <v/>
      </c>
      <c r="D218" t="str">
        <f ca="1">IFERROR(INDEX(Intrim!$R$4:$R$401,E218),"")</f>
        <v/>
      </c>
      <c r="E218" t="e">
        <f ca="1">MATCH(intrim2!C218,OFFSET(Intrim!$S$4,E217,0):'Intrim'!$S$401,0)+E217</f>
        <v>#N/A</v>
      </c>
      <c r="L218" t="str">
        <f t="shared" si="33"/>
        <v>211</v>
      </c>
      <c r="M218">
        <f>COUNTIF($N$6:N218,N218)</f>
        <v>211</v>
      </c>
      <c r="N218" t="str">
        <f t="shared" si="27"/>
        <v/>
      </c>
      <c r="O218" t="str">
        <f ca="1">IFERROR(INDEX(Intrim!$F$4:$F$201,P218),"")</f>
        <v/>
      </c>
      <c r="P218" t="e">
        <f ca="1">MATCH(intrim2!N218,OFFSET(Intrim!$G$4,P217,0):'Intrim'!$G$201,0)+P217</f>
        <v>#N/A</v>
      </c>
      <c r="V218">
        <v>213</v>
      </c>
      <c r="W218" t="str">
        <f t="shared" si="28"/>
        <v/>
      </c>
      <c r="X218" t="str">
        <f>IF(W218="","",COUNTIF($W$6:W218,W218))</f>
        <v/>
      </c>
      <c r="Y218" t="e">
        <f t="shared" si="29"/>
        <v>#N/A</v>
      </c>
      <c r="Z218" t="e">
        <f t="shared" si="30"/>
        <v>#N/A</v>
      </c>
      <c r="AA218" t="e">
        <f t="shared" si="31"/>
        <v>#N/A</v>
      </c>
      <c r="AB218" t="e">
        <f>VLOOKUP(Z218,Intrim!R:Z,9,0)</f>
        <v>#N/A</v>
      </c>
    </row>
    <row r="219" spans="1:28" x14ac:dyDescent="0.25">
      <c r="A219" t="str">
        <f t="shared" si="32"/>
        <v>211</v>
      </c>
      <c r="B219">
        <f>COUNTIF($C$6:C219,C219)</f>
        <v>211</v>
      </c>
      <c r="C219" t="str">
        <f t="shared" si="26"/>
        <v/>
      </c>
      <c r="D219" t="str">
        <f ca="1">IFERROR(INDEX(Intrim!$R$4:$R$401,E219),"")</f>
        <v/>
      </c>
      <c r="E219" t="e">
        <f ca="1">MATCH(intrim2!C219,OFFSET(Intrim!$S$4,E218,0):'Intrim'!$S$401,0)+E218</f>
        <v>#N/A</v>
      </c>
      <c r="L219" t="str">
        <f t="shared" si="33"/>
        <v>212</v>
      </c>
      <c r="M219">
        <f>COUNTIF($N$6:N219,N219)</f>
        <v>212</v>
      </c>
      <c r="N219" t="str">
        <f t="shared" si="27"/>
        <v/>
      </c>
      <c r="O219" t="str">
        <f ca="1">IFERROR(INDEX(Intrim!$F$4:$F$201,P219),"")</f>
        <v/>
      </c>
      <c r="P219" t="e">
        <f ca="1">MATCH(intrim2!N219,OFFSET(Intrim!$G$4,P218,0):'Intrim'!$G$201,0)+P218</f>
        <v>#N/A</v>
      </c>
      <c r="V219">
        <v>214</v>
      </c>
      <c r="W219" t="str">
        <f t="shared" si="28"/>
        <v/>
      </c>
      <c r="X219" t="str">
        <f>IF(W219="","",COUNTIF($W$6:W219,W219))</f>
        <v/>
      </c>
      <c r="Y219" t="e">
        <f t="shared" si="29"/>
        <v>#N/A</v>
      </c>
      <c r="Z219" t="e">
        <f t="shared" si="30"/>
        <v>#N/A</v>
      </c>
      <c r="AA219" t="e">
        <f t="shared" si="31"/>
        <v>#N/A</v>
      </c>
      <c r="AB219" t="e">
        <f>VLOOKUP(Z219,Intrim!R:Z,9,0)</f>
        <v>#N/A</v>
      </c>
    </row>
    <row r="220" spans="1:28" x14ac:dyDescent="0.25">
      <c r="A220" t="str">
        <f t="shared" si="32"/>
        <v>212</v>
      </c>
      <c r="B220">
        <f>COUNTIF($C$6:C220,C220)</f>
        <v>212</v>
      </c>
      <c r="C220" t="str">
        <f t="shared" si="26"/>
        <v/>
      </c>
      <c r="D220" t="str">
        <f ca="1">IFERROR(INDEX(Intrim!$R$4:$R$401,E220),"")</f>
        <v/>
      </c>
      <c r="E220" t="e">
        <f ca="1">MATCH(intrim2!C220,OFFSET(Intrim!$S$4,E219,0):'Intrim'!$S$401,0)+E219</f>
        <v>#N/A</v>
      </c>
      <c r="L220" t="str">
        <f t="shared" si="33"/>
        <v>213</v>
      </c>
      <c r="M220">
        <f>COUNTIF($N$6:N220,N220)</f>
        <v>213</v>
      </c>
      <c r="N220" t="str">
        <f t="shared" si="27"/>
        <v/>
      </c>
      <c r="O220" t="str">
        <f ca="1">IFERROR(INDEX(Intrim!$F$4:$F$201,P220),"")</f>
        <v/>
      </c>
      <c r="P220" t="e">
        <f ca="1">MATCH(intrim2!N220,OFFSET(Intrim!$G$4,P219,0):'Intrim'!$G$201,0)+P219</f>
        <v>#N/A</v>
      </c>
      <c r="V220">
        <v>215</v>
      </c>
      <c r="W220" t="str">
        <f t="shared" si="28"/>
        <v/>
      </c>
      <c r="X220" t="str">
        <f>IF(W220="","",COUNTIF($W$6:W220,W220))</f>
        <v/>
      </c>
      <c r="Y220" t="e">
        <f t="shared" si="29"/>
        <v>#N/A</v>
      </c>
      <c r="Z220" t="e">
        <f t="shared" si="30"/>
        <v>#N/A</v>
      </c>
      <c r="AA220" t="e">
        <f t="shared" si="31"/>
        <v>#N/A</v>
      </c>
      <c r="AB220" t="e">
        <f>VLOOKUP(Z220,Intrim!R:Z,9,0)</f>
        <v>#N/A</v>
      </c>
    </row>
    <row r="221" spans="1:28" x14ac:dyDescent="0.25">
      <c r="A221" t="str">
        <f t="shared" si="32"/>
        <v>213</v>
      </c>
      <c r="B221">
        <f>COUNTIF($C$6:C221,C221)</f>
        <v>213</v>
      </c>
      <c r="C221" t="str">
        <f t="shared" si="26"/>
        <v/>
      </c>
      <c r="D221" t="str">
        <f ca="1">IFERROR(INDEX(Intrim!$R$4:$R$401,E221),"")</f>
        <v/>
      </c>
      <c r="E221" t="e">
        <f ca="1">MATCH(intrim2!C221,OFFSET(Intrim!$S$4,E220,0):'Intrim'!$S$401,0)+E220</f>
        <v>#N/A</v>
      </c>
      <c r="L221" t="str">
        <f t="shared" si="33"/>
        <v>214</v>
      </c>
      <c r="M221">
        <f>COUNTIF($N$6:N221,N221)</f>
        <v>214</v>
      </c>
      <c r="N221" t="str">
        <f t="shared" si="27"/>
        <v/>
      </c>
      <c r="O221" t="str">
        <f ca="1">IFERROR(INDEX(Intrim!$F$4:$F$201,P221),"")</f>
        <v/>
      </c>
      <c r="P221" t="e">
        <f ca="1">MATCH(intrim2!N221,OFFSET(Intrim!$G$4,P220,0):'Intrim'!$G$201,0)+P220</f>
        <v>#N/A</v>
      </c>
      <c r="V221">
        <v>216</v>
      </c>
      <c r="W221" t="str">
        <f t="shared" si="28"/>
        <v/>
      </c>
      <c r="X221" t="str">
        <f>IF(W221="","",COUNTIF($W$6:W221,W221))</f>
        <v/>
      </c>
      <c r="Y221" t="e">
        <f t="shared" si="29"/>
        <v>#N/A</v>
      </c>
      <c r="Z221" t="e">
        <f t="shared" si="30"/>
        <v>#N/A</v>
      </c>
      <c r="AA221" t="e">
        <f t="shared" si="31"/>
        <v>#N/A</v>
      </c>
      <c r="AB221" t="e">
        <f>VLOOKUP(Z221,Intrim!R:Z,9,0)</f>
        <v>#N/A</v>
      </c>
    </row>
    <row r="222" spans="1:28" x14ac:dyDescent="0.25">
      <c r="A222" t="str">
        <f t="shared" si="32"/>
        <v>214</v>
      </c>
      <c r="B222">
        <f>COUNTIF($C$6:C222,C222)</f>
        <v>214</v>
      </c>
      <c r="C222" t="str">
        <f t="shared" si="26"/>
        <v/>
      </c>
      <c r="D222" t="str">
        <f ca="1">IFERROR(INDEX(Intrim!$R$4:$R$401,E222),"")</f>
        <v/>
      </c>
      <c r="E222" t="e">
        <f ca="1">MATCH(intrim2!C222,OFFSET(Intrim!$S$4,E221,0):'Intrim'!$S$401,0)+E221</f>
        <v>#N/A</v>
      </c>
      <c r="L222" t="str">
        <f t="shared" si="33"/>
        <v>215</v>
      </c>
      <c r="M222">
        <f>COUNTIF($N$6:N222,N222)</f>
        <v>215</v>
      </c>
      <c r="N222" t="str">
        <f t="shared" si="27"/>
        <v/>
      </c>
      <c r="O222" t="str">
        <f ca="1">IFERROR(INDEX(Intrim!$F$4:$F$201,P222),"")</f>
        <v/>
      </c>
      <c r="P222" t="e">
        <f ca="1">MATCH(intrim2!N222,OFFSET(Intrim!$G$4,P221,0):'Intrim'!$G$201,0)+P221</f>
        <v>#N/A</v>
      </c>
      <c r="V222">
        <v>217</v>
      </c>
      <c r="W222" t="str">
        <f t="shared" si="28"/>
        <v/>
      </c>
      <c r="X222" t="str">
        <f>IF(W222="","",COUNTIF($W$6:W222,W222))</f>
        <v/>
      </c>
      <c r="Y222" t="e">
        <f t="shared" si="29"/>
        <v>#N/A</v>
      </c>
      <c r="Z222" t="e">
        <f t="shared" si="30"/>
        <v>#N/A</v>
      </c>
      <c r="AA222" t="e">
        <f t="shared" si="31"/>
        <v>#N/A</v>
      </c>
      <c r="AB222" t="e">
        <f>VLOOKUP(Z222,Intrim!R:Z,9,0)</f>
        <v>#N/A</v>
      </c>
    </row>
    <row r="223" spans="1:28" x14ac:dyDescent="0.25">
      <c r="A223" t="str">
        <f t="shared" si="32"/>
        <v>215</v>
      </c>
      <c r="B223">
        <f>COUNTIF($C$6:C223,C223)</f>
        <v>215</v>
      </c>
      <c r="C223" t="str">
        <f t="shared" si="26"/>
        <v/>
      </c>
      <c r="D223" t="str">
        <f ca="1">IFERROR(INDEX(Intrim!$R$4:$R$401,E223),"")</f>
        <v/>
      </c>
      <c r="E223" t="e">
        <f ca="1">MATCH(intrim2!C223,OFFSET(Intrim!$S$4,E222,0):'Intrim'!$S$401,0)+E222</f>
        <v>#N/A</v>
      </c>
      <c r="L223" t="str">
        <f t="shared" si="33"/>
        <v>216</v>
      </c>
      <c r="M223">
        <f>COUNTIF($N$6:N223,N223)</f>
        <v>216</v>
      </c>
      <c r="N223" t="str">
        <f t="shared" si="27"/>
        <v/>
      </c>
      <c r="O223" t="str">
        <f ca="1">IFERROR(INDEX(Intrim!$F$4:$F$201,P223),"")</f>
        <v/>
      </c>
      <c r="P223" t="e">
        <f ca="1">MATCH(intrim2!N223,OFFSET(Intrim!$G$4,P222,0):'Intrim'!$G$201,0)+P222</f>
        <v>#N/A</v>
      </c>
      <c r="V223">
        <v>218</v>
      </c>
      <c r="W223" t="str">
        <f t="shared" si="28"/>
        <v/>
      </c>
      <c r="X223" t="str">
        <f>IF(W223="","",COUNTIF($W$6:W223,W223))</f>
        <v/>
      </c>
      <c r="Y223" t="e">
        <f t="shared" si="29"/>
        <v>#N/A</v>
      </c>
      <c r="Z223" t="e">
        <f t="shared" si="30"/>
        <v>#N/A</v>
      </c>
      <c r="AA223" t="e">
        <f t="shared" si="31"/>
        <v>#N/A</v>
      </c>
      <c r="AB223" t="e">
        <f>VLOOKUP(Z223,Intrim!R:Z,9,0)</f>
        <v>#N/A</v>
      </c>
    </row>
    <row r="224" spans="1:28" x14ac:dyDescent="0.25">
      <c r="A224" t="str">
        <f t="shared" si="32"/>
        <v>216</v>
      </c>
      <c r="B224">
        <f>COUNTIF($C$6:C224,C224)</f>
        <v>216</v>
      </c>
      <c r="C224" t="str">
        <f t="shared" si="26"/>
        <v/>
      </c>
      <c r="D224" t="str">
        <f ca="1">IFERROR(INDEX(Intrim!$R$4:$R$401,E224),"")</f>
        <v/>
      </c>
      <c r="E224" t="e">
        <f ca="1">MATCH(intrim2!C224,OFFSET(Intrim!$S$4,E223,0):'Intrim'!$S$401,0)+E223</f>
        <v>#N/A</v>
      </c>
      <c r="L224" t="str">
        <f t="shared" si="33"/>
        <v>217</v>
      </c>
      <c r="M224">
        <f>COUNTIF($N$6:N224,N224)</f>
        <v>217</v>
      </c>
      <c r="N224" t="str">
        <f t="shared" si="27"/>
        <v/>
      </c>
      <c r="O224" t="str">
        <f ca="1">IFERROR(INDEX(Intrim!$F$4:$F$201,P224),"")</f>
        <v/>
      </c>
      <c r="P224" t="e">
        <f ca="1">MATCH(intrim2!N224,OFFSET(Intrim!$G$4,P223,0):'Intrim'!$G$201,0)+P223</f>
        <v>#N/A</v>
      </c>
      <c r="V224">
        <v>219</v>
      </c>
      <c r="W224" t="str">
        <f t="shared" si="28"/>
        <v/>
      </c>
      <c r="X224" t="str">
        <f>IF(W224="","",COUNTIF($W$6:W224,W224))</f>
        <v/>
      </c>
      <c r="Y224" t="e">
        <f t="shared" si="29"/>
        <v>#N/A</v>
      </c>
      <c r="Z224" t="e">
        <f t="shared" si="30"/>
        <v>#N/A</v>
      </c>
      <c r="AA224" t="e">
        <f t="shared" si="31"/>
        <v>#N/A</v>
      </c>
      <c r="AB224" t="e">
        <f>VLOOKUP(Z224,Intrim!R:Z,9,0)</f>
        <v>#N/A</v>
      </c>
    </row>
    <row r="225" spans="1:28" x14ac:dyDescent="0.25">
      <c r="A225" t="str">
        <f t="shared" si="32"/>
        <v>217</v>
      </c>
      <c r="B225">
        <f>COUNTIF($C$6:C225,C225)</f>
        <v>217</v>
      </c>
      <c r="C225" t="str">
        <f t="shared" si="26"/>
        <v/>
      </c>
      <c r="D225" t="str">
        <f ca="1">IFERROR(INDEX(Intrim!$R$4:$R$401,E225),"")</f>
        <v/>
      </c>
      <c r="E225" t="e">
        <f ca="1">MATCH(intrim2!C225,OFFSET(Intrim!$S$4,E224,0):'Intrim'!$S$401,0)+E224</f>
        <v>#N/A</v>
      </c>
      <c r="L225" t="str">
        <f t="shared" si="33"/>
        <v>218</v>
      </c>
      <c r="M225">
        <f>COUNTIF($N$6:N225,N225)</f>
        <v>218</v>
      </c>
      <c r="N225" t="str">
        <f t="shared" si="27"/>
        <v/>
      </c>
      <c r="O225" t="str">
        <f ca="1">IFERROR(INDEX(Intrim!$F$4:$F$201,P225),"")</f>
        <v/>
      </c>
      <c r="P225" t="e">
        <f ca="1">MATCH(intrim2!N225,OFFSET(Intrim!$G$4,P224,0):'Intrim'!$G$201,0)+P224</f>
        <v>#N/A</v>
      </c>
      <c r="V225">
        <v>220</v>
      </c>
      <c r="W225" t="str">
        <f t="shared" si="28"/>
        <v/>
      </c>
      <c r="X225" t="str">
        <f>IF(W225="","",COUNTIF($W$6:W225,W225))</f>
        <v/>
      </c>
      <c r="Y225" t="e">
        <f t="shared" si="29"/>
        <v>#N/A</v>
      </c>
      <c r="Z225" t="e">
        <f t="shared" si="30"/>
        <v>#N/A</v>
      </c>
      <c r="AA225" t="e">
        <f t="shared" si="31"/>
        <v>#N/A</v>
      </c>
      <c r="AB225" t="e">
        <f>VLOOKUP(Z225,Intrim!R:Z,9,0)</f>
        <v>#N/A</v>
      </c>
    </row>
    <row r="226" spans="1:28" x14ac:dyDescent="0.25">
      <c r="A226" t="str">
        <f t="shared" si="32"/>
        <v>218</v>
      </c>
      <c r="B226">
        <f>COUNTIF($C$6:C226,C226)</f>
        <v>218</v>
      </c>
      <c r="C226" t="str">
        <f t="shared" si="26"/>
        <v/>
      </c>
      <c r="D226" t="str">
        <f ca="1">IFERROR(INDEX(Intrim!$R$4:$R$401,E226),"")</f>
        <v/>
      </c>
      <c r="E226" t="e">
        <f ca="1">MATCH(intrim2!C226,OFFSET(Intrim!$S$4,E225,0):'Intrim'!$S$401,0)+E225</f>
        <v>#N/A</v>
      </c>
      <c r="L226" t="str">
        <f t="shared" si="33"/>
        <v>219</v>
      </c>
      <c r="M226">
        <f>COUNTIF($N$6:N226,N226)</f>
        <v>219</v>
      </c>
      <c r="N226" t="str">
        <f t="shared" si="27"/>
        <v/>
      </c>
      <c r="O226" t="str">
        <f ca="1">IFERROR(INDEX(Intrim!$F$4:$F$201,P226),"")</f>
        <v/>
      </c>
      <c r="P226" t="e">
        <f ca="1">MATCH(intrim2!N226,OFFSET(Intrim!$G$4,P225,0):'Intrim'!$G$201,0)+P225</f>
        <v>#N/A</v>
      </c>
      <c r="V226">
        <v>221</v>
      </c>
      <c r="W226" t="str">
        <f t="shared" si="28"/>
        <v/>
      </c>
      <c r="X226" t="str">
        <f>IF(W226="","",COUNTIF($W$6:W226,W226))</f>
        <v/>
      </c>
      <c r="Y226" t="e">
        <f t="shared" si="29"/>
        <v>#N/A</v>
      </c>
      <c r="Z226" t="e">
        <f t="shared" si="30"/>
        <v>#N/A</v>
      </c>
      <c r="AA226" t="e">
        <f t="shared" si="31"/>
        <v>#N/A</v>
      </c>
      <c r="AB226" t="e">
        <f>VLOOKUP(Z226,Intrim!R:Z,9,0)</f>
        <v>#N/A</v>
      </c>
    </row>
    <row r="227" spans="1:28" x14ac:dyDescent="0.25">
      <c r="A227" t="str">
        <f t="shared" si="32"/>
        <v>219</v>
      </c>
      <c r="B227">
        <f>COUNTIF($C$6:C227,C227)</f>
        <v>219</v>
      </c>
      <c r="C227" t="str">
        <f t="shared" si="26"/>
        <v/>
      </c>
      <c r="D227" t="str">
        <f ca="1">IFERROR(INDEX(Intrim!$R$4:$R$401,E227),"")</f>
        <v/>
      </c>
      <c r="E227" t="e">
        <f ca="1">MATCH(intrim2!C227,OFFSET(Intrim!$S$4,E226,0):'Intrim'!$S$401,0)+E226</f>
        <v>#N/A</v>
      </c>
      <c r="L227" t="str">
        <f t="shared" si="33"/>
        <v>220</v>
      </c>
      <c r="M227">
        <f>COUNTIF($N$6:N227,N227)</f>
        <v>220</v>
      </c>
      <c r="N227" t="str">
        <f t="shared" si="27"/>
        <v/>
      </c>
      <c r="O227" t="str">
        <f ca="1">IFERROR(INDEX(Intrim!$F$4:$F$201,P227),"")</f>
        <v/>
      </c>
      <c r="P227" t="e">
        <f ca="1">MATCH(intrim2!N227,OFFSET(Intrim!$G$4,P226,0):'Intrim'!$G$201,0)+P226</f>
        <v>#N/A</v>
      </c>
      <c r="V227">
        <v>222</v>
      </c>
      <c r="W227" t="str">
        <f t="shared" si="28"/>
        <v/>
      </c>
      <c r="X227" t="str">
        <f>IF(W227="","",COUNTIF($W$6:W227,W227))</f>
        <v/>
      </c>
      <c r="Y227" t="e">
        <f t="shared" si="29"/>
        <v>#N/A</v>
      </c>
      <c r="Z227" t="e">
        <f t="shared" si="30"/>
        <v>#N/A</v>
      </c>
      <c r="AA227" t="e">
        <f t="shared" si="31"/>
        <v>#N/A</v>
      </c>
      <c r="AB227" t="e">
        <f>VLOOKUP(Z227,Intrim!R:Z,9,0)</f>
        <v>#N/A</v>
      </c>
    </row>
    <row r="228" spans="1:28" x14ac:dyDescent="0.25">
      <c r="A228" t="str">
        <f t="shared" si="32"/>
        <v>220</v>
      </c>
      <c r="B228">
        <f>COUNTIF($C$6:C228,C228)</f>
        <v>220</v>
      </c>
      <c r="C228" t="str">
        <f t="shared" si="26"/>
        <v/>
      </c>
      <c r="D228" t="str">
        <f ca="1">IFERROR(INDEX(Intrim!$R$4:$R$401,E228),"")</f>
        <v/>
      </c>
      <c r="E228" t="e">
        <f ca="1">MATCH(intrim2!C228,OFFSET(Intrim!$S$4,E227,0):'Intrim'!$S$401,0)+E227</f>
        <v>#N/A</v>
      </c>
      <c r="L228" t="str">
        <f t="shared" si="33"/>
        <v>221</v>
      </c>
      <c r="M228">
        <f>COUNTIF($N$6:N228,N228)</f>
        <v>221</v>
      </c>
      <c r="N228" t="str">
        <f t="shared" si="27"/>
        <v/>
      </c>
      <c r="O228" t="str">
        <f ca="1">IFERROR(INDEX(Intrim!$F$4:$F$201,P228),"")</f>
        <v/>
      </c>
      <c r="P228" t="e">
        <f ca="1">MATCH(intrim2!N228,OFFSET(Intrim!$G$4,P227,0):'Intrim'!$G$201,0)+P227</f>
        <v>#N/A</v>
      </c>
      <c r="V228">
        <v>223</v>
      </c>
      <c r="W228" t="str">
        <f t="shared" si="28"/>
        <v/>
      </c>
      <c r="X228" t="str">
        <f>IF(W228="","",COUNTIF($W$6:W228,W228))</f>
        <v/>
      </c>
      <c r="Y228" t="e">
        <f t="shared" si="29"/>
        <v>#N/A</v>
      </c>
      <c r="Z228" t="e">
        <f t="shared" si="30"/>
        <v>#N/A</v>
      </c>
      <c r="AA228" t="e">
        <f t="shared" si="31"/>
        <v>#N/A</v>
      </c>
      <c r="AB228" t="e">
        <f>VLOOKUP(Z228,Intrim!R:Z,9,0)</f>
        <v>#N/A</v>
      </c>
    </row>
    <row r="229" spans="1:28" x14ac:dyDescent="0.25">
      <c r="A229" t="str">
        <f t="shared" si="32"/>
        <v>221</v>
      </c>
      <c r="B229">
        <f>COUNTIF($C$6:C229,C229)</f>
        <v>221</v>
      </c>
      <c r="C229" t="str">
        <f t="shared" si="26"/>
        <v/>
      </c>
      <c r="D229" t="str">
        <f ca="1">IFERROR(INDEX(Intrim!$R$4:$R$401,E229),"")</f>
        <v/>
      </c>
      <c r="E229" t="e">
        <f ca="1">MATCH(intrim2!C229,OFFSET(Intrim!$S$4,E228,0):'Intrim'!$S$401,0)+E228</f>
        <v>#N/A</v>
      </c>
      <c r="L229" t="str">
        <f t="shared" si="33"/>
        <v>222</v>
      </c>
      <c r="M229">
        <f>COUNTIF($N$6:N229,N229)</f>
        <v>222</v>
      </c>
      <c r="N229" t="str">
        <f t="shared" si="27"/>
        <v/>
      </c>
      <c r="O229" t="str">
        <f ca="1">IFERROR(INDEX(Intrim!$F$4:$F$201,P229),"")</f>
        <v/>
      </c>
      <c r="P229" t="e">
        <f ca="1">MATCH(intrim2!N229,OFFSET(Intrim!$G$4,P228,0):'Intrim'!$G$201,0)+P228</f>
        <v>#N/A</v>
      </c>
      <c r="V229">
        <v>224</v>
      </c>
      <c r="W229" t="str">
        <f t="shared" si="28"/>
        <v/>
      </c>
      <c r="X229" t="str">
        <f>IF(W229="","",COUNTIF($W$6:W229,W229))</f>
        <v/>
      </c>
      <c r="Y229" t="e">
        <f t="shared" si="29"/>
        <v>#N/A</v>
      </c>
      <c r="Z229" t="e">
        <f t="shared" si="30"/>
        <v>#N/A</v>
      </c>
      <c r="AA229" t="e">
        <f t="shared" si="31"/>
        <v>#N/A</v>
      </c>
      <c r="AB229" t="e">
        <f>VLOOKUP(Z229,Intrim!R:Z,9,0)</f>
        <v>#N/A</v>
      </c>
    </row>
    <row r="230" spans="1:28" x14ac:dyDescent="0.25">
      <c r="A230" t="str">
        <f t="shared" si="32"/>
        <v>222</v>
      </c>
      <c r="B230">
        <f>COUNTIF($C$6:C230,C230)</f>
        <v>222</v>
      </c>
      <c r="C230" t="str">
        <f t="shared" si="26"/>
        <v/>
      </c>
      <c r="D230" t="str">
        <f ca="1">IFERROR(INDEX(Intrim!$R$4:$R$401,E230),"")</f>
        <v/>
      </c>
      <c r="E230" t="e">
        <f ca="1">MATCH(intrim2!C230,OFFSET(Intrim!$S$4,E229,0):'Intrim'!$S$401,0)+E229</f>
        <v>#N/A</v>
      </c>
      <c r="L230" t="str">
        <f t="shared" si="33"/>
        <v>223</v>
      </c>
      <c r="M230">
        <f>COUNTIF($N$6:N230,N230)</f>
        <v>223</v>
      </c>
      <c r="N230" t="str">
        <f t="shared" si="27"/>
        <v/>
      </c>
      <c r="O230" t="str">
        <f ca="1">IFERROR(INDEX(Intrim!$F$4:$F$201,P230),"")</f>
        <v/>
      </c>
      <c r="P230" t="e">
        <f ca="1">MATCH(intrim2!N230,OFFSET(Intrim!$G$4,P229,0):'Intrim'!$G$201,0)+P229</f>
        <v>#N/A</v>
      </c>
      <c r="V230">
        <v>225</v>
      </c>
      <c r="W230" t="str">
        <f t="shared" si="28"/>
        <v/>
      </c>
      <c r="X230" t="str">
        <f>IF(W230="","",COUNTIF($W$6:W230,W230))</f>
        <v/>
      </c>
      <c r="Y230" t="e">
        <f t="shared" si="29"/>
        <v>#N/A</v>
      </c>
      <c r="Z230" t="e">
        <f t="shared" si="30"/>
        <v>#N/A</v>
      </c>
      <c r="AA230" t="e">
        <f t="shared" si="31"/>
        <v>#N/A</v>
      </c>
      <c r="AB230" t="e">
        <f>VLOOKUP(Z230,Intrim!R:Z,9,0)</f>
        <v>#N/A</v>
      </c>
    </row>
    <row r="231" spans="1:28" x14ac:dyDescent="0.25">
      <c r="A231" t="str">
        <f t="shared" si="32"/>
        <v>223</v>
      </c>
      <c r="B231">
        <f>COUNTIF($C$6:C231,C231)</f>
        <v>223</v>
      </c>
      <c r="C231" t="str">
        <f t="shared" si="26"/>
        <v/>
      </c>
      <c r="D231" t="str">
        <f ca="1">IFERROR(INDEX(Intrim!$R$4:$R$401,E231),"")</f>
        <v/>
      </c>
      <c r="E231" t="e">
        <f ca="1">MATCH(intrim2!C231,OFFSET(Intrim!$S$4,E230,0):'Intrim'!$S$401,0)+E230</f>
        <v>#N/A</v>
      </c>
      <c r="L231" t="str">
        <f t="shared" si="33"/>
        <v>224</v>
      </c>
      <c r="M231">
        <f>COUNTIF($N$6:N231,N231)</f>
        <v>224</v>
      </c>
      <c r="N231" t="str">
        <f t="shared" si="27"/>
        <v/>
      </c>
      <c r="O231" t="str">
        <f ca="1">IFERROR(INDEX(Intrim!$F$4:$F$201,P231),"")</f>
        <v/>
      </c>
      <c r="P231" t="e">
        <f ca="1">MATCH(intrim2!N231,OFFSET(Intrim!$G$4,P230,0):'Intrim'!$G$201,0)+P230</f>
        <v>#N/A</v>
      </c>
      <c r="V231">
        <v>226</v>
      </c>
      <c r="W231" t="str">
        <f t="shared" si="28"/>
        <v/>
      </c>
      <c r="X231" t="str">
        <f>IF(W231="","",COUNTIF($W$6:W231,W231))</f>
        <v/>
      </c>
      <c r="Y231" t="e">
        <f t="shared" si="29"/>
        <v>#N/A</v>
      </c>
      <c r="Z231" t="e">
        <f t="shared" si="30"/>
        <v>#N/A</v>
      </c>
      <c r="AA231" t="e">
        <f t="shared" si="31"/>
        <v>#N/A</v>
      </c>
      <c r="AB231" t="e">
        <f>VLOOKUP(Z231,Intrim!R:Z,9,0)</f>
        <v>#N/A</v>
      </c>
    </row>
    <row r="232" spans="1:28" x14ac:dyDescent="0.25">
      <c r="A232" t="str">
        <f t="shared" si="32"/>
        <v>224</v>
      </c>
      <c r="B232">
        <f>COUNTIF($C$6:C232,C232)</f>
        <v>224</v>
      </c>
      <c r="C232" t="str">
        <f t="shared" si="26"/>
        <v/>
      </c>
      <c r="D232" t="str">
        <f ca="1">IFERROR(INDEX(Intrim!$R$4:$R$401,E232),"")</f>
        <v/>
      </c>
      <c r="E232" t="e">
        <f ca="1">MATCH(intrim2!C232,OFFSET(Intrim!$S$4,E231,0):'Intrim'!$S$401,0)+E231</f>
        <v>#N/A</v>
      </c>
      <c r="L232" t="str">
        <f t="shared" si="33"/>
        <v>225</v>
      </c>
      <c r="M232">
        <f>COUNTIF($N$6:N232,N232)</f>
        <v>225</v>
      </c>
      <c r="N232" t="str">
        <f t="shared" si="27"/>
        <v/>
      </c>
      <c r="O232" t="str">
        <f ca="1">IFERROR(INDEX(Intrim!$F$4:$F$201,P232),"")</f>
        <v/>
      </c>
      <c r="P232" t="e">
        <f ca="1">MATCH(intrim2!N232,OFFSET(Intrim!$G$4,P231,0):'Intrim'!$G$201,0)+P231</f>
        <v>#N/A</v>
      </c>
      <c r="V232">
        <v>227</v>
      </c>
      <c r="W232" t="str">
        <f t="shared" si="28"/>
        <v/>
      </c>
      <c r="X232" t="str">
        <f>IF(W232="","",COUNTIF($W$6:W232,W232))</f>
        <v/>
      </c>
      <c r="Y232" t="e">
        <f t="shared" si="29"/>
        <v>#N/A</v>
      </c>
      <c r="Z232" t="e">
        <f t="shared" si="30"/>
        <v>#N/A</v>
      </c>
      <c r="AA232" t="e">
        <f t="shared" si="31"/>
        <v>#N/A</v>
      </c>
      <c r="AB232" t="e">
        <f>VLOOKUP(Z232,Intrim!R:Z,9,0)</f>
        <v>#N/A</v>
      </c>
    </row>
    <row r="233" spans="1:28" x14ac:dyDescent="0.25">
      <c r="A233" t="str">
        <f t="shared" si="32"/>
        <v>225</v>
      </c>
      <c r="B233">
        <f>COUNTIF($C$6:C233,C233)</f>
        <v>225</v>
      </c>
      <c r="C233" t="str">
        <f t="shared" si="26"/>
        <v/>
      </c>
      <c r="D233" t="str">
        <f ca="1">IFERROR(INDEX(Intrim!$R$4:$R$401,E233),"")</f>
        <v/>
      </c>
      <c r="E233" t="e">
        <f ca="1">MATCH(intrim2!C233,OFFSET(Intrim!$S$4,E232,0):'Intrim'!$S$401,0)+E232</f>
        <v>#N/A</v>
      </c>
      <c r="L233" t="str">
        <f t="shared" si="33"/>
        <v>226</v>
      </c>
      <c r="M233">
        <f>COUNTIF($N$6:N233,N233)</f>
        <v>226</v>
      </c>
      <c r="N233" t="str">
        <f t="shared" si="27"/>
        <v/>
      </c>
      <c r="O233" t="str">
        <f ca="1">IFERROR(INDEX(Intrim!$F$4:$F$201,P233),"")</f>
        <v/>
      </c>
      <c r="P233" t="e">
        <f ca="1">MATCH(intrim2!N233,OFFSET(Intrim!$G$4,P232,0):'Intrim'!$G$201,0)+P232</f>
        <v>#N/A</v>
      </c>
      <c r="V233">
        <v>228</v>
      </c>
      <c r="W233" t="str">
        <f t="shared" si="28"/>
        <v/>
      </c>
      <c r="X233" t="str">
        <f>IF(W233="","",COUNTIF($W$6:W233,W233))</f>
        <v/>
      </c>
      <c r="Y233" t="e">
        <f t="shared" si="29"/>
        <v>#N/A</v>
      </c>
      <c r="Z233" t="e">
        <f t="shared" si="30"/>
        <v>#N/A</v>
      </c>
      <c r="AA233" t="e">
        <f t="shared" si="31"/>
        <v>#N/A</v>
      </c>
      <c r="AB233" t="e">
        <f>VLOOKUP(Z233,Intrim!R:Z,9,0)</f>
        <v>#N/A</v>
      </c>
    </row>
    <row r="234" spans="1:28" x14ac:dyDescent="0.25">
      <c r="A234" t="str">
        <f t="shared" si="32"/>
        <v>226</v>
      </c>
      <c r="B234">
        <f>COUNTIF($C$6:C234,C234)</f>
        <v>226</v>
      </c>
      <c r="C234" t="str">
        <f t="shared" si="26"/>
        <v/>
      </c>
      <c r="D234" t="str">
        <f ca="1">IFERROR(INDEX(Intrim!$R$4:$R$401,E234),"")</f>
        <v/>
      </c>
      <c r="E234" t="e">
        <f ca="1">MATCH(intrim2!C234,OFFSET(Intrim!$S$4,E233,0):'Intrim'!$S$401,0)+E233</f>
        <v>#N/A</v>
      </c>
      <c r="L234" t="str">
        <f t="shared" si="33"/>
        <v>227</v>
      </c>
      <c r="M234">
        <f>COUNTIF($N$6:N234,N234)</f>
        <v>227</v>
      </c>
      <c r="N234" t="str">
        <f t="shared" si="27"/>
        <v/>
      </c>
      <c r="O234" t="str">
        <f ca="1">IFERROR(INDEX(Intrim!$F$4:$F$201,P234),"")</f>
        <v/>
      </c>
      <c r="P234" t="e">
        <f ca="1">MATCH(intrim2!N234,OFFSET(Intrim!$G$4,P233,0):'Intrim'!$G$201,0)+P233</f>
        <v>#N/A</v>
      </c>
      <c r="V234">
        <v>229</v>
      </c>
      <c r="W234" t="str">
        <f t="shared" si="28"/>
        <v/>
      </c>
      <c r="X234" t="str">
        <f>IF(W234="","",COUNTIF($W$6:W234,W234))</f>
        <v/>
      </c>
      <c r="Y234" t="e">
        <f t="shared" si="29"/>
        <v>#N/A</v>
      </c>
      <c r="Z234" t="e">
        <f t="shared" si="30"/>
        <v>#N/A</v>
      </c>
      <c r="AA234" t="e">
        <f t="shared" si="31"/>
        <v>#N/A</v>
      </c>
      <c r="AB234" t="e">
        <f>VLOOKUP(Z234,Intrim!R:Z,9,0)</f>
        <v>#N/A</v>
      </c>
    </row>
    <row r="235" spans="1:28" x14ac:dyDescent="0.25">
      <c r="A235" t="str">
        <f t="shared" si="32"/>
        <v>227</v>
      </c>
      <c r="B235">
        <f>COUNTIF($C$6:C235,C235)</f>
        <v>227</v>
      </c>
      <c r="C235" t="str">
        <f t="shared" si="26"/>
        <v/>
      </c>
      <c r="D235" t="str">
        <f ca="1">IFERROR(INDEX(Intrim!$R$4:$R$401,E235),"")</f>
        <v/>
      </c>
      <c r="E235" t="e">
        <f ca="1">MATCH(intrim2!C235,OFFSET(Intrim!$S$4,E234,0):'Intrim'!$S$401,0)+E234</f>
        <v>#N/A</v>
      </c>
      <c r="L235" t="str">
        <f t="shared" si="33"/>
        <v>228</v>
      </c>
      <c r="M235">
        <f>COUNTIF($N$6:N235,N235)</f>
        <v>228</v>
      </c>
      <c r="N235" t="str">
        <f t="shared" si="27"/>
        <v/>
      </c>
      <c r="O235" t="str">
        <f ca="1">IFERROR(INDEX(Intrim!$F$4:$F$201,P235),"")</f>
        <v/>
      </c>
      <c r="P235" t="e">
        <f ca="1">MATCH(intrim2!N235,OFFSET(Intrim!$G$4,P234,0):'Intrim'!$G$201,0)+P234</f>
        <v>#N/A</v>
      </c>
      <c r="V235">
        <v>230</v>
      </c>
      <c r="W235" t="str">
        <f t="shared" si="28"/>
        <v/>
      </c>
      <c r="X235" t="str">
        <f>IF(W235="","",COUNTIF($W$6:W235,W235))</f>
        <v/>
      </c>
      <c r="Y235" t="e">
        <f t="shared" si="29"/>
        <v>#N/A</v>
      </c>
      <c r="Z235" t="e">
        <f t="shared" si="30"/>
        <v>#N/A</v>
      </c>
      <c r="AA235" t="e">
        <f t="shared" si="31"/>
        <v>#N/A</v>
      </c>
      <c r="AB235" t="e">
        <f>VLOOKUP(Z235,Intrim!R:Z,9,0)</f>
        <v>#N/A</v>
      </c>
    </row>
    <row r="236" spans="1:28" x14ac:dyDescent="0.25">
      <c r="A236" t="str">
        <f t="shared" si="32"/>
        <v>228</v>
      </c>
      <c r="B236">
        <f>COUNTIF($C$6:C236,C236)</f>
        <v>228</v>
      </c>
      <c r="C236" t="str">
        <f t="shared" si="26"/>
        <v/>
      </c>
      <c r="D236" t="str">
        <f ca="1">IFERROR(INDEX(Intrim!$R$4:$R$401,E236),"")</f>
        <v/>
      </c>
      <c r="E236" t="e">
        <f ca="1">MATCH(intrim2!C236,OFFSET(Intrim!$S$4,E235,0):'Intrim'!$S$401,0)+E235</f>
        <v>#N/A</v>
      </c>
      <c r="L236" t="str">
        <f t="shared" si="33"/>
        <v>229</v>
      </c>
      <c r="M236">
        <f>COUNTIF($N$6:N236,N236)</f>
        <v>229</v>
      </c>
      <c r="N236" t="str">
        <f t="shared" si="27"/>
        <v/>
      </c>
      <c r="O236" t="str">
        <f ca="1">IFERROR(INDEX(Intrim!$F$4:$F$201,P236),"")</f>
        <v/>
      </c>
      <c r="P236" t="e">
        <f ca="1">MATCH(intrim2!N236,OFFSET(Intrim!$G$4,P235,0):'Intrim'!$G$201,0)+P235</f>
        <v>#N/A</v>
      </c>
      <c r="V236">
        <v>231</v>
      </c>
      <c r="W236" t="str">
        <f t="shared" si="28"/>
        <v/>
      </c>
      <c r="X236" t="str">
        <f>IF(W236="","",COUNTIF($W$6:W236,W236))</f>
        <v/>
      </c>
      <c r="Y236" t="e">
        <f t="shared" si="29"/>
        <v>#N/A</v>
      </c>
      <c r="Z236" t="e">
        <f t="shared" si="30"/>
        <v>#N/A</v>
      </c>
      <c r="AA236" t="e">
        <f t="shared" si="31"/>
        <v>#N/A</v>
      </c>
      <c r="AB236" t="e">
        <f>VLOOKUP(Z236,Intrim!R:Z,9,0)</f>
        <v>#N/A</v>
      </c>
    </row>
    <row r="237" spans="1:28" x14ac:dyDescent="0.25">
      <c r="A237" t="str">
        <f t="shared" si="32"/>
        <v>229</v>
      </c>
      <c r="B237">
        <f>COUNTIF($C$6:C237,C237)</f>
        <v>229</v>
      </c>
      <c r="C237" t="str">
        <f t="shared" si="26"/>
        <v/>
      </c>
      <c r="D237" t="str">
        <f ca="1">IFERROR(INDEX(Intrim!$R$4:$R$401,E237),"")</f>
        <v/>
      </c>
      <c r="E237" t="e">
        <f ca="1">MATCH(intrim2!C237,OFFSET(Intrim!$S$4,E236,0):'Intrim'!$S$401,0)+E236</f>
        <v>#N/A</v>
      </c>
      <c r="L237" t="str">
        <f t="shared" si="33"/>
        <v>230</v>
      </c>
      <c r="M237">
        <f>COUNTIF($N$6:N237,N237)</f>
        <v>230</v>
      </c>
      <c r="N237" t="str">
        <f t="shared" si="27"/>
        <v/>
      </c>
      <c r="O237" t="str">
        <f ca="1">IFERROR(INDEX(Intrim!$F$4:$F$201,P237),"")</f>
        <v/>
      </c>
      <c r="P237" t="e">
        <f ca="1">MATCH(intrim2!N237,OFFSET(Intrim!$G$4,P236,0):'Intrim'!$G$201,0)+P236</f>
        <v>#N/A</v>
      </c>
      <c r="V237">
        <v>232</v>
      </c>
      <c r="W237" t="str">
        <f t="shared" si="28"/>
        <v/>
      </c>
      <c r="X237" t="str">
        <f>IF(W237="","",COUNTIF($W$6:W237,W237))</f>
        <v/>
      </c>
      <c r="Y237" t="e">
        <f t="shared" si="29"/>
        <v>#N/A</v>
      </c>
      <c r="Z237" t="e">
        <f t="shared" si="30"/>
        <v>#N/A</v>
      </c>
      <c r="AA237" t="e">
        <f t="shared" si="31"/>
        <v>#N/A</v>
      </c>
      <c r="AB237" t="e">
        <f>VLOOKUP(Z237,Intrim!R:Z,9,0)</f>
        <v>#N/A</v>
      </c>
    </row>
    <row r="238" spans="1:28" x14ac:dyDescent="0.25">
      <c r="A238" t="str">
        <f t="shared" si="32"/>
        <v>230</v>
      </c>
      <c r="B238">
        <f>COUNTIF($C$6:C238,C238)</f>
        <v>230</v>
      </c>
      <c r="C238" t="str">
        <f t="shared" si="26"/>
        <v/>
      </c>
      <c r="D238" t="str">
        <f ca="1">IFERROR(INDEX(Intrim!$R$4:$R$401,E238),"")</f>
        <v/>
      </c>
      <c r="E238" t="e">
        <f ca="1">MATCH(intrim2!C238,OFFSET(Intrim!$S$4,E237,0):'Intrim'!$S$401,0)+E237</f>
        <v>#N/A</v>
      </c>
      <c r="L238" t="str">
        <f t="shared" si="33"/>
        <v>231</v>
      </c>
      <c r="M238">
        <f>COUNTIF($N$6:N238,N238)</f>
        <v>231</v>
      </c>
      <c r="N238" t="str">
        <f t="shared" si="27"/>
        <v/>
      </c>
      <c r="O238" t="str">
        <f ca="1">IFERROR(INDEX(Intrim!$F$4:$F$201,P238),"")</f>
        <v/>
      </c>
      <c r="P238" t="e">
        <f ca="1">MATCH(intrim2!N238,OFFSET(Intrim!$G$4,P237,0):'Intrim'!$G$201,0)+P237</f>
        <v>#N/A</v>
      </c>
      <c r="V238">
        <v>233</v>
      </c>
      <c r="W238" t="str">
        <f t="shared" si="28"/>
        <v/>
      </c>
      <c r="X238" t="str">
        <f>IF(W238="","",COUNTIF($W$6:W238,W238))</f>
        <v/>
      </c>
      <c r="Y238" t="e">
        <f t="shared" si="29"/>
        <v>#N/A</v>
      </c>
      <c r="Z238" t="e">
        <f t="shared" si="30"/>
        <v>#N/A</v>
      </c>
      <c r="AA238" t="e">
        <f t="shared" si="31"/>
        <v>#N/A</v>
      </c>
      <c r="AB238" t="e">
        <f>VLOOKUP(Z238,Intrim!R:Z,9,0)</f>
        <v>#N/A</v>
      </c>
    </row>
    <row r="239" spans="1:28" x14ac:dyDescent="0.25">
      <c r="A239" t="str">
        <f t="shared" si="32"/>
        <v>231</v>
      </c>
      <c r="B239">
        <f>COUNTIF($C$6:C239,C239)</f>
        <v>231</v>
      </c>
      <c r="C239" t="str">
        <f t="shared" si="26"/>
        <v/>
      </c>
      <c r="D239" t="str">
        <f ca="1">IFERROR(INDEX(Intrim!$R$4:$R$401,E239),"")</f>
        <v/>
      </c>
      <c r="E239" t="e">
        <f ca="1">MATCH(intrim2!C239,OFFSET(Intrim!$S$4,E238,0):'Intrim'!$S$401,0)+E238</f>
        <v>#N/A</v>
      </c>
      <c r="L239" t="str">
        <f t="shared" si="33"/>
        <v>232</v>
      </c>
      <c r="M239">
        <f>COUNTIF($N$6:N239,N239)</f>
        <v>232</v>
      </c>
      <c r="N239" t="str">
        <f t="shared" si="27"/>
        <v/>
      </c>
      <c r="O239" t="str">
        <f ca="1">IFERROR(INDEX(Intrim!$F$4:$F$201,P239),"")</f>
        <v/>
      </c>
      <c r="P239" t="e">
        <f ca="1">MATCH(intrim2!N239,OFFSET(Intrim!$G$4,P238,0):'Intrim'!$G$201,0)+P238</f>
        <v>#N/A</v>
      </c>
      <c r="V239">
        <v>234</v>
      </c>
      <c r="W239" t="str">
        <f t="shared" si="28"/>
        <v/>
      </c>
      <c r="X239" t="str">
        <f>IF(W239="","",COUNTIF($W$6:W239,W239))</f>
        <v/>
      </c>
      <c r="Y239" t="e">
        <f t="shared" si="29"/>
        <v>#N/A</v>
      </c>
      <c r="Z239" t="e">
        <f t="shared" si="30"/>
        <v>#N/A</v>
      </c>
      <c r="AA239" t="e">
        <f t="shared" si="31"/>
        <v>#N/A</v>
      </c>
      <c r="AB239" t="e">
        <f>VLOOKUP(Z239,Intrim!R:Z,9,0)</f>
        <v>#N/A</v>
      </c>
    </row>
    <row r="240" spans="1:28" x14ac:dyDescent="0.25">
      <c r="A240" t="str">
        <f t="shared" si="32"/>
        <v>232</v>
      </c>
      <c r="B240">
        <f>COUNTIF($C$6:C240,C240)</f>
        <v>232</v>
      </c>
      <c r="C240" t="str">
        <f t="shared" si="26"/>
        <v/>
      </c>
      <c r="D240" t="str">
        <f ca="1">IFERROR(INDEX(Intrim!$R$4:$R$401,E240),"")</f>
        <v/>
      </c>
      <c r="E240" t="e">
        <f ca="1">MATCH(intrim2!C240,OFFSET(Intrim!$S$4,E239,0):'Intrim'!$S$401,0)+E239</f>
        <v>#N/A</v>
      </c>
      <c r="L240" t="str">
        <f t="shared" si="33"/>
        <v>233</v>
      </c>
      <c r="M240">
        <f>COUNTIF($N$6:N240,N240)</f>
        <v>233</v>
      </c>
      <c r="N240" t="str">
        <f t="shared" si="27"/>
        <v/>
      </c>
      <c r="O240" t="str">
        <f ca="1">IFERROR(INDEX(Intrim!$F$4:$F$201,P240),"")</f>
        <v/>
      </c>
      <c r="P240" t="e">
        <f ca="1">MATCH(intrim2!N240,OFFSET(Intrim!$G$4,P239,0):'Intrim'!$G$201,0)+P239</f>
        <v>#N/A</v>
      </c>
      <c r="V240">
        <v>235</v>
      </c>
      <c r="W240" t="str">
        <f t="shared" si="28"/>
        <v/>
      </c>
      <c r="X240" t="str">
        <f>IF(W240="","",COUNTIF($W$6:W240,W240))</f>
        <v/>
      </c>
      <c r="Y240" t="e">
        <f t="shared" si="29"/>
        <v>#N/A</v>
      </c>
      <c r="Z240" t="e">
        <f t="shared" si="30"/>
        <v>#N/A</v>
      </c>
      <c r="AA240" t="e">
        <f t="shared" si="31"/>
        <v>#N/A</v>
      </c>
      <c r="AB240" t="e">
        <f>VLOOKUP(Z240,Intrim!R:Z,9,0)</f>
        <v>#N/A</v>
      </c>
    </row>
    <row r="241" spans="1:28" x14ac:dyDescent="0.25">
      <c r="A241" t="str">
        <f t="shared" si="32"/>
        <v>233</v>
      </c>
      <c r="B241">
        <f>COUNTIF($C$6:C241,C241)</f>
        <v>233</v>
      </c>
      <c r="C241" t="str">
        <f t="shared" si="26"/>
        <v/>
      </c>
      <c r="D241" t="str">
        <f ca="1">IFERROR(INDEX(Intrim!$R$4:$R$401,E241),"")</f>
        <v/>
      </c>
      <c r="E241" t="e">
        <f ca="1">MATCH(intrim2!C241,OFFSET(Intrim!$S$4,E240,0):'Intrim'!$S$401,0)+E240</f>
        <v>#N/A</v>
      </c>
      <c r="L241" t="str">
        <f t="shared" si="33"/>
        <v>234</v>
      </c>
      <c r="M241">
        <f>COUNTIF($N$6:N241,N241)</f>
        <v>234</v>
      </c>
      <c r="N241" t="str">
        <f t="shared" si="27"/>
        <v/>
      </c>
      <c r="O241" t="str">
        <f ca="1">IFERROR(INDEX(Intrim!$F$4:$F$201,P241),"")</f>
        <v/>
      </c>
      <c r="P241" t="e">
        <f ca="1">MATCH(intrim2!N241,OFFSET(Intrim!$G$4,P240,0):'Intrim'!$G$201,0)+P240</f>
        <v>#N/A</v>
      </c>
      <c r="V241">
        <v>236</v>
      </c>
      <c r="W241" t="str">
        <f t="shared" si="28"/>
        <v/>
      </c>
      <c r="X241" t="str">
        <f>IF(W241="","",COUNTIF($W$6:W241,W241))</f>
        <v/>
      </c>
      <c r="Y241" t="e">
        <f t="shared" si="29"/>
        <v>#N/A</v>
      </c>
      <c r="Z241" t="e">
        <f t="shared" si="30"/>
        <v>#N/A</v>
      </c>
      <c r="AA241" t="e">
        <f t="shared" si="31"/>
        <v>#N/A</v>
      </c>
      <c r="AB241" t="e">
        <f>VLOOKUP(Z241,Intrim!R:Z,9,0)</f>
        <v>#N/A</v>
      </c>
    </row>
    <row r="242" spans="1:28" x14ac:dyDescent="0.25">
      <c r="A242" t="str">
        <f t="shared" si="32"/>
        <v>234</v>
      </c>
      <c r="B242">
        <f>COUNTIF($C$6:C242,C242)</f>
        <v>234</v>
      </c>
      <c r="C242" t="str">
        <f t="shared" si="26"/>
        <v/>
      </c>
      <c r="D242" t="str">
        <f ca="1">IFERROR(INDEX(Intrim!$R$4:$R$401,E242),"")</f>
        <v/>
      </c>
      <c r="E242" t="e">
        <f ca="1">MATCH(intrim2!C242,OFFSET(Intrim!$S$4,E241,0):'Intrim'!$S$401,0)+E241</f>
        <v>#N/A</v>
      </c>
      <c r="L242" t="str">
        <f t="shared" si="33"/>
        <v>235</v>
      </c>
      <c r="M242">
        <f>COUNTIF($N$6:N242,N242)</f>
        <v>235</v>
      </c>
      <c r="N242" t="str">
        <f t="shared" si="27"/>
        <v/>
      </c>
      <c r="O242" t="str">
        <f ca="1">IFERROR(INDEX(Intrim!$F$4:$F$201,P242),"")</f>
        <v/>
      </c>
      <c r="P242" t="e">
        <f ca="1">MATCH(intrim2!N242,OFFSET(Intrim!$G$4,P241,0):'Intrim'!$G$201,0)+P241</f>
        <v>#N/A</v>
      </c>
      <c r="V242">
        <v>237</v>
      </c>
      <c r="W242" t="str">
        <f t="shared" si="28"/>
        <v/>
      </c>
      <c r="X242" t="str">
        <f>IF(W242="","",COUNTIF($W$6:W242,W242))</f>
        <v/>
      </c>
      <c r="Y242" t="e">
        <f t="shared" si="29"/>
        <v>#N/A</v>
      </c>
      <c r="Z242" t="e">
        <f t="shared" si="30"/>
        <v>#N/A</v>
      </c>
      <c r="AA242" t="e">
        <f t="shared" si="31"/>
        <v>#N/A</v>
      </c>
      <c r="AB242" t="e">
        <f>VLOOKUP(Z242,Intrim!R:Z,9,0)</f>
        <v>#N/A</v>
      </c>
    </row>
    <row r="243" spans="1:28" x14ac:dyDescent="0.25">
      <c r="A243" t="str">
        <f t="shared" si="32"/>
        <v>235</v>
      </c>
      <c r="B243">
        <f>COUNTIF($C$6:C243,C243)</f>
        <v>235</v>
      </c>
      <c r="C243" t="str">
        <f t="shared" si="26"/>
        <v/>
      </c>
      <c r="D243" t="str">
        <f ca="1">IFERROR(INDEX(Intrim!$R$4:$R$401,E243),"")</f>
        <v/>
      </c>
      <c r="E243" t="e">
        <f ca="1">MATCH(intrim2!C243,OFFSET(Intrim!$S$4,E242,0):'Intrim'!$S$401,0)+E242</f>
        <v>#N/A</v>
      </c>
      <c r="L243" t="str">
        <f t="shared" si="33"/>
        <v>236</v>
      </c>
      <c r="M243">
        <f>COUNTIF($N$6:N243,N243)</f>
        <v>236</v>
      </c>
      <c r="N243" t="str">
        <f t="shared" si="27"/>
        <v/>
      </c>
      <c r="O243" t="str">
        <f ca="1">IFERROR(INDEX(Intrim!$F$4:$F$201,P243),"")</f>
        <v/>
      </c>
      <c r="P243" t="e">
        <f ca="1">MATCH(intrim2!N243,OFFSET(Intrim!$G$4,P242,0):'Intrim'!$G$201,0)+P242</f>
        <v>#N/A</v>
      </c>
      <c r="V243">
        <v>238</v>
      </c>
      <c r="W243" t="str">
        <f t="shared" si="28"/>
        <v/>
      </c>
      <c r="X243" t="str">
        <f>IF(W243="","",COUNTIF($W$6:W243,W243))</f>
        <v/>
      </c>
      <c r="Y243" t="e">
        <f t="shared" si="29"/>
        <v>#N/A</v>
      </c>
      <c r="Z243" t="e">
        <f t="shared" si="30"/>
        <v>#N/A</v>
      </c>
      <c r="AA243" t="e">
        <f t="shared" si="31"/>
        <v>#N/A</v>
      </c>
      <c r="AB243" t="e">
        <f>VLOOKUP(Z243,Intrim!R:Z,9,0)</f>
        <v>#N/A</v>
      </c>
    </row>
    <row r="244" spans="1:28" x14ac:dyDescent="0.25">
      <c r="A244" t="str">
        <f t="shared" si="32"/>
        <v>236</v>
      </c>
      <c r="B244">
        <f>COUNTIF($C$6:C244,C244)</f>
        <v>236</v>
      </c>
      <c r="C244" t="str">
        <f t="shared" si="26"/>
        <v/>
      </c>
      <c r="D244" t="str">
        <f ca="1">IFERROR(INDEX(Intrim!$R$4:$R$401,E244),"")</f>
        <v/>
      </c>
      <c r="E244" t="e">
        <f ca="1">MATCH(intrim2!C244,OFFSET(Intrim!$S$4,E243,0):'Intrim'!$S$401,0)+E243</f>
        <v>#N/A</v>
      </c>
      <c r="L244" t="str">
        <f t="shared" si="33"/>
        <v>237</v>
      </c>
      <c r="M244">
        <f>COUNTIF($N$6:N244,N244)</f>
        <v>237</v>
      </c>
      <c r="N244" t="str">
        <f t="shared" si="27"/>
        <v/>
      </c>
      <c r="O244" t="str">
        <f ca="1">IFERROR(INDEX(Intrim!$F$4:$F$201,P244),"")</f>
        <v/>
      </c>
      <c r="P244" t="e">
        <f ca="1">MATCH(intrim2!N244,OFFSET(Intrim!$G$4,P243,0):'Intrim'!$G$201,0)+P243</f>
        <v>#N/A</v>
      </c>
      <c r="V244">
        <v>239</v>
      </c>
      <c r="W244" t="str">
        <f t="shared" si="28"/>
        <v/>
      </c>
      <c r="X244" t="str">
        <f>IF(W244="","",COUNTIF($W$6:W244,W244))</f>
        <v/>
      </c>
      <c r="Y244" t="e">
        <f t="shared" si="29"/>
        <v>#N/A</v>
      </c>
      <c r="Z244" t="e">
        <f t="shared" si="30"/>
        <v>#N/A</v>
      </c>
      <c r="AA244" t="e">
        <f t="shared" si="31"/>
        <v>#N/A</v>
      </c>
      <c r="AB244" t="e">
        <f>VLOOKUP(Z244,Intrim!R:Z,9,0)</f>
        <v>#N/A</v>
      </c>
    </row>
    <row r="245" spans="1:28" x14ac:dyDescent="0.25">
      <c r="A245" t="str">
        <f t="shared" si="32"/>
        <v>237</v>
      </c>
      <c r="B245">
        <f>COUNTIF($C$6:C245,C245)</f>
        <v>237</v>
      </c>
      <c r="C245" t="str">
        <f t="shared" si="26"/>
        <v/>
      </c>
      <c r="D245" t="str">
        <f ca="1">IFERROR(INDEX(Intrim!$R$4:$R$401,E245),"")</f>
        <v/>
      </c>
      <c r="E245" t="e">
        <f ca="1">MATCH(intrim2!C245,OFFSET(Intrim!$S$4,E244,0):'Intrim'!$S$401,0)+E244</f>
        <v>#N/A</v>
      </c>
      <c r="L245" t="str">
        <f t="shared" si="33"/>
        <v>238</v>
      </c>
      <c r="M245">
        <f>COUNTIF($N$6:N245,N245)</f>
        <v>238</v>
      </c>
      <c r="N245" t="str">
        <f t="shared" si="27"/>
        <v/>
      </c>
      <c r="O245" t="str">
        <f ca="1">IFERROR(INDEX(Intrim!$F$4:$F$201,P245),"")</f>
        <v/>
      </c>
      <c r="P245" t="e">
        <f ca="1">MATCH(intrim2!N245,OFFSET(Intrim!$G$4,P244,0):'Intrim'!$G$201,0)+P244</f>
        <v>#N/A</v>
      </c>
      <c r="V245">
        <v>240</v>
      </c>
      <c r="W245" t="str">
        <f t="shared" si="28"/>
        <v/>
      </c>
      <c r="X245" t="str">
        <f>IF(W245="","",COUNTIF($W$6:W245,W245))</f>
        <v/>
      </c>
      <c r="Y245" t="e">
        <f t="shared" si="29"/>
        <v>#N/A</v>
      </c>
      <c r="Z245" t="e">
        <f t="shared" si="30"/>
        <v>#N/A</v>
      </c>
      <c r="AA245" t="e">
        <f t="shared" si="31"/>
        <v>#N/A</v>
      </c>
      <c r="AB245" t="e">
        <f>VLOOKUP(Z245,Intrim!R:Z,9,0)</f>
        <v>#N/A</v>
      </c>
    </row>
    <row r="246" spans="1:28" x14ac:dyDescent="0.25">
      <c r="A246" t="str">
        <f t="shared" si="32"/>
        <v>238</v>
      </c>
      <c r="B246">
        <f>COUNTIF($C$6:C246,C246)</f>
        <v>238</v>
      </c>
      <c r="C246" t="str">
        <f t="shared" si="26"/>
        <v/>
      </c>
      <c r="D246" t="str">
        <f ca="1">IFERROR(INDEX(Intrim!$R$4:$R$401,E246),"")</f>
        <v/>
      </c>
      <c r="E246" t="e">
        <f ca="1">MATCH(intrim2!C246,OFFSET(Intrim!$S$4,E245,0):'Intrim'!$S$401,0)+E245</f>
        <v>#N/A</v>
      </c>
      <c r="L246" t="str">
        <f t="shared" si="33"/>
        <v>239</v>
      </c>
      <c r="M246">
        <f>COUNTIF($N$6:N246,N246)</f>
        <v>239</v>
      </c>
      <c r="N246" t="str">
        <f t="shared" si="27"/>
        <v/>
      </c>
      <c r="O246" t="str">
        <f ca="1">IFERROR(INDEX(Intrim!$F$4:$F$201,P246),"")</f>
        <v/>
      </c>
      <c r="P246" t="e">
        <f ca="1">MATCH(intrim2!N246,OFFSET(Intrim!$G$4,P245,0):'Intrim'!$G$201,0)+P245</f>
        <v>#N/A</v>
      </c>
      <c r="V246">
        <v>241</v>
      </c>
      <c r="W246" t="str">
        <f t="shared" si="28"/>
        <v/>
      </c>
      <c r="X246" t="str">
        <f>IF(W246="","",COUNTIF($W$6:W246,W246))</f>
        <v/>
      </c>
      <c r="Y246" t="e">
        <f t="shared" si="29"/>
        <v>#N/A</v>
      </c>
      <c r="Z246" t="e">
        <f t="shared" si="30"/>
        <v>#N/A</v>
      </c>
      <c r="AA246" t="e">
        <f t="shared" si="31"/>
        <v>#N/A</v>
      </c>
      <c r="AB246" t="e">
        <f>VLOOKUP(Z246,Intrim!R:Z,9,0)</f>
        <v>#N/A</v>
      </c>
    </row>
    <row r="247" spans="1:28" x14ac:dyDescent="0.25">
      <c r="A247" t="str">
        <f t="shared" si="32"/>
        <v>239</v>
      </c>
      <c r="B247">
        <f>COUNTIF($C$6:C247,C247)</f>
        <v>239</v>
      </c>
      <c r="C247" t="str">
        <f t="shared" si="26"/>
        <v/>
      </c>
      <c r="D247" t="str">
        <f ca="1">IFERROR(INDEX(Intrim!$R$4:$R$401,E247),"")</f>
        <v/>
      </c>
      <c r="E247" t="e">
        <f ca="1">MATCH(intrim2!C247,OFFSET(Intrim!$S$4,E246,0):'Intrim'!$S$401,0)+E246</f>
        <v>#N/A</v>
      </c>
      <c r="L247" t="str">
        <f t="shared" si="33"/>
        <v>240</v>
      </c>
      <c r="M247">
        <f>COUNTIF($N$6:N247,N247)</f>
        <v>240</v>
      </c>
      <c r="N247" t="str">
        <f t="shared" si="27"/>
        <v/>
      </c>
      <c r="O247" t="str">
        <f ca="1">IFERROR(INDEX(Intrim!$F$4:$F$201,P247),"")</f>
        <v/>
      </c>
      <c r="P247" t="e">
        <f ca="1">MATCH(intrim2!N247,OFFSET(Intrim!$G$4,P246,0):'Intrim'!$G$201,0)+P246</f>
        <v>#N/A</v>
      </c>
      <c r="V247">
        <v>242</v>
      </c>
      <c r="W247" t="str">
        <f t="shared" si="28"/>
        <v/>
      </c>
      <c r="X247" t="str">
        <f>IF(W247="","",COUNTIF($W$6:W247,W247))</f>
        <v/>
      </c>
      <c r="Y247" t="e">
        <f t="shared" si="29"/>
        <v>#N/A</v>
      </c>
      <c r="Z247" t="e">
        <f t="shared" si="30"/>
        <v>#N/A</v>
      </c>
      <c r="AA247" t="e">
        <f t="shared" si="31"/>
        <v>#N/A</v>
      </c>
      <c r="AB247" t="e">
        <f>VLOOKUP(Z247,Intrim!R:Z,9,0)</f>
        <v>#N/A</v>
      </c>
    </row>
    <row r="248" spans="1:28" x14ac:dyDescent="0.25">
      <c r="A248" t="str">
        <f t="shared" si="32"/>
        <v>240</v>
      </c>
      <c r="B248">
        <f>COUNTIF($C$6:C248,C248)</f>
        <v>240</v>
      </c>
      <c r="C248" t="str">
        <f t="shared" si="26"/>
        <v/>
      </c>
      <c r="D248" t="str">
        <f ca="1">IFERROR(INDEX(Intrim!$R$4:$R$401,E248),"")</f>
        <v/>
      </c>
      <c r="E248" t="e">
        <f ca="1">MATCH(intrim2!C248,OFFSET(Intrim!$S$4,E247,0):'Intrim'!$S$401,0)+E247</f>
        <v>#N/A</v>
      </c>
      <c r="L248" t="str">
        <f t="shared" si="33"/>
        <v>241</v>
      </c>
      <c r="M248">
        <f>COUNTIF($N$6:N248,N248)</f>
        <v>241</v>
      </c>
      <c r="N248" t="str">
        <f t="shared" si="27"/>
        <v/>
      </c>
      <c r="O248" t="str">
        <f ca="1">IFERROR(INDEX(Intrim!$F$4:$F$201,P248),"")</f>
        <v/>
      </c>
      <c r="P248" t="e">
        <f ca="1">MATCH(intrim2!N248,OFFSET(Intrim!$G$4,P247,0):'Intrim'!$G$201,0)+P247</f>
        <v>#N/A</v>
      </c>
      <c r="V248">
        <v>243</v>
      </c>
      <c r="W248" t="str">
        <f t="shared" si="28"/>
        <v/>
      </c>
      <c r="X248" t="str">
        <f>IF(W248="","",COUNTIF($W$6:W248,W248))</f>
        <v/>
      </c>
      <c r="Y248" t="e">
        <f t="shared" si="29"/>
        <v>#N/A</v>
      </c>
      <c r="Z248" t="e">
        <f t="shared" si="30"/>
        <v>#N/A</v>
      </c>
      <c r="AA248" t="e">
        <f t="shared" si="31"/>
        <v>#N/A</v>
      </c>
      <c r="AB248" t="e">
        <f>VLOOKUP(Z248,Intrim!R:Z,9,0)</f>
        <v>#N/A</v>
      </c>
    </row>
    <row r="249" spans="1:28" x14ac:dyDescent="0.25">
      <c r="A249" t="str">
        <f t="shared" si="32"/>
        <v>241</v>
      </c>
      <c r="B249">
        <f>COUNTIF($C$6:C249,C249)</f>
        <v>241</v>
      </c>
      <c r="C249" t="str">
        <f t="shared" si="26"/>
        <v/>
      </c>
      <c r="D249" t="str">
        <f ca="1">IFERROR(INDEX(Intrim!$R$4:$R$401,E249),"")</f>
        <v/>
      </c>
      <c r="E249" t="e">
        <f ca="1">MATCH(intrim2!C249,OFFSET(Intrim!$S$4,E248,0):'Intrim'!$S$401,0)+E248</f>
        <v>#N/A</v>
      </c>
      <c r="L249" t="str">
        <f t="shared" si="33"/>
        <v>242</v>
      </c>
      <c r="M249">
        <f>COUNTIF($N$6:N249,N249)</f>
        <v>242</v>
      </c>
      <c r="N249" t="str">
        <f t="shared" si="27"/>
        <v/>
      </c>
      <c r="O249" t="str">
        <f ca="1">IFERROR(INDEX(Intrim!$F$4:$F$201,P249),"")</f>
        <v/>
      </c>
      <c r="P249" t="e">
        <f ca="1">MATCH(intrim2!N249,OFFSET(Intrim!$G$4,P248,0):'Intrim'!$G$201,0)+P248</f>
        <v>#N/A</v>
      </c>
      <c r="V249">
        <v>244</v>
      </c>
      <c r="W249" t="str">
        <f t="shared" si="28"/>
        <v/>
      </c>
      <c r="X249" t="str">
        <f>IF(W249="","",COUNTIF($W$6:W249,W249))</f>
        <v/>
      </c>
      <c r="Y249" t="e">
        <f t="shared" si="29"/>
        <v>#N/A</v>
      </c>
      <c r="Z249" t="e">
        <f t="shared" si="30"/>
        <v>#N/A</v>
      </c>
      <c r="AA249" t="e">
        <f t="shared" si="31"/>
        <v>#N/A</v>
      </c>
      <c r="AB249" t="e">
        <f>VLOOKUP(Z249,Intrim!R:Z,9,0)</f>
        <v>#N/A</v>
      </c>
    </row>
    <row r="250" spans="1:28" x14ac:dyDescent="0.25">
      <c r="A250" t="str">
        <f t="shared" si="32"/>
        <v>242</v>
      </c>
      <c r="B250">
        <f>COUNTIF($C$6:C250,C250)</f>
        <v>242</v>
      </c>
      <c r="C250" t="str">
        <f t="shared" si="26"/>
        <v/>
      </c>
      <c r="D250" t="str">
        <f ca="1">IFERROR(INDEX(Intrim!$R$4:$R$401,E250),"")</f>
        <v/>
      </c>
      <c r="E250" t="e">
        <f ca="1">MATCH(intrim2!C250,OFFSET(Intrim!$S$4,E249,0):'Intrim'!$S$401,0)+E249</f>
        <v>#N/A</v>
      </c>
      <c r="L250" t="str">
        <f t="shared" si="33"/>
        <v>243</v>
      </c>
      <c r="M250">
        <f>COUNTIF($N$6:N250,N250)</f>
        <v>243</v>
      </c>
      <c r="N250" t="str">
        <f t="shared" si="27"/>
        <v/>
      </c>
      <c r="O250" t="str">
        <f ca="1">IFERROR(INDEX(Intrim!$F$4:$F$201,P250),"")</f>
        <v/>
      </c>
      <c r="P250" t="e">
        <f ca="1">MATCH(intrim2!N250,OFFSET(Intrim!$G$4,P249,0):'Intrim'!$G$201,0)+P249</f>
        <v>#N/A</v>
      </c>
      <c r="V250">
        <v>245</v>
      </c>
      <c r="W250" t="str">
        <f t="shared" si="28"/>
        <v/>
      </c>
      <c r="X250" t="str">
        <f>IF(W250="","",COUNTIF($W$6:W250,W250))</f>
        <v/>
      </c>
      <c r="Y250" t="e">
        <f t="shared" si="29"/>
        <v>#N/A</v>
      </c>
      <c r="Z250" t="e">
        <f t="shared" si="30"/>
        <v>#N/A</v>
      </c>
      <c r="AA250" t="e">
        <f t="shared" si="31"/>
        <v>#N/A</v>
      </c>
      <c r="AB250" t="e">
        <f>VLOOKUP(Z250,Intrim!R:Z,9,0)</f>
        <v>#N/A</v>
      </c>
    </row>
    <row r="251" spans="1:28" x14ac:dyDescent="0.25">
      <c r="A251" t="str">
        <f t="shared" si="32"/>
        <v>243</v>
      </c>
      <c r="B251">
        <f>COUNTIF($C$6:C251,C251)</f>
        <v>243</v>
      </c>
      <c r="C251" t="str">
        <f t="shared" si="26"/>
        <v/>
      </c>
      <c r="D251" t="str">
        <f ca="1">IFERROR(INDEX(Intrim!$R$4:$R$401,E251),"")</f>
        <v/>
      </c>
      <c r="E251" t="e">
        <f ca="1">MATCH(intrim2!C251,OFFSET(Intrim!$S$4,E250,0):'Intrim'!$S$401,0)+E250</f>
        <v>#N/A</v>
      </c>
      <c r="L251" t="str">
        <f t="shared" si="33"/>
        <v>244</v>
      </c>
      <c r="M251">
        <f>COUNTIF($N$6:N251,N251)</f>
        <v>244</v>
      </c>
      <c r="N251" t="str">
        <f t="shared" si="27"/>
        <v/>
      </c>
      <c r="O251" t="str">
        <f ca="1">IFERROR(INDEX(Intrim!$F$4:$F$201,P251),"")</f>
        <v/>
      </c>
      <c r="P251" t="e">
        <f ca="1">MATCH(intrim2!N251,OFFSET(Intrim!$G$4,P250,0):'Intrim'!$G$201,0)+P250</f>
        <v>#N/A</v>
      </c>
      <c r="V251">
        <v>246</v>
      </c>
      <c r="W251" t="str">
        <f t="shared" si="28"/>
        <v/>
      </c>
      <c r="X251" t="str">
        <f>IF(W251="","",COUNTIF($W$6:W251,W251))</f>
        <v/>
      </c>
      <c r="Y251" t="e">
        <f t="shared" si="29"/>
        <v>#N/A</v>
      </c>
      <c r="Z251" t="e">
        <f t="shared" si="30"/>
        <v>#N/A</v>
      </c>
      <c r="AA251" t="e">
        <f t="shared" si="31"/>
        <v>#N/A</v>
      </c>
      <c r="AB251" t="e">
        <f>VLOOKUP(Z251,Intrim!R:Z,9,0)</f>
        <v>#N/A</v>
      </c>
    </row>
    <row r="252" spans="1:28" x14ac:dyDescent="0.25">
      <c r="A252" t="str">
        <f t="shared" si="32"/>
        <v>244</v>
      </c>
      <c r="B252">
        <f>COUNTIF($C$6:C252,C252)</f>
        <v>244</v>
      </c>
      <c r="C252" t="str">
        <f t="shared" si="26"/>
        <v/>
      </c>
      <c r="D252" t="str">
        <f ca="1">IFERROR(INDEX(Intrim!$R$4:$R$401,E252),"")</f>
        <v/>
      </c>
      <c r="E252" t="e">
        <f ca="1">MATCH(intrim2!C252,OFFSET(Intrim!$S$4,E251,0):'Intrim'!$S$401,0)+E251</f>
        <v>#N/A</v>
      </c>
      <c r="L252" t="str">
        <f t="shared" si="33"/>
        <v>245</v>
      </c>
      <c r="M252">
        <f>COUNTIF($N$6:N252,N252)</f>
        <v>245</v>
      </c>
      <c r="N252" t="str">
        <f t="shared" si="27"/>
        <v/>
      </c>
      <c r="O252" t="str">
        <f ca="1">IFERROR(INDEX(Intrim!$F$4:$F$201,P252),"")</f>
        <v/>
      </c>
      <c r="P252" t="e">
        <f ca="1">MATCH(intrim2!N252,OFFSET(Intrim!$G$4,P251,0):'Intrim'!$G$201,0)+P251</f>
        <v>#N/A</v>
      </c>
      <c r="V252">
        <v>247</v>
      </c>
      <c r="W252" t="str">
        <f t="shared" si="28"/>
        <v/>
      </c>
      <c r="X252" t="str">
        <f>IF(W252="","",COUNTIF($W$6:W252,W252))</f>
        <v/>
      </c>
      <c r="Y252" t="e">
        <f t="shared" si="29"/>
        <v>#N/A</v>
      </c>
      <c r="Z252" t="e">
        <f t="shared" si="30"/>
        <v>#N/A</v>
      </c>
      <c r="AA252" t="e">
        <f t="shared" si="31"/>
        <v>#N/A</v>
      </c>
      <c r="AB252" t="e">
        <f>VLOOKUP(Z252,Intrim!R:Z,9,0)</f>
        <v>#N/A</v>
      </c>
    </row>
    <row r="253" spans="1:28" x14ac:dyDescent="0.25">
      <c r="A253" t="str">
        <f t="shared" si="32"/>
        <v>245</v>
      </c>
      <c r="B253">
        <f>COUNTIF($C$6:C253,C253)</f>
        <v>245</v>
      </c>
      <c r="C253" t="str">
        <f t="shared" si="26"/>
        <v/>
      </c>
      <c r="D253" t="str">
        <f ca="1">IFERROR(INDEX(Intrim!$R$4:$R$401,E253),"")</f>
        <v/>
      </c>
      <c r="E253" t="e">
        <f ca="1">MATCH(intrim2!C253,OFFSET(Intrim!$S$4,E252,0):'Intrim'!$S$401,0)+E252</f>
        <v>#N/A</v>
      </c>
      <c r="L253" t="str">
        <f t="shared" si="33"/>
        <v>246</v>
      </c>
      <c r="M253">
        <f>COUNTIF($N$6:N253,N253)</f>
        <v>246</v>
      </c>
      <c r="N253" t="str">
        <f t="shared" si="27"/>
        <v/>
      </c>
      <c r="O253" t="str">
        <f ca="1">IFERROR(INDEX(Intrim!$F$4:$F$201,P253),"")</f>
        <v/>
      </c>
      <c r="P253" t="e">
        <f ca="1">MATCH(intrim2!N253,OFFSET(Intrim!$G$4,P252,0):'Intrim'!$G$201,0)+P252</f>
        <v>#N/A</v>
      </c>
      <c r="V253">
        <v>248</v>
      </c>
      <c r="W253" t="str">
        <f t="shared" si="28"/>
        <v/>
      </c>
      <c r="X253" t="str">
        <f>IF(W253="","",COUNTIF($W$6:W253,W253))</f>
        <v/>
      </c>
      <c r="Y253" t="e">
        <f t="shared" si="29"/>
        <v>#N/A</v>
      </c>
      <c r="Z253" t="e">
        <f t="shared" si="30"/>
        <v>#N/A</v>
      </c>
      <c r="AA253" t="e">
        <f t="shared" si="31"/>
        <v>#N/A</v>
      </c>
      <c r="AB253" t="e">
        <f>VLOOKUP(Z253,Intrim!R:Z,9,0)</f>
        <v>#N/A</v>
      </c>
    </row>
    <row r="254" spans="1:28" x14ac:dyDescent="0.25">
      <c r="A254" t="str">
        <f t="shared" si="32"/>
        <v>246</v>
      </c>
      <c r="B254">
        <f>COUNTIF($C$6:C254,C254)</f>
        <v>246</v>
      </c>
      <c r="C254" t="str">
        <f t="shared" si="26"/>
        <v/>
      </c>
      <c r="D254" t="str">
        <f ca="1">IFERROR(INDEX(Intrim!$R$4:$R$401,E254),"")</f>
        <v/>
      </c>
      <c r="E254" t="e">
        <f ca="1">MATCH(intrim2!C254,OFFSET(Intrim!$S$4,E253,0):'Intrim'!$S$401,0)+E253</f>
        <v>#N/A</v>
      </c>
      <c r="L254" t="str">
        <f t="shared" si="33"/>
        <v>247</v>
      </c>
      <c r="M254">
        <f>COUNTIF($N$6:N254,N254)</f>
        <v>247</v>
      </c>
      <c r="N254" t="str">
        <f t="shared" si="27"/>
        <v/>
      </c>
      <c r="O254" t="str">
        <f ca="1">IFERROR(INDEX(Intrim!$F$4:$F$201,P254),"")</f>
        <v/>
      </c>
      <c r="P254" t="e">
        <f ca="1">MATCH(intrim2!N254,OFFSET(Intrim!$G$4,P253,0):'Intrim'!$G$201,0)+P253</f>
        <v>#N/A</v>
      </c>
      <c r="V254">
        <v>249</v>
      </c>
      <c r="W254" t="str">
        <f t="shared" si="28"/>
        <v/>
      </c>
      <c r="X254" t="str">
        <f>IF(W254="","",COUNTIF($W$6:W254,W254))</f>
        <v/>
      </c>
      <c r="Y254" t="e">
        <f t="shared" si="29"/>
        <v>#N/A</v>
      </c>
      <c r="Z254" t="e">
        <f t="shared" si="30"/>
        <v>#N/A</v>
      </c>
      <c r="AA254" t="e">
        <f t="shared" si="31"/>
        <v>#N/A</v>
      </c>
      <c r="AB254" t="e">
        <f>VLOOKUP(Z254,Intrim!R:Z,9,0)</f>
        <v>#N/A</v>
      </c>
    </row>
    <row r="255" spans="1:28" x14ac:dyDescent="0.25">
      <c r="A255" t="str">
        <f t="shared" si="32"/>
        <v>247</v>
      </c>
      <c r="B255">
        <f>COUNTIF($C$6:C255,C255)</f>
        <v>247</v>
      </c>
      <c r="C255" t="str">
        <f t="shared" si="26"/>
        <v/>
      </c>
      <c r="D255" t="str">
        <f ca="1">IFERROR(INDEX(Intrim!$R$4:$R$401,E255),"")</f>
        <v/>
      </c>
      <c r="E255" t="e">
        <f ca="1">MATCH(intrim2!C255,OFFSET(Intrim!$S$4,E254,0):'Intrim'!$S$401,0)+E254</f>
        <v>#N/A</v>
      </c>
      <c r="L255" t="str">
        <f t="shared" si="33"/>
        <v>248</v>
      </c>
      <c r="M255">
        <f>COUNTIF($N$6:N255,N255)</f>
        <v>248</v>
      </c>
      <c r="N255" t="str">
        <f t="shared" si="27"/>
        <v/>
      </c>
      <c r="O255" t="str">
        <f ca="1">IFERROR(INDEX(Intrim!$F$4:$F$201,P255),"")</f>
        <v/>
      </c>
      <c r="P255" t="e">
        <f ca="1">MATCH(intrim2!N255,OFFSET(Intrim!$G$4,P254,0):'Intrim'!$G$201,0)+P254</f>
        <v>#N/A</v>
      </c>
      <c r="V255">
        <v>250</v>
      </c>
      <c r="W255" t="str">
        <f t="shared" si="28"/>
        <v/>
      </c>
      <c r="X255" t="str">
        <f>IF(W255="","",COUNTIF($W$6:W255,W255))</f>
        <v/>
      </c>
      <c r="Y255" t="e">
        <f t="shared" si="29"/>
        <v>#N/A</v>
      </c>
      <c r="Z255" t="e">
        <f t="shared" si="30"/>
        <v>#N/A</v>
      </c>
      <c r="AA255" t="e">
        <f t="shared" si="31"/>
        <v>#N/A</v>
      </c>
      <c r="AB255" t="e">
        <f>VLOOKUP(Z255,Intrim!R:Z,9,0)</f>
        <v>#N/A</v>
      </c>
    </row>
    <row r="256" spans="1:28" x14ac:dyDescent="0.25">
      <c r="A256" t="str">
        <f t="shared" si="32"/>
        <v>248</v>
      </c>
      <c r="B256">
        <f>COUNTIF($C$6:C256,C256)</f>
        <v>248</v>
      </c>
      <c r="C256" t="str">
        <f t="shared" si="26"/>
        <v/>
      </c>
      <c r="D256" t="str">
        <f ca="1">IFERROR(INDEX(Intrim!$R$4:$R$401,E256),"")</f>
        <v/>
      </c>
      <c r="E256" t="e">
        <f ca="1">MATCH(intrim2!C256,OFFSET(Intrim!$S$4,E255,0):'Intrim'!$S$401,0)+E255</f>
        <v>#N/A</v>
      </c>
      <c r="L256" t="str">
        <f t="shared" si="33"/>
        <v>249</v>
      </c>
      <c r="M256">
        <f>COUNTIF($N$6:N256,N256)</f>
        <v>249</v>
      </c>
      <c r="N256" t="str">
        <f t="shared" si="27"/>
        <v/>
      </c>
      <c r="O256" t="str">
        <f ca="1">IFERROR(INDEX(Intrim!$F$4:$F$201,P256),"")</f>
        <v/>
      </c>
      <c r="P256" t="e">
        <f ca="1">MATCH(intrim2!N256,OFFSET(Intrim!$G$4,P255,0):'Intrim'!$G$201,0)+P255</f>
        <v>#N/A</v>
      </c>
      <c r="V256">
        <v>251</v>
      </c>
      <c r="W256" t="str">
        <f t="shared" si="28"/>
        <v/>
      </c>
      <c r="X256" t="str">
        <f>IF(W256="","",COUNTIF($W$6:W256,W256))</f>
        <v/>
      </c>
      <c r="Y256" t="e">
        <f t="shared" si="29"/>
        <v>#N/A</v>
      </c>
      <c r="Z256" t="e">
        <f t="shared" si="30"/>
        <v>#N/A</v>
      </c>
      <c r="AA256" t="e">
        <f t="shared" si="31"/>
        <v>#N/A</v>
      </c>
      <c r="AB256" t="e">
        <f>VLOOKUP(Z256,Intrim!R:Z,9,0)</f>
        <v>#N/A</v>
      </c>
    </row>
    <row r="257" spans="1:28" x14ac:dyDescent="0.25">
      <c r="A257" t="str">
        <f t="shared" si="32"/>
        <v>249</v>
      </c>
      <c r="B257">
        <f>COUNTIF($C$6:C257,C257)</f>
        <v>249</v>
      </c>
      <c r="C257" t="str">
        <f t="shared" si="26"/>
        <v/>
      </c>
      <c r="D257" t="str">
        <f ca="1">IFERROR(INDEX(Intrim!$R$4:$R$401,E257),"")</f>
        <v/>
      </c>
      <c r="E257" t="e">
        <f ca="1">MATCH(intrim2!C257,OFFSET(Intrim!$S$4,E256,0):'Intrim'!$S$401,0)+E256</f>
        <v>#N/A</v>
      </c>
      <c r="L257" t="str">
        <f t="shared" si="33"/>
        <v>250</v>
      </c>
      <c r="M257">
        <f>COUNTIF($N$6:N257,N257)</f>
        <v>250</v>
      </c>
      <c r="N257" t="str">
        <f t="shared" si="27"/>
        <v/>
      </c>
      <c r="O257" t="str">
        <f ca="1">IFERROR(INDEX(Intrim!$F$4:$F$201,P257),"")</f>
        <v/>
      </c>
      <c r="P257" t="e">
        <f ca="1">MATCH(intrim2!N257,OFFSET(Intrim!$G$4,P256,0):'Intrim'!$G$201,0)+P256</f>
        <v>#N/A</v>
      </c>
      <c r="V257">
        <v>252</v>
      </c>
      <c r="W257" t="str">
        <f t="shared" si="28"/>
        <v/>
      </c>
      <c r="X257" t="str">
        <f>IF(W257="","",COUNTIF($W$6:W257,W257))</f>
        <v/>
      </c>
      <c r="Y257" t="e">
        <f t="shared" si="29"/>
        <v>#N/A</v>
      </c>
      <c r="Z257" t="e">
        <f t="shared" si="30"/>
        <v>#N/A</v>
      </c>
      <c r="AA257" t="e">
        <f t="shared" si="31"/>
        <v>#N/A</v>
      </c>
      <c r="AB257" t="e">
        <f>VLOOKUP(Z257,Intrim!R:Z,9,0)</f>
        <v>#N/A</v>
      </c>
    </row>
    <row r="258" spans="1:28" x14ac:dyDescent="0.25">
      <c r="A258" t="str">
        <f t="shared" si="32"/>
        <v>250</v>
      </c>
      <c r="B258">
        <f>COUNTIF($C$6:C258,C258)</f>
        <v>250</v>
      </c>
      <c r="C258" t="str">
        <f t="shared" si="26"/>
        <v/>
      </c>
      <c r="D258" t="str">
        <f ca="1">IFERROR(INDEX(Intrim!$R$4:$R$401,E258),"")</f>
        <v/>
      </c>
      <c r="E258" t="e">
        <f ca="1">MATCH(intrim2!C258,OFFSET(Intrim!$S$4,E257,0):'Intrim'!$S$401,0)+E257</f>
        <v>#N/A</v>
      </c>
      <c r="L258" t="str">
        <f t="shared" si="33"/>
        <v>251</v>
      </c>
      <c r="M258">
        <f>COUNTIF($N$6:N258,N258)</f>
        <v>251</v>
      </c>
      <c r="N258" t="str">
        <f t="shared" si="27"/>
        <v/>
      </c>
      <c r="O258" t="str">
        <f ca="1">IFERROR(INDEX(Intrim!$F$4:$F$201,P258),"")</f>
        <v/>
      </c>
      <c r="P258" t="e">
        <f ca="1">MATCH(intrim2!N258,OFFSET(Intrim!$G$4,P257,0):'Intrim'!$G$201,0)+P257</f>
        <v>#N/A</v>
      </c>
      <c r="V258">
        <v>253</v>
      </c>
      <c r="W258" t="str">
        <f t="shared" si="28"/>
        <v/>
      </c>
      <c r="X258" t="str">
        <f>IF(W258="","",COUNTIF($W$6:W258,W258))</f>
        <v/>
      </c>
      <c r="Y258" t="e">
        <f t="shared" si="29"/>
        <v>#N/A</v>
      </c>
      <c r="Z258" t="e">
        <f t="shared" si="30"/>
        <v>#N/A</v>
      </c>
      <c r="AA258" t="e">
        <f t="shared" si="31"/>
        <v>#N/A</v>
      </c>
      <c r="AB258" t="e">
        <f>VLOOKUP(Z258,Intrim!R:Z,9,0)</f>
        <v>#N/A</v>
      </c>
    </row>
    <row r="259" spans="1:28" x14ac:dyDescent="0.25">
      <c r="A259" t="str">
        <f t="shared" si="32"/>
        <v>251</v>
      </c>
      <c r="B259">
        <f>COUNTIF($C$6:C259,C259)</f>
        <v>251</v>
      </c>
      <c r="C259" t="str">
        <f t="shared" si="26"/>
        <v/>
      </c>
      <c r="D259" t="str">
        <f ca="1">IFERROR(INDEX(Intrim!$R$4:$R$401,E259),"")</f>
        <v/>
      </c>
      <c r="E259" t="e">
        <f ca="1">MATCH(intrim2!C259,OFFSET(Intrim!$S$4,E258,0):'Intrim'!$S$401,0)+E258</f>
        <v>#N/A</v>
      </c>
      <c r="L259" t="str">
        <f t="shared" si="33"/>
        <v>252</v>
      </c>
      <c r="M259">
        <f>COUNTIF($N$6:N259,N259)</f>
        <v>252</v>
      </c>
      <c r="N259" t="str">
        <f t="shared" si="27"/>
        <v/>
      </c>
      <c r="O259" t="str">
        <f ca="1">IFERROR(INDEX(Intrim!$F$4:$F$201,P259),"")</f>
        <v/>
      </c>
      <c r="P259" t="e">
        <f ca="1">MATCH(intrim2!N259,OFFSET(Intrim!$G$4,P258,0):'Intrim'!$G$201,0)+P258</f>
        <v>#N/A</v>
      </c>
      <c r="V259">
        <v>254</v>
      </c>
      <c r="W259" t="str">
        <f t="shared" si="28"/>
        <v/>
      </c>
      <c r="X259" t="str">
        <f>IF(W259="","",COUNTIF($W$6:W259,W259))</f>
        <v/>
      </c>
      <c r="Y259" t="e">
        <f t="shared" si="29"/>
        <v>#N/A</v>
      </c>
      <c r="Z259" t="e">
        <f t="shared" si="30"/>
        <v>#N/A</v>
      </c>
      <c r="AA259" t="e">
        <f t="shared" si="31"/>
        <v>#N/A</v>
      </c>
      <c r="AB259" t="e">
        <f>VLOOKUP(Z259,Intrim!R:Z,9,0)</f>
        <v>#N/A</v>
      </c>
    </row>
    <row r="260" spans="1:28" x14ac:dyDescent="0.25">
      <c r="A260" t="str">
        <f t="shared" si="32"/>
        <v>252</v>
      </c>
      <c r="B260">
        <f>COUNTIF($C$6:C260,C260)</f>
        <v>252</v>
      </c>
      <c r="C260" t="str">
        <f t="shared" si="26"/>
        <v/>
      </c>
      <c r="D260" t="str">
        <f ca="1">IFERROR(INDEX(Intrim!$R$4:$R$401,E260),"")</f>
        <v/>
      </c>
      <c r="E260" t="e">
        <f ca="1">MATCH(intrim2!C260,OFFSET(Intrim!$S$4,E259,0):'Intrim'!$S$401,0)+E259</f>
        <v>#N/A</v>
      </c>
      <c r="L260" t="str">
        <f t="shared" si="33"/>
        <v>253</v>
      </c>
      <c r="M260">
        <f>COUNTIF($N$6:N260,N260)</f>
        <v>253</v>
      </c>
      <c r="N260" t="str">
        <f t="shared" si="27"/>
        <v/>
      </c>
      <c r="O260" t="str">
        <f ca="1">IFERROR(INDEX(Intrim!$F$4:$F$201,P260),"")</f>
        <v/>
      </c>
      <c r="P260" t="e">
        <f ca="1">MATCH(intrim2!N260,OFFSET(Intrim!$G$4,P259,0):'Intrim'!$G$201,0)+P259</f>
        <v>#N/A</v>
      </c>
      <c r="V260">
        <v>255</v>
      </c>
      <c r="W260" t="str">
        <f t="shared" si="28"/>
        <v/>
      </c>
      <c r="X260" t="str">
        <f>IF(W260="","",COUNTIF($W$6:W260,W260))</f>
        <v/>
      </c>
      <c r="Y260" t="e">
        <f t="shared" si="29"/>
        <v>#N/A</v>
      </c>
      <c r="Z260" t="e">
        <f t="shared" si="30"/>
        <v>#N/A</v>
      </c>
      <c r="AA260" t="e">
        <f t="shared" si="31"/>
        <v>#N/A</v>
      </c>
      <c r="AB260" t="e">
        <f>VLOOKUP(Z260,Intrim!R:Z,9,0)</f>
        <v>#N/A</v>
      </c>
    </row>
    <row r="261" spans="1:28" x14ac:dyDescent="0.25">
      <c r="A261" t="str">
        <f t="shared" si="32"/>
        <v>253</v>
      </c>
      <c r="B261">
        <f>COUNTIF($C$6:C261,C261)</f>
        <v>253</v>
      </c>
      <c r="C261" t="str">
        <f t="shared" si="26"/>
        <v/>
      </c>
      <c r="D261" t="str">
        <f ca="1">IFERROR(INDEX(Intrim!$R$4:$R$401,E261),"")</f>
        <v/>
      </c>
      <c r="E261" t="e">
        <f ca="1">MATCH(intrim2!C261,OFFSET(Intrim!$S$4,E260,0):'Intrim'!$S$401,0)+E260</f>
        <v>#N/A</v>
      </c>
      <c r="L261" t="str">
        <f t="shared" si="33"/>
        <v>254</v>
      </c>
      <c r="M261">
        <f>COUNTIF($N$6:N261,N261)</f>
        <v>254</v>
      </c>
      <c r="N261" t="str">
        <f t="shared" si="27"/>
        <v/>
      </c>
      <c r="O261" t="str">
        <f ca="1">IFERROR(INDEX(Intrim!$F$4:$F$201,P261),"")</f>
        <v/>
      </c>
      <c r="P261" t="e">
        <f ca="1">MATCH(intrim2!N261,OFFSET(Intrim!$G$4,P260,0):'Intrim'!$G$201,0)+P260</f>
        <v>#N/A</v>
      </c>
      <c r="V261">
        <v>256</v>
      </c>
      <c r="W261" t="str">
        <f t="shared" si="28"/>
        <v/>
      </c>
      <c r="X261" t="str">
        <f>IF(W261="","",COUNTIF($W$6:W261,W261))</f>
        <v/>
      </c>
      <c r="Y261" t="e">
        <f t="shared" si="29"/>
        <v>#N/A</v>
      </c>
      <c r="Z261" t="e">
        <f t="shared" si="30"/>
        <v>#N/A</v>
      </c>
      <c r="AA261" t="e">
        <f t="shared" si="31"/>
        <v>#N/A</v>
      </c>
      <c r="AB261" t="e">
        <f>VLOOKUP(Z261,Intrim!R:Z,9,0)</f>
        <v>#N/A</v>
      </c>
    </row>
    <row r="262" spans="1:28" x14ac:dyDescent="0.25">
      <c r="A262" t="str">
        <f t="shared" si="32"/>
        <v>254</v>
      </c>
      <c r="B262">
        <f>COUNTIF($C$6:C262,C262)</f>
        <v>254</v>
      </c>
      <c r="C262" t="str">
        <f t="shared" si="26"/>
        <v/>
      </c>
      <c r="D262" t="str">
        <f ca="1">IFERROR(INDEX(Intrim!$R$4:$R$401,E262),"")</f>
        <v/>
      </c>
      <c r="E262" t="e">
        <f ca="1">MATCH(intrim2!C262,OFFSET(Intrim!$S$4,E261,0):'Intrim'!$S$401,0)+E261</f>
        <v>#N/A</v>
      </c>
      <c r="L262" t="str">
        <f t="shared" si="33"/>
        <v>255</v>
      </c>
      <c r="M262">
        <f>COUNTIF($N$6:N262,N262)</f>
        <v>255</v>
      </c>
      <c r="N262" t="str">
        <f t="shared" si="27"/>
        <v/>
      </c>
      <c r="O262" t="str">
        <f ca="1">IFERROR(INDEX(Intrim!$F$4:$F$201,P262),"")</f>
        <v/>
      </c>
      <c r="P262" t="e">
        <f ca="1">MATCH(intrim2!N262,OFFSET(Intrim!$G$4,P261,0):'Intrim'!$G$201,0)+P261</f>
        <v>#N/A</v>
      </c>
      <c r="V262">
        <v>257</v>
      </c>
      <c r="W262" t="str">
        <f t="shared" si="28"/>
        <v/>
      </c>
      <c r="X262" t="str">
        <f>IF(W262="","",COUNTIF($W$6:W262,W262))</f>
        <v/>
      </c>
      <c r="Y262" t="e">
        <f t="shared" si="29"/>
        <v>#N/A</v>
      </c>
      <c r="Z262" t="e">
        <f t="shared" si="30"/>
        <v>#N/A</v>
      </c>
      <c r="AA262" t="e">
        <f t="shared" si="31"/>
        <v>#N/A</v>
      </c>
      <c r="AB262" t="e">
        <f>VLOOKUP(Z262,Intrim!R:Z,9,0)</f>
        <v>#N/A</v>
      </c>
    </row>
    <row r="263" spans="1:28" x14ac:dyDescent="0.25">
      <c r="A263" t="str">
        <f t="shared" si="32"/>
        <v>255</v>
      </c>
      <c r="B263">
        <f>COUNTIF($C$6:C263,C263)</f>
        <v>255</v>
      </c>
      <c r="C263" t="str">
        <f t="shared" ref="C263:C305" si="34">IF(ROW(C263)&lt;=$D$3+5,$B$1,"")</f>
        <v/>
      </c>
      <c r="D263" t="str">
        <f ca="1">IFERROR(INDEX(Intrim!$R$4:$R$401,E263),"")</f>
        <v/>
      </c>
      <c r="E263" t="e">
        <f ca="1">MATCH(intrim2!C263,OFFSET(Intrim!$S$4,E262,0):'Intrim'!$S$401,0)+E262</f>
        <v>#N/A</v>
      </c>
      <c r="L263" t="str">
        <f t="shared" si="33"/>
        <v>256</v>
      </c>
      <c r="M263">
        <f>COUNTIF($N$6:N263,N263)</f>
        <v>256</v>
      </c>
      <c r="N263" t="str">
        <f t="shared" ref="N263:N305" si="35">IF(ROW(N263)&lt;=$O$3+5,$B$1,"")</f>
        <v/>
      </c>
      <c r="O263" t="str">
        <f ca="1">IFERROR(INDEX(Intrim!$F$4:$F$201,P263),"")</f>
        <v/>
      </c>
      <c r="P263" t="e">
        <f ca="1">MATCH(intrim2!N263,OFFSET(Intrim!$G$4,P262,0):'Intrim'!$G$201,0)+P262</f>
        <v>#N/A</v>
      </c>
      <c r="V263">
        <v>258</v>
      </c>
      <c r="W263" t="str">
        <f t="shared" ref="W263:W305" si="36">IF(ROUNDUP(V263/$D$3,0)&lt;=$O$3,ROUNDUP(V263/$D$3,0),"")</f>
        <v/>
      </c>
      <c r="X263" t="str">
        <f>IF(W263="","",COUNTIF($W$6:W263,W263))</f>
        <v/>
      </c>
      <c r="Y263" t="e">
        <f t="shared" ref="Y263:Y305" si="37">VLOOKUP(W263&amp;$Y$3,L:O,4,0)</f>
        <v>#N/A</v>
      </c>
      <c r="Z263" t="e">
        <f t="shared" ref="Z263:Z305" si="38">VLOOKUP(X263&amp;$Y$3,A:D,4,0)</f>
        <v>#N/A</v>
      </c>
      <c r="AA263" t="e">
        <f t="shared" ref="AA263:AA305" si="39">INDEX($N$6:$N$305,MATCH(Y263,$O$6:$O$305,0))</f>
        <v>#N/A</v>
      </c>
      <c r="AB263" t="e">
        <f>VLOOKUP(Z263,Intrim!R:Z,9,0)</f>
        <v>#N/A</v>
      </c>
    </row>
    <row r="264" spans="1:28" x14ac:dyDescent="0.25">
      <c r="A264" t="str">
        <f t="shared" ref="A264:A305" si="40">+B264&amp;C264</f>
        <v>256</v>
      </c>
      <c r="B264">
        <f>COUNTIF($C$6:C264,C264)</f>
        <v>256</v>
      </c>
      <c r="C264" t="str">
        <f t="shared" si="34"/>
        <v/>
      </c>
      <c r="D264" t="str">
        <f ca="1">IFERROR(INDEX(Intrim!$R$4:$R$401,E264),"")</f>
        <v/>
      </c>
      <c r="E264" t="e">
        <f ca="1">MATCH(intrim2!C264,OFFSET(Intrim!$S$4,E263,0):'Intrim'!$S$401,0)+E263</f>
        <v>#N/A</v>
      </c>
      <c r="L264" t="str">
        <f t="shared" si="33"/>
        <v>257</v>
      </c>
      <c r="M264">
        <f>COUNTIF($N$6:N264,N264)</f>
        <v>257</v>
      </c>
      <c r="N264" t="str">
        <f t="shared" si="35"/>
        <v/>
      </c>
      <c r="O264" t="str">
        <f ca="1">IFERROR(INDEX(Intrim!$F$4:$F$201,P264),"")</f>
        <v/>
      </c>
      <c r="P264" t="e">
        <f ca="1">MATCH(intrim2!N264,OFFSET(Intrim!$G$4,P263,0):'Intrim'!$G$201,0)+P263</f>
        <v>#N/A</v>
      </c>
      <c r="V264">
        <v>259</v>
      </c>
      <c r="W264" t="str">
        <f t="shared" si="36"/>
        <v/>
      </c>
      <c r="X264" t="str">
        <f>IF(W264="","",COUNTIF($W$6:W264,W264))</f>
        <v/>
      </c>
      <c r="Y264" t="e">
        <f t="shared" si="37"/>
        <v>#N/A</v>
      </c>
      <c r="Z264" t="e">
        <f t="shared" si="38"/>
        <v>#N/A</v>
      </c>
      <c r="AA264" t="e">
        <f t="shared" si="39"/>
        <v>#N/A</v>
      </c>
      <c r="AB264" t="e">
        <f>VLOOKUP(Z264,Intrim!R:Z,9,0)</f>
        <v>#N/A</v>
      </c>
    </row>
    <row r="265" spans="1:28" x14ac:dyDescent="0.25">
      <c r="A265" t="str">
        <f t="shared" si="40"/>
        <v>257</v>
      </c>
      <c r="B265">
        <f>COUNTIF($C$6:C265,C265)</f>
        <v>257</v>
      </c>
      <c r="C265" t="str">
        <f t="shared" si="34"/>
        <v/>
      </c>
      <c r="D265" t="str">
        <f ca="1">IFERROR(INDEX(Intrim!$R$4:$R$401,E265),"")</f>
        <v/>
      </c>
      <c r="E265" t="e">
        <f ca="1">MATCH(intrim2!C265,OFFSET(Intrim!$S$4,E264,0):'Intrim'!$S$401,0)+E264</f>
        <v>#N/A</v>
      </c>
      <c r="L265" t="str">
        <f t="shared" ref="L265:L305" si="41">+M265&amp;N265</f>
        <v>258</v>
      </c>
      <c r="M265">
        <f>COUNTIF($N$6:N265,N265)</f>
        <v>258</v>
      </c>
      <c r="N265" t="str">
        <f t="shared" si="35"/>
        <v/>
      </c>
      <c r="O265" t="str">
        <f ca="1">IFERROR(INDEX(Intrim!$F$4:$F$201,P265),"")</f>
        <v/>
      </c>
      <c r="P265" t="e">
        <f ca="1">MATCH(intrim2!N265,OFFSET(Intrim!$G$4,P264,0):'Intrim'!$G$201,0)+P264</f>
        <v>#N/A</v>
      </c>
      <c r="V265">
        <v>260</v>
      </c>
      <c r="W265" t="str">
        <f t="shared" si="36"/>
        <v/>
      </c>
      <c r="X265" t="str">
        <f>IF(W265="","",COUNTIF($W$6:W265,W265))</f>
        <v/>
      </c>
      <c r="Y265" t="e">
        <f t="shared" si="37"/>
        <v>#N/A</v>
      </c>
      <c r="Z265" t="e">
        <f t="shared" si="38"/>
        <v>#N/A</v>
      </c>
      <c r="AA265" t="e">
        <f t="shared" si="39"/>
        <v>#N/A</v>
      </c>
      <c r="AB265" t="e">
        <f>VLOOKUP(Z265,Intrim!R:Z,9,0)</f>
        <v>#N/A</v>
      </c>
    </row>
    <row r="266" spans="1:28" x14ac:dyDescent="0.25">
      <c r="A266" t="str">
        <f t="shared" si="40"/>
        <v>258</v>
      </c>
      <c r="B266">
        <f>COUNTIF($C$6:C266,C266)</f>
        <v>258</v>
      </c>
      <c r="C266" t="str">
        <f t="shared" si="34"/>
        <v/>
      </c>
      <c r="D266" t="str">
        <f ca="1">IFERROR(INDEX(Intrim!$R$4:$R$401,E266),"")</f>
        <v/>
      </c>
      <c r="E266" t="e">
        <f ca="1">MATCH(intrim2!C266,OFFSET(Intrim!$S$4,E265,0):'Intrim'!$S$401,0)+E265</f>
        <v>#N/A</v>
      </c>
      <c r="L266" t="str">
        <f t="shared" si="41"/>
        <v>259</v>
      </c>
      <c r="M266">
        <f>COUNTIF($N$6:N266,N266)</f>
        <v>259</v>
      </c>
      <c r="N266" t="str">
        <f t="shared" si="35"/>
        <v/>
      </c>
      <c r="O266" t="str">
        <f ca="1">IFERROR(INDEX(Intrim!$F$4:$F$201,P266),"")</f>
        <v/>
      </c>
      <c r="P266" t="e">
        <f ca="1">MATCH(intrim2!N266,OFFSET(Intrim!$G$4,P265,0):'Intrim'!$G$201,0)+P265</f>
        <v>#N/A</v>
      </c>
      <c r="V266">
        <v>261</v>
      </c>
      <c r="W266" t="str">
        <f t="shared" si="36"/>
        <v/>
      </c>
      <c r="X266" t="str">
        <f>IF(W266="","",COUNTIF($W$6:W266,W266))</f>
        <v/>
      </c>
      <c r="Y266" t="e">
        <f t="shared" si="37"/>
        <v>#N/A</v>
      </c>
      <c r="Z266" t="e">
        <f t="shared" si="38"/>
        <v>#N/A</v>
      </c>
      <c r="AA266" t="e">
        <f t="shared" si="39"/>
        <v>#N/A</v>
      </c>
      <c r="AB266" t="e">
        <f>VLOOKUP(Z266,Intrim!R:Z,9,0)</f>
        <v>#N/A</v>
      </c>
    </row>
    <row r="267" spans="1:28" x14ac:dyDescent="0.25">
      <c r="A267" t="str">
        <f t="shared" si="40"/>
        <v>259</v>
      </c>
      <c r="B267">
        <f>COUNTIF($C$6:C267,C267)</f>
        <v>259</v>
      </c>
      <c r="C267" t="str">
        <f t="shared" si="34"/>
        <v/>
      </c>
      <c r="D267" t="str">
        <f ca="1">IFERROR(INDEX(Intrim!$R$4:$R$401,E267),"")</f>
        <v/>
      </c>
      <c r="E267" t="e">
        <f ca="1">MATCH(intrim2!C267,OFFSET(Intrim!$S$4,E266,0):'Intrim'!$S$401,0)+E266</f>
        <v>#N/A</v>
      </c>
      <c r="L267" t="str">
        <f t="shared" si="41"/>
        <v>260</v>
      </c>
      <c r="M267">
        <f>COUNTIF($N$6:N267,N267)</f>
        <v>260</v>
      </c>
      <c r="N267" t="str">
        <f t="shared" si="35"/>
        <v/>
      </c>
      <c r="O267" t="str">
        <f ca="1">IFERROR(INDEX(Intrim!$F$4:$F$201,P267),"")</f>
        <v/>
      </c>
      <c r="P267" t="e">
        <f ca="1">MATCH(intrim2!N267,OFFSET(Intrim!$G$4,P266,0):'Intrim'!$G$201,0)+P266</f>
        <v>#N/A</v>
      </c>
      <c r="V267">
        <v>262</v>
      </c>
      <c r="W267" t="str">
        <f t="shared" si="36"/>
        <v/>
      </c>
      <c r="X267" t="str">
        <f>IF(W267="","",COUNTIF($W$6:W267,W267))</f>
        <v/>
      </c>
      <c r="Y267" t="e">
        <f t="shared" si="37"/>
        <v>#N/A</v>
      </c>
      <c r="Z267" t="e">
        <f t="shared" si="38"/>
        <v>#N/A</v>
      </c>
      <c r="AA267" t="e">
        <f t="shared" si="39"/>
        <v>#N/A</v>
      </c>
      <c r="AB267" t="e">
        <f>VLOOKUP(Z267,Intrim!R:Z,9,0)</f>
        <v>#N/A</v>
      </c>
    </row>
    <row r="268" spans="1:28" x14ac:dyDescent="0.25">
      <c r="A268" t="str">
        <f t="shared" si="40"/>
        <v>260</v>
      </c>
      <c r="B268">
        <f>COUNTIF($C$6:C268,C268)</f>
        <v>260</v>
      </c>
      <c r="C268" t="str">
        <f t="shared" si="34"/>
        <v/>
      </c>
      <c r="D268" t="str">
        <f ca="1">IFERROR(INDEX(Intrim!$R$4:$R$401,E268),"")</f>
        <v/>
      </c>
      <c r="E268" t="e">
        <f ca="1">MATCH(intrim2!C268,OFFSET(Intrim!$S$4,E267,0):'Intrim'!$S$401,0)+E267</f>
        <v>#N/A</v>
      </c>
      <c r="L268" t="str">
        <f t="shared" si="41"/>
        <v>261</v>
      </c>
      <c r="M268">
        <f>COUNTIF($N$6:N268,N268)</f>
        <v>261</v>
      </c>
      <c r="N268" t="str">
        <f t="shared" si="35"/>
        <v/>
      </c>
      <c r="O268" t="str">
        <f ca="1">IFERROR(INDEX(Intrim!$F$4:$F$201,P268),"")</f>
        <v/>
      </c>
      <c r="P268" t="e">
        <f ca="1">MATCH(intrim2!N268,OFFSET(Intrim!$G$4,P267,0):'Intrim'!$G$201,0)+P267</f>
        <v>#N/A</v>
      </c>
      <c r="V268">
        <v>263</v>
      </c>
      <c r="W268" t="str">
        <f t="shared" si="36"/>
        <v/>
      </c>
      <c r="X268" t="str">
        <f>IF(W268="","",COUNTIF($W$6:W268,W268))</f>
        <v/>
      </c>
      <c r="Y268" t="e">
        <f t="shared" si="37"/>
        <v>#N/A</v>
      </c>
      <c r="Z268" t="e">
        <f t="shared" si="38"/>
        <v>#N/A</v>
      </c>
      <c r="AA268" t="e">
        <f t="shared" si="39"/>
        <v>#N/A</v>
      </c>
      <c r="AB268" t="e">
        <f>VLOOKUP(Z268,Intrim!R:Z,9,0)</f>
        <v>#N/A</v>
      </c>
    </row>
    <row r="269" spans="1:28" x14ac:dyDescent="0.25">
      <c r="A269" t="str">
        <f t="shared" si="40"/>
        <v>261</v>
      </c>
      <c r="B269">
        <f>COUNTIF($C$6:C269,C269)</f>
        <v>261</v>
      </c>
      <c r="C269" t="str">
        <f t="shared" si="34"/>
        <v/>
      </c>
      <c r="D269" t="str">
        <f ca="1">IFERROR(INDEX(Intrim!$R$4:$R$401,E269),"")</f>
        <v/>
      </c>
      <c r="E269" t="e">
        <f ca="1">MATCH(intrim2!C269,OFFSET(Intrim!$S$4,E268,0):'Intrim'!$S$401,0)+E268</f>
        <v>#N/A</v>
      </c>
      <c r="L269" t="str">
        <f t="shared" si="41"/>
        <v>262</v>
      </c>
      <c r="M269">
        <f>COUNTIF($N$6:N269,N269)</f>
        <v>262</v>
      </c>
      <c r="N269" t="str">
        <f t="shared" si="35"/>
        <v/>
      </c>
      <c r="O269" t="str">
        <f ca="1">IFERROR(INDEX(Intrim!$F$4:$F$201,P269),"")</f>
        <v/>
      </c>
      <c r="P269" t="e">
        <f ca="1">MATCH(intrim2!N269,OFFSET(Intrim!$G$4,P268,0):'Intrim'!$G$201,0)+P268</f>
        <v>#N/A</v>
      </c>
      <c r="V269">
        <v>264</v>
      </c>
      <c r="W269" t="str">
        <f t="shared" si="36"/>
        <v/>
      </c>
      <c r="X269" t="str">
        <f>IF(W269="","",COUNTIF($W$6:W269,W269))</f>
        <v/>
      </c>
      <c r="Y269" t="e">
        <f t="shared" si="37"/>
        <v>#N/A</v>
      </c>
      <c r="Z269" t="e">
        <f t="shared" si="38"/>
        <v>#N/A</v>
      </c>
      <c r="AA269" t="e">
        <f t="shared" si="39"/>
        <v>#N/A</v>
      </c>
      <c r="AB269" t="e">
        <f>VLOOKUP(Z269,Intrim!R:Z,9,0)</f>
        <v>#N/A</v>
      </c>
    </row>
    <row r="270" spans="1:28" x14ac:dyDescent="0.25">
      <c r="A270" t="str">
        <f t="shared" si="40"/>
        <v>262</v>
      </c>
      <c r="B270">
        <f>COUNTIF($C$6:C270,C270)</f>
        <v>262</v>
      </c>
      <c r="C270" t="str">
        <f t="shared" si="34"/>
        <v/>
      </c>
      <c r="D270" t="str">
        <f ca="1">IFERROR(INDEX(Intrim!$R$4:$R$401,E270),"")</f>
        <v/>
      </c>
      <c r="E270" t="e">
        <f ca="1">MATCH(intrim2!C270,OFFSET(Intrim!$S$4,E269,0):'Intrim'!$S$401,0)+E269</f>
        <v>#N/A</v>
      </c>
      <c r="L270" t="str">
        <f t="shared" si="41"/>
        <v>263</v>
      </c>
      <c r="M270">
        <f>COUNTIF($N$6:N270,N270)</f>
        <v>263</v>
      </c>
      <c r="N270" t="str">
        <f t="shared" si="35"/>
        <v/>
      </c>
      <c r="O270" t="str">
        <f ca="1">IFERROR(INDEX(Intrim!$F$4:$F$201,P270),"")</f>
        <v/>
      </c>
      <c r="P270" t="e">
        <f ca="1">MATCH(intrim2!N270,OFFSET(Intrim!$G$4,P269,0):'Intrim'!$G$201,0)+P269</f>
        <v>#N/A</v>
      </c>
      <c r="V270">
        <v>265</v>
      </c>
      <c r="W270" t="str">
        <f t="shared" si="36"/>
        <v/>
      </c>
      <c r="X270" t="str">
        <f>IF(W270="","",COUNTIF($W$6:W270,W270))</f>
        <v/>
      </c>
      <c r="Y270" t="e">
        <f t="shared" si="37"/>
        <v>#N/A</v>
      </c>
      <c r="Z270" t="e">
        <f t="shared" si="38"/>
        <v>#N/A</v>
      </c>
      <c r="AA270" t="e">
        <f t="shared" si="39"/>
        <v>#N/A</v>
      </c>
      <c r="AB270" t="e">
        <f>VLOOKUP(Z270,Intrim!R:Z,9,0)</f>
        <v>#N/A</v>
      </c>
    </row>
    <row r="271" spans="1:28" x14ac:dyDescent="0.25">
      <c r="A271" t="str">
        <f t="shared" si="40"/>
        <v>263</v>
      </c>
      <c r="B271">
        <f>COUNTIF($C$6:C271,C271)</f>
        <v>263</v>
      </c>
      <c r="C271" t="str">
        <f t="shared" si="34"/>
        <v/>
      </c>
      <c r="D271" t="str">
        <f ca="1">IFERROR(INDEX(Intrim!$R$4:$R$401,E271),"")</f>
        <v/>
      </c>
      <c r="E271" t="e">
        <f ca="1">MATCH(intrim2!C271,OFFSET(Intrim!$S$4,E270,0):'Intrim'!$S$401,0)+E270</f>
        <v>#N/A</v>
      </c>
      <c r="L271" t="str">
        <f t="shared" si="41"/>
        <v>264</v>
      </c>
      <c r="M271">
        <f>COUNTIF($N$6:N271,N271)</f>
        <v>264</v>
      </c>
      <c r="N271" t="str">
        <f t="shared" si="35"/>
        <v/>
      </c>
      <c r="O271" t="str">
        <f ca="1">IFERROR(INDEX(Intrim!$F$4:$F$201,P271),"")</f>
        <v/>
      </c>
      <c r="P271" t="e">
        <f ca="1">MATCH(intrim2!N271,OFFSET(Intrim!$G$4,P270,0):'Intrim'!$G$201,0)+P270</f>
        <v>#N/A</v>
      </c>
      <c r="V271">
        <v>266</v>
      </c>
      <c r="W271" t="str">
        <f t="shared" si="36"/>
        <v/>
      </c>
      <c r="X271" t="str">
        <f>IF(W271="","",COUNTIF($W$6:W271,W271))</f>
        <v/>
      </c>
      <c r="Y271" t="e">
        <f t="shared" si="37"/>
        <v>#N/A</v>
      </c>
      <c r="Z271" t="e">
        <f t="shared" si="38"/>
        <v>#N/A</v>
      </c>
      <c r="AA271" t="e">
        <f t="shared" si="39"/>
        <v>#N/A</v>
      </c>
      <c r="AB271" t="e">
        <f>VLOOKUP(Z271,Intrim!R:Z,9,0)</f>
        <v>#N/A</v>
      </c>
    </row>
    <row r="272" spans="1:28" x14ac:dyDescent="0.25">
      <c r="A272" t="str">
        <f t="shared" si="40"/>
        <v>264</v>
      </c>
      <c r="B272">
        <f>COUNTIF($C$6:C272,C272)</f>
        <v>264</v>
      </c>
      <c r="C272" t="str">
        <f t="shared" si="34"/>
        <v/>
      </c>
      <c r="D272" t="str">
        <f ca="1">IFERROR(INDEX(Intrim!$R$4:$R$401,E272),"")</f>
        <v/>
      </c>
      <c r="E272" t="e">
        <f ca="1">MATCH(intrim2!C272,OFFSET(Intrim!$S$4,E271,0):'Intrim'!$S$401,0)+E271</f>
        <v>#N/A</v>
      </c>
      <c r="L272" t="str">
        <f t="shared" si="41"/>
        <v>265</v>
      </c>
      <c r="M272">
        <f>COUNTIF($N$6:N272,N272)</f>
        <v>265</v>
      </c>
      <c r="N272" t="str">
        <f t="shared" si="35"/>
        <v/>
      </c>
      <c r="O272" t="str">
        <f ca="1">IFERROR(INDEX(Intrim!$F$4:$F$201,P272),"")</f>
        <v/>
      </c>
      <c r="P272" t="e">
        <f ca="1">MATCH(intrim2!N272,OFFSET(Intrim!$G$4,P271,0):'Intrim'!$G$201,0)+P271</f>
        <v>#N/A</v>
      </c>
      <c r="V272">
        <v>267</v>
      </c>
      <c r="W272" t="str">
        <f t="shared" si="36"/>
        <v/>
      </c>
      <c r="X272" t="str">
        <f>IF(W272="","",COUNTIF($W$6:W272,W272))</f>
        <v/>
      </c>
      <c r="Y272" t="e">
        <f t="shared" si="37"/>
        <v>#N/A</v>
      </c>
      <c r="Z272" t="e">
        <f t="shared" si="38"/>
        <v>#N/A</v>
      </c>
      <c r="AA272" t="e">
        <f t="shared" si="39"/>
        <v>#N/A</v>
      </c>
      <c r="AB272" t="e">
        <f>VLOOKUP(Z272,Intrim!R:Z,9,0)</f>
        <v>#N/A</v>
      </c>
    </row>
    <row r="273" spans="1:28" x14ac:dyDescent="0.25">
      <c r="A273" t="str">
        <f t="shared" si="40"/>
        <v>265</v>
      </c>
      <c r="B273">
        <f>COUNTIF($C$6:C273,C273)</f>
        <v>265</v>
      </c>
      <c r="C273" t="str">
        <f t="shared" si="34"/>
        <v/>
      </c>
      <c r="D273" t="str">
        <f ca="1">IFERROR(INDEX(Intrim!$R$4:$R$401,E273),"")</f>
        <v/>
      </c>
      <c r="E273" t="e">
        <f ca="1">MATCH(intrim2!C273,OFFSET(Intrim!$S$4,E272,0):'Intrim'!$S$401,0)+E272</f>
        <v>#N/A</v>
      </c>
      <c r="L273" t="str">
        <f t="shared" si="41"/>
        <v>266</v>
      </c>
      <c r="M273">
        <f>COUNTIF($N$6:N273,N273)</f>
        <v>266</v>
      </c>
      <c r="N273" t="str">
        <f t="shared" si="35"/>
        <v/>
      </c>
      <c r="O273" t="str">
        <f ca="1">IFERROR(INDEX(Intrim!$F$4:$F$201,P273),"")</f>
        <v/>
      </c>
      <c r="P273" t="e">
        <f ca="1">MATCH(intrim2!N273,OFFSET(Intrim!$G$4,P272,0):'Intrim'!$G$201,0)+P272</f>
        <v>#N/A</v>
      </c>
      <c r="V273">
        <v>268</v>
      </c>
      <c r="W273" t="str">
        <f t="shared" si="36"/>
        <v/>
      </c>
      <c r="X273" t="str">
        <f>IF(W273="","",COUNTIF($W$6:W273,W273))</f>
        <v/>
      </c>
      <c r="Y273" t="e">
        <f t="shared" si="37"/>
        <v>#N/A</v>
      </c>
      <c r="Z273" t="e">
        <f t="shared" si="38"/>
        <v>#N/A</v>
      </c>
      <c r="AA273" t="e">
        <f t="shared" si="39"/>
        <v>#N/A</v>
      </c>
      <c r="AB273" t="e">
        <f>VLOOKUP(Z273,Intrim!R:Z,9,0)</f>
        <v>#N/A</v>
      </c>
    </row>
    <row r="274" spans="1:28" x14ac:dyDescent="0.25">
      <c r="A274" t="str">
        <f t="shared" si="40"/>
        <v>266</v>
      </c>
      <c r="B274">
        <f>COUNTIF($C$6:C274,C274)</f>
        <v>266</v>
      </c>
      <c r="C274" t="str">
        <f t="shared" si="34"/>
        <v/>
      </c>
      <c r="D274" t="str">
        <f ca="1">IFERROR(INDEX(Intrim!$R$4:$R$401,E274),"")</f>
        <v/>
      </c>
      <c r="E274" t="e">
        <f ca="1">MATCH(intrim2!C274,OFFSET(Intrim!$S$4,E273,0):'Intrim'!$S$401,0)+E273</f>
        <v>#N/A</v>
      </c>
      <c r="L274" t="str">
        <f t="shared" si="41"/>
        <v>267</v>
      </c>
      <c r="M274">
        <f>COUNTIF($N$6:N274,N274)</f>
        <v>267</v>
      </c>
      <c r="N274" t="str">
        <f t="shared" si="35"/>
        <v/>
      </c>
      <c r="O274" t="str">
        <f ca="1">IFERROR(INDEX(Intrim!$F$4:$F$201,P274),"")</f>
        <v/>
      </c>
      <c r="P274" t="e">
        <f ca="1">MATCH(intrim2!N274,OFFSET(Intrim!$G$4,P273,0):'Intrim'!$G$201,0)+P273</f>
        <v>#N/A</v>
      </c>
      <c r="V274">
        <v>269</v>
      </c>
      <c r="W274" t="str">
        <f t="shared" si="36"/>
        <v/>
      </c>
      <c r="X274" t="str">
        <f>IF(W274="","",COUNTIF($W$6:W274,W274))</f>
        <v/>
      </c>
      <c r="Y274" t="e">
        <f t="shared" si="37"/>
        <v>#N/A</v>
      </c>
      <c r="Z274" t="e">
        <f t="shared" si="38"/>
        <v>#N/A</v>
      </c>
      <c r="AA274" t="e">
        <f t="shared" si="39"/>
        <v>#N/A</v>
      </c>
      <c r="AB274" t="e">
        <f>VLOOKUP(Z274,Intrim!R:Z,9,0)</f>
        <v>#N/A</v>
      </c>
    </row>
    <row r="275" spans="1:28" x14ac:dyDescent="0.25">
      <c r="A275" t="str">
        <f t="shared" si="40"/>
        <v>267</v>
      </c>
      <c r="B275">
        <f>COUNTIF($C$6:C275,C275)</f>
        <v>267</v>
      </c>
      <c r="C275" t="str">
        <f t="shared" si="34"/>
        <v/>
      </c>
      <c r="D275" t="str">
        <f ca="1">IFERROR(INDEX(Intrim!$R$4:$R$401,E275),"")</f>
        <v/>
      </c>
      <c r="E275" t="e">
        <f ca="1">MATCH(intrim2!C275,OFFSET(Intrim!$S$4,E274,0):'Intrim'!$S$401,0)+E274</f>
        <v>#N/A</v>
      </c>
      <c r="L275" t="str">
        <f t="shared" si="41"/>
        <v>268</v>
      </c>
      <c r="M275">
        <f>COUNTIF($N$6:N275,N275)</f>
        <v>268</v>
      </c>
      <c r="N275" t="str">
        <f t="shared" si="35"/>
        <v/>
      </c>
      <c r="O275" t="str">
        <f ca="1">IFERROR(INDEX(Intrim!$F$4:$F$201,P275),"")</f>
        <v/>
      </c>
      <c r="P275" t="e">
        <f ca="1">MATCH(intrim2!N275,OFFSET(Intrim!$G$4,P274,0):'Intrim'!$G$201,0)+P274</f>
        <v>#N/A</v>
      </c>
      <c r="V275">
        <v>270</v>
      </c>
      <c r="W275" t="str">
        <f t="shared" si="36"/>
        <v/>
      </c>
      <c r="X275" t="str">
        <f>IF(W275="","",COUNTIF($W$6:W275,W275))</f>
        <v/>
      </c>
      <c r="Y275" t="e">
        <f t="shared" si="37"/>
        <v>#N/A</v>
      </c>
      <c r="Z275" t="e">
        <f t="shared" si="38"/>
        <v>#N/A</v>
      </c>
      <c r="AA275" t="e">
        <f t="shared" si="39"/>
        <v>#N/A</v>
      </c>
      <c r="AB275" t="e">
        <f>VLOOKUP(Z275,Intrim!R:Z,9,0)</f>
        <v>#N/A</v>
      </c>
    </row>
    <row r="276" spans="1:28" x14ac:dyDescent="0.25">
      <c r="A276" t="str">
        <f t="shared" si="40"/>
        <v>268</v>
      </c>
      <c r="B276">
        <f>COUNTIF($C$6:C276,C276)</f>
        <v>268</v>
      </c>
      <c r="C276" t="str">
        <f t="shared" si="34"/>
        <v/>
      </c>
      <c r="D276" t="str">
        <f ca="1">IFERROR(INDEX(Intrim!$R$4:$R$401,E276),"")</f>
        <v/>
      </c>
      <c r="E276" t="e">
        <f ca="1">MATCH(intrim2!C276,OFFSET(Intrim!$S$4,E275,0):'Intrim'!$S$401,0)+E275</f>
        <v>#N/A</v>
      </c>
      <c r="L276" t="str">
        <f t="shared" si="41"/>
        <v>269</v>
      </c>
      <c r="M276">
        <f>COUNTIF($N$6:N276,N276)</f>
        <v>269</v>
      </c>
      <c r="N276" t="str">
        <f t="shared" si="35"/>
        <v/>
      </c>
      <c r="O276" t="str">
        <f ca="1">IFERROR(INDEX(Intrim!$F$4:$F$201,P276),"")</f>
        <v/>
      </c>
      <c r="P276" t="e">
        <f ca="1">MATCH(intrim2!N276,OFFSET(Intrim!$G$4,P275,0):'Intrim'!$G$201,0)+P275</f>
        <v>#N/A</v>
      </c>
      <c r="V276">
        <v>271</v>
      </c>
      <c r="W276" t="str">
        <f t="shared" si="36"/>
        <v/>
      </c>
      <c r="X276" t="str">
        <f>IF(W276="","",COUNTIF($W$6:W276,W276))</f>
        <v/>
      </c>
      <c r="Y276" t="e">
        <f t="shared" si="37"/>
        <v>#N/A</v>
      </c>
      <c r="Z276" t="e">
        <f t="shared" si="38"/>
        <v>#N/A</v>
      </c>
      <c r="AA276" t="e">
        <f t="shared" si="39"/>
        <v>#N/A</v>
      </c>
      <c r="AB276" t="e">
        <f>VLOOKUP(Z276,Intrim!R:Z,9,0)</f>
        <v>#N/A</v>
      </c>
    </row>
    <row r="277" spans="1:28" x14ac:dyDescent="0.25">
      <c r="A277" t="str">
        <f t="shared" si="40"/>
        <v>269</v>
      </c>
      <c r="B277">
        <f>COUNTIF($C$6:C277,C277)</f>
        <v>269</v>
      </c>
      <c r="C277" t="str">
        <f t="shared" si="34"/>
        <v/>
      </c>
      <c r="D277" t="str">
        <f ca="1">IFERROR(INDEX(Intrim!$R$4:$R$401,E277),"")</f>
        <v/>
      </c>
      <c r="E277" t="e">
        <f ca="1">MATCH(intrim2!C277,OFFSET(Intrim!$S$4,E276,0):'Intrim'!$S$401,0)+E276</f>
        <v>#N/A</v>
      </c>
      <c r="L277" t="str">
        <f t="shared" si="41"/>
        <v>270</v>
      </c>
      <c r="M277">
        <f>COUNTIF($N$6:N277,N277)</f>
        <v>270</v>
      </c>
      <c r="N277" t="str">
        <f t="shared" si="35"/>
        <v/>
      </c>
      <c r="O277" t="str">
        <f ca="1">IFERROR(INDEX(Intrim!$F$4:$F$201,P277),"")</f>
        <v/>
      </c>
      <c r="P277" t="e">
        <f ca="1">MATCH(intrim2!N277,OFFSET(Intrim!$G$4,P276,0):'Intrim'!$G$201,0)+P276</f>
        <v>#N/A</v>
      </c>
      <c r="V277">
        <v>272</v>
      </c>
      <c r="W277" t="str">
        <f t="shared" si="36"/>
        <v/>
      </c>
      <c r="X277" t="str">
        <f>IF(W277="","",COUNTIF($W$6:W277,W277))</f>
        <v/>
      </c>
      <c r="Y277" t="e">
        <f t="shared" si="37"/>
        <v>#N/A</v>
      </c>
      <c r="Z277" t="e">
        <f t="shared" si="38"/>
        <v>#N/A</v>
      </c>
      <c r="AA277" t="e">
        <f t="shared" si="39"/>
        <v>#N/A</v>
      </c>
      <c r="AB277" t="e">
        <f>VLOOKUP(Z277,Intrim!R:Z,9,0)</f>
        <v>#N/A</v>
      </c>
    </row>
    <row r="278" spans="1:28" x14ac:dyDescent="0.25">
      <c r="A278" t="str">
        <f t="shared" si="40"/>
        <v>270</v>
      </c>
      <c r="B278">
        <f>COUNTIF($C$6:C278,C278)</f>
        <v>270</v>
      </c>
      <c r="C278" t="str">
        <f t="shared" si="34"/>
        <v/>
      </c>
      <c r="D278" t="str">
        <f ca="1">IFERROR(INDEX(Intrim!$R$4:$R$401,E278),"")</f>
        <v/>
      </c>
      <c r="E278" t="e">
        <f ca="1">MATCH(intrim2!C278,OFFSET(Intrim!$S$4,E277,0):'Intrim'!$S$401,0)+E277</f>
        <v>#N/A</v>
      </c>
      <c r="L278" t="str">
        <f t="shared" si="41"/>
        <v>271</v>
      </c>
      <c r="M278">
        <f>COUNTIF($N$6:N278,N278)</f>
        <v>271</v>
      </c>
      <c r="N278" t="str">
        <f t="shared" si="35"/>
        <v/>
      </c>
      <c r="O278" t="str">
        <f ca="1">IFERROR(INDEX(Intrim!$F$4:$F$201,P278),"")</f>
        <v/>
      </c>
      <c r="P278" t="e">
        <f ca="1">MATCH(intrim2!N278,OFFSET(Intrim!$G$4,P277,0):'Intrim'!$G$201,0)+P277</f>
        <v>#N/A</v>
      </c>
      <c r="V278">
        <v>273</v>
      </c>
      <c r="W278" t="str">
        <f t="shared" si="36"/>
        <v/>
      </c>
      <c r="X278" t="str">
        <f>IF(W278="","",COUNTIF($W$6:W278,W278))</f>
        <v/>
      </c>
      <c r="Y278" t="e">
        <f t="shared" si="37"/>
        <v>#N/A</v>
      </c>
      <c r="Z278" t="e">
        <f t="shared" si="38"/>
        <v>#N/A</v>
      </c>
      <c r="AA278" t="e">
        <f t="shared" si="39"/>
        <v>#N/A</v>
      </c>
      <c r="AB278" t="e">
        <f>VLOOKUP(Z278,Intrim!R:Z,9,0)</f>
        <v>#N/A</v>
      </c>
    </row>
    <row r="279" spans="1:28" x14ac:dyDescent="0.25">
      <c r="A279" t="str">
        <f t="shared" si="40"/>
        <v>271</v>
      </c>
      <c r="B279">
        <f>COUNTIF($C$6:C279,C279)</f>
        <v>271</v>
      </c>
      <c r="C279" t="str">
        <f t="shared" si="34"/>
        <v/>
      </c>
      <c r="D279" t="str">
        <f ca="1">IFERROR(INDEX(Intrim!$R$4:$R$401,E279),"")</f>
        <v/>
      </c>
      <c r="E279" t="e">
        <f ca="1">MATCH(intrim2!C279,OFFSET(Intrim!$S$4,E278,0):'Intrim'!$S$401,0)+E278</f>
        <v>#N/A</v>
      </c>
      <c r="L279" t="str">
        <f t="shared" si="41"/>
        <v>272</v>
      </c>
      <c r="M279">
        <f>COUNTIF($N$6:N279,N279)</f>
        <v>272</v>
      </c>
      <c r="N279" t="str">
        <f t="shared" si="35"/>
        <v/>
      </c>
      <c r="O279" t="str">
        <f ca="1">IFERROR(INDEX(Intrim!$F$4:$F$201,P279),"")</f>
        <v/>
      </c>
      <c r="P279" t="e">
        <f ca="1">MATCH(intrim2!N279,OFFSET(Intrim!$G$4,P278,0):'Intrim'!$G$201,0)+P278</f>
        <v>#N/A</v>
      </c>
      <c r="V279">
        <v>274</v>
      </c>
      <c r="W279" t="str">
        <f t="shared" si="36"/>
        <v/>
      </c>
      <c r="X279" t="str">
        <f>IF(W279="","",COUNTIF($W$6:W279,W279))</f>
        <v/>
      </c>
      <c r="Y279" t="e">
        <f t="shared" si="37"/>
        <v>#N/A</v>
      </c>
      <c r="Z279" t="e">
        <f t="shared" si="38"/>
        <v>#N/A</v>
      </c>
      <c r="AA279" t="e">
        <f t="shared" si="39"/>
        <v>#N/A</v>
      </c>
      <c r="AB279" t="e">
        <f>VLOOKUP(Z279,Intrim!R:Z,9,0)</f>
        <v>#N/A</v>
      </c>
    </row>
    <row r="280" spans="1:28" x14ac:dyDescent="0.25">
      <c r="A280" t="str">
        <f t="shared" si="40"/>
        <v>272</v>
      </c>
      <c r="B280">
        <f>COUNTIF($C$6:C280,C280)</f>
        <v>272</v>
      </c>
      <c r="C280" t="str">
        <f t="shared" si="34"/>
        <v/>
      </c>
      <c r="D280" t="str">
        <f ca="1">IFERROR(INDEX(Intrim!$R$4:$R$401,E280),"")</f>
        <v/>
      </c>
      <c r="E280" t="e">
        <f ca="1">MATCH(intrim2!C280,OFFSET(Intrim!$S$4,E279,0):'Intrim'!$S$401,0)+E279</f>
        <v>#N/A</v>
      </c>
      <c r="L280" t="str">
        <f t="shared" si="41"/>
        <v>273</v>
      </c>
      <c r="M280">
        <f>COUNTIF($N$6:N280,N280)</f>
        <v>273</v>
      </c>
      <c r="N280" t="str">
        <f t="shared" si="35"/>
        <v/>
      </c>
      <c r="O280" t="str">
        <f ca="1">IFERROR(INDEX(Intrim!$F$4:$F$201,P280),"")</f>
        <v/>
      </c>
      <c r="P280" t="e">
        <f ca="1">MATCH(intrim2!N280,OFFSET(Intrim!$G$4,P279,0):'Intrim'!$G$201,0)+P279</f>
        <v>#N/A</v>
      </c>
      <c r="V280">
        <v>275</v>
      </c>
      <c r="W280" t="str">
        <f t="shared" si="36"/>
        <v/>
      </c>
      <c r="X280" t="str">
        <f>IF(W280="","",COUNTIF($W$6:W280,W280))</f>
        <v/>
      </c>
      <c r="Y280" t="e">
        <f t="shared" si="37"/>
        <v>#N/A</v>
      </c>
      <c r="Z280" t="e">
        <f t="shared" si="38"/>
        <v>#N/A</v>
      </c>
      <c r="AA280" t="e">
        <f t="shared" si="39"/>
        <v>#N/A</v>
      </c>
      <c r="AB280" t="e">
        <f>VLOOKUP(Z280,Intrim!R:Z,9,0)</f>
        <v>#N/A</v>
      </c>
    </row>
    <row r="281" spans="1:28" x14ac:dyDescent="0.25">
      <c r="A281" t="str">
        <f t="shared" si="40"/>
        <v>273</v>
      </c>
      <c r="B281">
        <f>COUNTIF($C$6:C281,C281)</f>
        <v>273</v>
      </c>
      <c r="C281" t="str">
        <f t="shared" si="34"/>
        <v/>
      </c>
      <c r="D281" t="str">
        <f ca="1">IFERROR(INDEX(Intrim!$R$4:$R$401,E281),"")</f>
        <v/>
      </c>
      <c r="E281" t="e">
        <f ca="1">MATCH(intrim2!C281,OFFSET(Intrim!$S$4,E280,0):'Intrim'!$S$401,0)+E280</f>
        <v>#N/A</v>
      </c>
      <c r="L281" t="str">
        <f t="shared" si="41"/>
        <v>274</v>
      </c>
      <c r="M281">
        <f>COUNTIF($N$6:N281,N281)</f>
        <v>274</v>
      </c>
      <c r="N281" t="str">
        <f t="shared" si="35"/>
        <v/>
      </c>
      <c r="O281" t="str">
        <f ca="1">IFERROR(INDEX(Intrim!$F$4:$F$201,P281),"")</f>
        <v/>
      </c>
      <c r="P281" t="e">
        <f ca="1">MATCH(intrim2!N281,OFFSET(Intrim!$G$4,P280,0):'Intrim'!$G$201,0)+P280</f>
        <v>#N/A</v>
      </c>
      <c r="V281">
        <v>276</v>
      </c>
      <c r="W281" t="str">
        <f t="shared" si="36"/>
        <v/>
      </c>
      <c r="X281" t="str">
        <f>IF(W281="","",COUNTIF($W$6:W281,W281))</f>
        <v/>
      </c>
      <c r="Y281" t="e">
        <f t="shared" si="37"/>
        <v>#N/A</v>
      </c>
      <c r="Z281" t="e">
        <f t="shared" si="38"/>
        <v>#N/A</v>
      </c>
      <c r="AA281" t="e">
        <f t="shared" si="39"/>
        <v>#N/A</v>
      </c>
      <c r="AB281" t="e">
        <f>VLOOKUP(Z281,Intrim!R:Z,9,0)</f>
        <v>#N/A</v>
      </c>
    </row>
    <row r="282" spans="1:28" x14ac:dyDescent="0.25">
      <c r="A282" t="str">
        <f t="shared" si="40"/>
        <v>274</v>
      </c>
      <c r="B282">
        <f>COUNTIF($C$6:C282,C282)</f>
        <v>274</v>
      </c>
      <c r="C282" t="str">
        <f t="shared" si="34"/>
        <v/>
      </c>
      <c r="D282" t="str">
        <f ca="1">IFERROR(INDEX(Intrim!$R$4:$R$401,E282),"")</f>
        <v/>
      </c>
      <c r="E282" t="e">
        <f ca="1">MATCH(intrim2!C282,OFFSET(Intrim!$S$4,E281,0):'Intrim'!$S$401,0)+E281</f>
        <v>#N/A</v>
      </c>
      <c r="L282" t="str">
        <f t="shared" si="41"/>
        <v>275</v>
      </c>
      <c r="M282">
        <f>COUNTIF($N$6:N282,N282)</f>
        <v>275</v>
      </c>
      <c r="N282" t="str">
        <f t="shared" si="35"/>
        <v/>
      </c>
      <c r="O282" t="str">
        <f ca="1">IFERROR(INDEX(Intrim!$F$4:$F$201,P282),"")</f>
        <v/>
      </c>
      <c r="P282" t="e">
        <f ca="1">MATCH(intrim2!N282,OFFSET(Intrim!$G$4,P281,0):'Intrim'!$G$201,0)+P281</f>
        <v>#N/A</v>
      </c>
      <c r="V282">
        <v>277</v>
      </c>
      <c r="W282" t="str">
        <f t="shared" si="36"/>
        <v/>
      </c>
      <c r="X282" t="str">
        <f>IF(W282="","",COUNTIF($W$6:W282,W282))</f>
        <v/>
      </c>
      <c r="Y282" t="e">
        <f t="shared" si="37"/>
        <v>#N/A</v>
      </c>
      <c r="Z282" t="e">
        <f t="shared" si="38"/>
        <v>#N/A</v>
      </c>
      <c r="AA282" t="e">
        <f t="shared" si="39"/>
        <v>#N/A</v>
      </c>
      <c r="AB282" t="e">
        <f>VLOOKUP(Z282,Intrim!R:Z,9,0)</f>
        <v>#N/A</v>
      </c>
    </row>
    <row r="283" spans="1:28" x14ac:dyDescent="0.25">
      <c r="A283" t="str">
        <f t="shared" si="40"/>
        <v>275</v>
      </c>
      <c r="B283">
        <f>COUNTIF($C$6:C283,C283)</f>
        <v>275</v>
      </c>
      <c r="C283" t="str">
        <f t="shared" si="34"/>
        <v/>
      </c>
      <c r="D283" t="str">
        <f ca="1">IFERROR(INDEX(Intrim!$R$4:$R$401,E283),"")</f>
        <v/>
      </c>
      <c r="E283" t="e">
        <f ca="1">MATCH(intrim2!C283,OFFSET(Intrim!$S$4,E282,0):'Intrim'!$S$401,0)+E282</f>
        <v>#N/A</v>
      </c>
      <c r="L283" t="str">
        <f t="shared" si="41"/>
        <v>276</v>
      </c>
      <c r="M283">
        <f>COUNTIF($N$6:N283,N283)</f>
        <v>276</v>
      </c>
      <c r="N283" t="str">
        <f t="shared" si="35"/>
        <v/>
      </c>
      <c r="O283" t="str">
        <f ca="1">IFERROR(INDEX(Intrim!$F$4:$F$201,P283),"")</f>
        <v/>
      </c>
      <c r="P283" t="e">
        <f ca="1">MATCH(intrim2!N283,OFFSET(Intrim!$G$4,P282,0):'Intrim'!$G$201,0)+P282</f>
        <v>#N/A</v>
      </c>
      <c r="V283">
        <v>278</v>
      </c>
      <c r="W283" t="str">
        <f t="shared" si="36"/>
        <v/>
      </c>
      <c r="X283" t="str">
        <f>IF(W283="","",COUNTIF($W$6:W283,W283))</f>
        <v/>
      </c>
      <c r="Y283" t="e">
        <f t="shared" si="37"/>
        <v>#N/A</v>
      </c>
      <c r="Z283" t="e">
        <f t="shared" si="38"/>
        <v>#N/A</v>
      </c>
      <c r="AA283" t="e">
        <f t="shared" si="39"/>
        <v>#N/A</v>
      </c>
      <c r="AB283" t="e">
        <f>VLOOKUP(Z283,Intrim!R:Z,9,0)</f>
        <v>#N/A</v>
      </c>
    </row>
    <row r="284" spans="1:28" x14ac:dyDescent="0.25">
      <c r="A284" t="str">
        <f t="shared" si="40"/>
        <v>276</v>
      </c>
      <c r="B284">
        <f>COUNTIF($C$6:C284,C284)</f>
        <v>276</v>
      </c>
      <c r="C284" t="str">
        <f t="shared" si="34"/>
        <v/>
      </c>
      <c r="D284" t="str">
        <f ca="1">IFERROR(INDEX(Intrim!$R$4:$R$401,E284),"")</f>
        <v/>
      </c>
      <c r="E284" t="e">
        <f ca="1">MATCH(intrim2!C284,OFFSET(Intrim!$S$4,E283,0):'Intrim'!$S$401,0)+E283</f>
        <v>#N/A</v>
      </c>
      <c r="L284" t="str">
        <f t="shared" si="41"/>
        <v>277</v>
      </c>
      <c r="M284">
        <f>COUNTIF($N$6:N284,N284)</f>
        <v>277</v>
      </c>
      <c r="N284" t="str">
        <f t="shared" si="35"/>
        <v/>
      </c>
      <c r="O284" t="str">
        <f ca="1">IFERROR(INDEX(Intrim!$F$4:$F$201,P284),"")</f>
        <v/>
      </c>
      <c r="P284" t="e">
        <f ca="1">MATCH(intrim2!N284,OFFSET(Intrim!$G$4,P283,0):'Intrim'!$G$201,0)+P283</f>
        <v>#N/A</v>
      </c>
      <c r="V284">
        <v>279</v>
      </c>
      <c r="W284" t="str">
        <f t="shared" si="36"/>
        <v/>
      </c>
      <c r="X284" t="str">
        <f>IF(W284="","",COUNTIF($W$6:W284,W284))</f>
        <v/>
      </c>
      <c r="Y284" t="e">
        <f t="shared" si="37"/>
        <v>#N/A</v>
      </c>
      <c r="Z284" t="e">
        <f t="shared" si="38"/>
        <v>#N/A</v>
      </c>
      <c r="AA284" t="e">
        <f t="shared" si="39"/>
        <v>#N/A</v>
      </c>
      <c r="AB284" t="e">
        <f>VLOOKUP(Z284,Intrim!R:Z,9,0)</f>
        <v>#N/A</v>
      </c>
    </row>
    <row r="285" spans="1:28" x14ac:dyDescent="0.25">
      <c r="A285" t="str">
        <f t="shared" si="40"/>
        <v>277</v>
      </c>
      <c r="B285">
        <f>COUNTIF($C$6:C285,C285)</f>
        <v>277</v>
      </c>
      <c r="C285" t="str">
        <f t="shared" si="34"/>
        <v/>
      </c>
      <c r="D285" t="str">
        <f ca="1">IFERROR(INDEX(Intrim!$R$4:$R$401,E285),"")</f>
        <v/>
      </c>
      <c r="E285" t="e">
        <f ca="1">MATCH(intrim2!C285,OFFSET(Intrim!$S$4,E284,0):'Intrim'!$S$401,0)+E284</f>
        <v>#N/A</v>
      </c>
      <c r="L285" t="str">
        <f t="shared" si="41"/>
        <v>278</v>
      </c>
      <c r="M285">
        <f>COUNTIF($N$6:N285,N285)</f>
        <v>278</v>
      </c>
      <c r="N285" t="str">
        <f t="shared" si="35"/>
        <v/>
      </c>
      <c r="O285" t="str">
        <f ca="1">IFERROR(INDEX(Intrim!$F$4:$F$201,P285),"")</f>
        <v/>
      </c>
      <c r="P285" t="e">
        <f ca="1">MATCH(intrim2!N285,OFFSET(Intrim!$G$4,P284,0):'Intrim'!$G$201,0)+P284</f>
        <v>#N/A</v>
      </c>
      <c r="V285">
        <v>280</v>
      </c>
      <c r="W285" t="str">
        <f t="shared" si="36"/>
        <v/>
      </c>
      <c r="X285" t="str">
        <f>IF(W285="","",COUNTIF($W$6:W285,W285))</f>
        <v/>
      </c>
      <c r="Y285" t="e">
        <f t="shared" si="37"/>
        <v>#N/A</v>
      </c>
      <c r="Z285" t="e">
        <f t="shared" si="38"/>
        <v>#N/A</v>
      </c>
      <c r="AA285" t="e">
        <f t="shared" si="39"/>
        <v>#N/A</v>
      </c>
      <c r="AB285" t="e">
        <f>VLOOKUP(Z285,Intrim!R:Z,9,0)</f>
        <v>#N/A</v>
      </c>
    </row>
    <row r="286" spans="1:28" x14ac:dyDescent="0.25">
      <c r="A286" t="str">
        <f t="shared" si="40"/>
        <v>278</v>
      </c>
      <c r="B286">
        <f>COUNTIF($C$6:C286,C286)</f>
        <v>278</v>
      </c>
      <c r="C286" t="str">
        <f t="shared" si="34"/>
        <v/>
      </c>
      <c r="D286" t="str">
        <f ca="1">IFERROR(INDEX(Intrim!$R$4:$R$401,E286),"")</f>
        <v/>
      </c>
      <c r="E286" t="e">
        <f ca="1">MATCH(intrim2!C286,OFFSET(Intrim!$S$4,E285,0):'Intrim'!$S$401,0)+E285</f>
        <v>#N/A</v>
      </c>
      <c r="L286" t="str">
        <f t="shared" si="41"/>
        <v>279</v>
      </c>
      <c r="M286">
        <f>COUNTIF($N$6:N286,N286)</f>
        <v>279</v>
      </c>
      <c r="N286" t="str">
        <f t="shared" si="35"/>
        <v/>
      </c>
      <c r="O286" t="str">
        <f ca="1">IFERROR(INDEX(Intrim!$F$4:$F$201,P286),"")</f>
        <v/>
      </c>
      <c r="P286" t="e">
        <f ca="1">MATCH(intrim2!N286,OFFSET(Intrim!$G$4,P285,0):'Intrim'!$G$201,0)+P285</f>
        <v>#N/A</v>
      </c>
      <c r="V286">
        <v>281</v>
      </c>
      <c r="W286" t="str">
        <f t="shared" si="36"/>
        <v/>
      </c>
      <c r="X286" t="str">
        <f>IF(W286="","",COUNTIF($W$6:W286,W286))</f>
        <v/>
      </c>
      <c r="Y286" t="e">
        <f t="shared" si="37"/>
        <v>#N/A</v>
      </c>
      <c r="Z286" t="e">
        <f t="shared" si="38"/>
        <v>#N/A</v>
      </c>
      <c r="AA286" t="e">
        <f t="shared" si="39"/>
        <v>#N/A</v>
      </c>
      <c r="AB286" t="e">
        <f>VLOOKUP(Z286,Intrim!R:Z,9,0)</f>
        <v>#N/A</v>
      </c>
    </row>
    <row r="287" spans="1:28" x14ac:dyDescent="0.25">
      <c r="A287" t="str">
        <f t="shared" si="40"/>
        <v>279</v>
      </c>
      <c r="B287">
        <f>COUNTIF($C$6:C287,C287)</f>
        <v>279</v>
      </c>
      <c r="C287" t="str">
        <f t="shared" si="34"/>
        <v/>
      </c>
      <c r="D287" t="str">
        <f ca="1">IFERROR(INDEX(Intrim!$R$4:$R$401,E287),"")</f>
        <v/>
      </c>
      <c r="E287" t="e">
        <f ca="1">MATCH(intrim2!C287,OFFSET(Intrim!$S$4,E286,0):'Intrim'!$S$401,0)+E286</f>
        <v>#N/A</v>
      </c>
      <c r="L287" t="str">
        <f t="shared" si="41"/>
        <v>280</v>
      </c>
      <c r="M287">
        <f>COUNTIF($N$6:N287,N287)</f>
        <v>280</v>
      </c>
      <c r="N287" t="str">
        <f t="shared" si="35"/>
        <v/>
      </c>
      <c r="O287" t="str">
        <f ca="1">IFERROR(INDEX(Intrim!$F$4:$F$201,P287),"")</f>
        <v/>
      </c>
      <c r="P287" t="e">
        <f ca="1">MATCH(intrim2!N287,OFFSET(Intrim!$G$4,P286,0):'Intrim'!$G$201,0)+P286</f>
        <v>#N/A</v>
      </c>
      <c r="V287">
        <v>282</v>
      </c>
      <c r="W287" t="str">
        <f t="shared" si="36"/>
        <v/>
      </c>
      <c r="X287" t="str">
        <f>IF(W287="","",COUNTIF($W$6:W287,W287))</f>
        <v/>
      </c>
      <c r="Y287" t="e">
        <f t="shared" si="37"/>
        <v>#N/A</v>
      </c>
      <c r="Z287" t="e">
        <f t="shared" si="38"/>
        <v>#N/A</v>
      </c>
      <c r="AA287" t="e">
        <f t="shared" si="39"/>
        <v>#N/A</v>
      </c>
      <c r="AB287" t="e">
        <f>VLOOKUP(Z287,Intrim!R:Z,9,0)</f>
        <v>#N/A</v>
      </c>
    </row>
    <row r="288" spans="1:28" x14ac:dyDescent="0.25">
      <c r="A288" t="str">
        <f t="shared" si="40"/>
        <v>280</v>
      </c>
      <c r="B288">
        <f>COUNTIF($C$6:C288,C288)</f>
        <v>280</v>
      </c>
      <c r="C288" t="str">
        <f t="shared" si="34"/>
        <v/>
      </c>
      <c r="D288" t="str">
        <f ca="1">IFERROR(INDEX(Intrim!$R$4:$R$401,E288),"")</f>
        <v/>
      </c>
      <c r="E288" t="e">
        <f ca="1">MATCH(intrim2!C288,OFFSET(Intrim!$S$4,E287,0):'Intrim'!$S$401,0)+E287</f>
        <v>#N/A</v>
      </c>
      <c r="L288" t="str">
        <f t="shared" si="41"/>
        <v>281</v>
      </c>
      <c r="M288">
        <f>COUNTIF($N$6:N288,N288)</f>
        <v>281</v>
      </c>
      <c r="N288" t="str">
        <f t="shared" si="35"/>
        <v/>
      </c>
      <c r="O288" t="str">
        <f ca="1">IFERROR(INDEX(Intrim!$F$4:$F$201,P288),"")</f>
        <v/>
      </c>
      <c r="P288" t="e">
        <f ca="1">MATCH(intrim2!N288,OFFSET(Intrim!$G$4,P287,0):'Intrim'!$G$201,0)+P287</f>
        <v>#N/A</v>
      </c>
      <c r="V288">
        <v>283</v>
      </c>
      <c r="W288" t="str">
        <f t="shared" si="36"/>
        <v/>
      </c>
      <c r="X288" t="str">
        <f>IF(W288="","",COUNTIF($W$6:W288,W288))</f>
        <v/>
      </c>
      <c r="Y288" t="e">
        <f t="shared" si="37"/>
        <v>#N/A</v>
      </c>
      <c r="Z288" t="e">
        <f t="shared" si="38"/>
        <v>#N/A</v>
      </c>
      <c r="AA288" t="e">
        <f t="shared" si="39"/>
        <v>#N/A</v>
      </c>
      <c r="AB288" t="e">
        <f>VLOOKUP(Z288,Intrim!R:Z,9,0)</f>
        <v>#N/A</v>
      </c>
    </row>
    <row r="289" spans="1:28" x14ac:dyDescent="0.25">
      <c r="A289" t="str">
        <f t="shared" si="40"/>
        <v>281</v>
      </c>
      <c r="B289">
        <f>COUNTIF($C$6:C289,C289)</f>
        <v>281</v>
      </c>
      <c r="C289" t="str">
        <f t="shared" si="34"/>
        <v/>
      </c>
      <c r="D289" t="str">
        <f ca="1">IFERROR(INDEX(Intrim!$R$4:$R$401,E289),"")</f>
        <v/>
      </c>
      <c r="E289" t="e">
        <f ca="1">MATCH(intrim2!C289,OFFSET(Intrim!$S$4,E288,0):'Intrim'!$S$401,0)+E288</f>
        <v>#N/A</v>
      </c>
      <c r="L289" t="str">
        <f t="shared" si="41"/>
        <v>282</v>
      </c>
      <c r="M289">
        <f>COUNTIF($N$6:N289,N289)</f>
        <v>282</v>
      </c>
      <c r="N289" t="str">
        <f t="shared" si="35"/>
        <v/>
      </c>
      <c r="O289" t="str">
        <f ca="1">IFERROR(INDEX(Intrim!$F$4:$F$201,P289),"")</f>
        <v/>
      </c>
      <c r="P289" t="e">
        <f ca="1">MATCH(intrim2!N289,OFFSET(Intrim!$G$4,P288,0):'Intrim'!$G$201,0)+P288</f>
        <v>#N/A</v>
      </c>
      <c r="V289">
        <v>284</v>
      </c>
      <c r="W289" t="str">
        <f t="shared" si="36"/>
        <v/>
      </c>
      <c r="X289" t="str">
        <f>IF(W289="","",COUNTIF($W$6:W289,W289))</f>
        <v/>
      </c>
      <c r="Y289" t="e">
        <f t="shared" si="37"/>
        <v>#N/A</v>
      </c>
      <c r="Z289" t="e">
        <f t="shared" si="38"/>
        <v>#N/A</v>
      </c>
      <c r="AA289" t="e">
        <f t="shared" si="39"/>
        <v>#N/A</v>
      </c>
      <c r="AB289" t="e">
        <f>VLOOKUP(Z289,Intrim!R:Z,9,0)</f>
        <v>#N/A</v>
      </c>
    </row>
    <row r="290" spans="1:28" x14ac:dyDescent="0.25">
      <c r="A290" t="str">
        <f t="shared" si="40"/>
        <v>282</v>
      </c>
      <c r="B290">
        <f>COUNTIF($C$6:C290,C290)</f>
        <v>282</v>
      </c>
      <c r="C290" t="str">
        <f t="shared" si="34"/>
        <v/>
      </c>
      <c r="D290" t="str">
        <f ca="1">IFERROR(INDEX(Intrim!$R$4:$R$401,E290),"")</f>
        <v/>
      </c>
      <c r="E290" t="e">
        <f ca="1">MATCH(intrim2!C290,OFFSET(Intrim!$S$4,E289,0):'Intrim'!$S$401,0)+E289</f>
        <v>#N/A</v>
      </c>
      <c r="L290" t="str">
        <f t="shared" si="41"/>
        <v>283</v>
      </c>
      <c r="M290">
        <f>COUNTIF($N$6:N290,N290)</f>
        <v>283</v>
      </c>
      <c r="N290" t="str">
        <f t="shared" si="35"/>
        <v/>
      </c>
      <c r="O290" t="str">
        <f ca="1">IFERROR(INDEX(Intrim!$F$4:$F$201,P290),"")</f>
        <v/>
      </c>
      <c r="P290" t="e">
        <f ca="1">MATCH(intrim2!N290,OFFSET(Intrim!$G$4,P289,0):'Intrim'!$G$201,0)+P289</f>
        <v>#N/A</v>
      </c>
      <c r="V290">
        <v>285</v>
      </c>
      <c r="W290" t="str">
        <f t="shared" si="36"/>
        <v/>
      </c>
      <c r="X290" t="str">
        <f>IF(W290="","",COUNTIF($W$6:W290,W290))</f>
        <v/>
      </c>
      <c r="Y290" t="e">
        <f t="shared" si="37"/>
        <v>#N/A</v>
      </c>
      <c r="Z290" t="e">
        <f t="shared" si="38"/>
        <v>#N/A</v>
      </c>
      <c r="AA290" t="e">
        <f t="shared" si="39"/>
        <v>#N/A</v>
      </c>
      <c r="AB290" t="e">
        <f>VLOOKUP(Z290,Intrim!R:Z,9,0)</f>
        <v>#N/A</v>
      </c>
    </row>
    <row r="291" spans="1:28" x14ac:dyDescent="0.25">
      <c r="A291" t="str">
        <f t="shared" si="40"/>
        <v>283</v>
      </c>
      <c r="B291">
        <f>COUNTIF($C$6:C291,C291)</f>
        <v>283</v>
      </c>
      <c r="C291" t="str">
        <f t="shared" si="34"/>
        <v/>
      </c>
      <c r="D291" t="str">
        <f ca="1">IFERROR(INDEX(Intrim!$R$4:$R$401,E291),"")</f>
        <v/>
      </c>
      <c r="E291" t="e">
        <f ca="1">MATCH(intrim2!C291,OFFSET(Intrim!$S$4,E290,0):'Intrim'!$S$401,0)+E290</f>
        <v>#N/A</v>
      </c>
      <c r="L291" t="str">
        <f t="shared" si="41"/>
        <v>284</v>
      </c>
      <c r="M291">
        <f>COUNTIF($N$6:N291,N291)</f>
        <v>284</v>
      </c>
      <c r="N291" t="str">
        <f t="shared" si="35"/>
        <v/>
      </c>
      <c r="O291" t="str">
        <f ca="1">IFERROR(INDEX(Intrim!$F$4:$F$201,P291),"")</f>
        <v/>
      </c>
      <c r="P291" t="e">
        <f ca="1">MATCH(intrim2!N291,OFFSET(Intrim!$G$4,P290,0):'Intrim'!$G$201,0)+P290</f>
        <v>#N/A</v>
      </c>
      <c r="V291">
        <v>286</v>
      </c>
      <c r="W291" t="str">
        <f t="shared" si="36"/>
        <v/>
      </c>
      <c r="X291" t="str">
        <f>IF(W291="","",COUNTIF($W$6:W291,W291))</f>
        <v/>
      </c>
      <c r="Y291" t="e">
        <f t="shared" si="37"/>
        <v>#N/A</v>
      </c>
      <c r="Z291" t="e">
        <f t="shared" si="38"/>
        <v>#N/A</v>
      </c>
      <c r="AA291" t="e">
        <f t="shared" si="39"/>
        <v>#N/A</v>
      </c>
      <c r="AB291" t="e">
        <f>VLOOKUP(Z291,Intrim!R:Z,9,0)</f>
        <v>#N/A</v>
      </c>
    </row>
    <row r="292" spans="1:28" x14ac:dyDescent="0.25">
      <c r="A292" t="str">
        <f t="shared" si="40"/>
        <v>284</v>
      </c>
      <c r="B292">
        <f>COUNTIF($C$6:C292,C292)</f>
        <v>284</v>
      </c>
      <c r="C292" t="str">
        <f t="shared" si="34"/>
        <v/>
      </c>
      <c r="D292" t="str">
        <f ca="1">IFERROR(INDEX(Intrim!$R$4:$R$401,E292),"")</f>
        <v/>
      </c>
      <c r="E292" t="e">
        <f ca="1">MATCH(intrim2!C292,OFFSET(Intrim!$S$4,E291,0):'Intrim'!$S$401,0)+E291</f>
        <v>#N/A</v>
      </c>
      <c r="L292" t="str">
        <f t="shared" si="41"/>
        <v>285</v>
      </c>
      <c r="M292">
        <f>COUNTIF($N$6:N292,N292)</f>
        <v>285</v>
      </c>
      <c r="N292" t="str">
        <f t="shared" si="35"/>
        <v/>
      </c>
      <c r="O292" t="str">
        <f ca="1">IFERROR(INDEX(Intrim!$F$4:$F$201,P292),"")</f>
        <v/>
      </c>
      <c r="P292" t="e">
        <f ca="1">MATCH(intrim2!N292,OFFSET(Intrim!$G$4,P291,0):'Intrim'!$G$201,0)+P291</f>
        <v>#N/A</v>
      </c>
      <c r="V292">
        <v>287</v>
      </c>
      <c r="W292" t="str">
        <f t="shared" si="36"/>
        <v/>
      </c>
      <c r="X292" t="str">
        <f>IF(W292="","",COUNTIF($W$6:W292,W292))</f>
        <v/>
      </c>
      <c r="Y292" t="e">
        <f t="shared" si="37"/>
        <v>#N/A</v>
      </c>
      <c r="Z292" t="e">
        <f t="shared" si="38"/>
        <v>#N/A</v>
      </c>
      <c r="AA292" t="e">
        <f t="shared" si="39"/>
        <v>#N/A</v>
      </c>
      <c r="AB292" t="e">
        <f>VLOOKUP(Z292,Intrim!R:Z,9,0)</f>
        <v>#N/A</v>
      </c>
    </row>
    <row r="293" spans="1:28" x14ac:dyDescent="0.25">
      <c r="A293" t="str">
        <f t="shared" si="40"/>
        <v>285</v>
      </c>
      <c r="B293">
        <f>COUNTIF($C$6:C293,C293)</f>
        <v>285</v>
      </c>
      <c r="C293" t="str">
        <f t="shared" si="34"/>
        <v/>
      </c>
      <c r="D293" t="str">
        <f ca="1">IFERROR(INDEX(Intrim!$R$4:$R$401,E293),"")</f>
        <v/>
      </c>
      <c r="E293" t="e">
        <f ca="1">MATCH(intrim2!C293,OFFSET(Intrim!$S$4,E292,0):'Intrim'!$S$401,0)+E292</f>
        <v>#N/A</v>
      </c>
      <c r="L293" t="str">
        <f t="shared" si="41"/>
        <v>286</v>
      </c>
      <c r="M293">
        <f>COUNTIF($N$6:N293,N293)</f>
        <v>286</v>
      </c>
      <c r="N293" t="str">
        <f t="shared" si="35"/>
        <v/>
      </c>
      <c r="O293" t="str">
        <f ca="1">IFERROR(INDEX(Intrim!$F$4:$F$201,P293),"")</f>
        <v/>
      </c>
      <c r="P293" t="e">
        <f ca="1">MATCH(intrim2!N293,OFFSET(Intrim!$G$4,P292,0):'Intrim'!$G$201,0)+P292</f>
        <v>#N/A</v>
      </c>
      <c r="V293">
        <v>288</v>
      </c>
      <c r="W293" t="str">
        <f t="shared" si="36"/>
        <v/>
      </c>
      <c r="X293" t="str">
        <f>IF(W293="","",COUNTIF($W$6:W293,W293))</f>
        <v/>
      </c>
      <c r="Y293" t="e">
        <f t="shared" si="37"/>
        <v>#N/A</v>
      </c>
      <c r="Z293" t="e">
        <f t="shared" si="38"/>
        <v>#N/A</v>
      </c>
      <c r="AA293" t="e">
        <f t="shared" si="39"/>
        <v>#N/A</v>
      </c>
      <c r="AB293" t="e">
        <f>VLOOKUP(Z293,Intrim!R:Z,9,0)</f>
        <v>#N/A</v>
      </c>
    </row>
    <row r="294" spans="1:28" x14ac:dyDescent="0.25">
      <c r="A294" t="str">
        <f t="shared" si="40"/>
        <v>286</v>
      </c>
      <c r="B294">
        <f>COUNTIF($C$6:C294,C294)</f>
        <v>286</v>
      </c>
      <c r="C294" t="str">
        <f t="shared" si="34"/>
        <v/>
      </c>
      <c r="D294" t="str">
        <f ca="1">IFERROR(INDEX(Intrim!$R$4:$R$401,E294),"")</f>
        <v/>
      </c>
      <c r="E294" t="e">
        <f ca="1">MATCH(intrim2!C294,OFFSET(Intrim!$S$4,E293,0):'Intrim'!$S$401,0)+E293</f>
        <v>#N/A</v>
      </c>
      <c r="L294" t="str">
        <f t="shared" si="41"/>
        <v>287</v>
      </c>
      <c r="M294">
        <f>COUNTIF($N$6:N294,N294)</f>
        <v>287</v>
      </c>
      <c r="N294" t="str">
        <f t="shared" si="35"/>
        <v/>
      </c>
      <c r="O294" t="str">
        <f ca="1">IFERROR(INDEX(Intrim!$F$4:$F$201,P294),"")</f>
        <v/>
      </c>
      <c r="P294" t="e">
        <f ca="1">MATCH(intrim2!N294,OFFSET(Intrim!$G$4,P293,0):'Intrim'!$G$201,0)+P293</f>
        <v>#N/A</v>
      </c>
      <c r="V294">
        <v>289</v>
      </c>
      <c r="W294" t="str">
        <f t="shared" si="36"/>
        <v/>
      </c>
      <c r="X294" t="str">
        <f>IF(W294="","",COUNTIF($W$6:W294,W294))</f>
        <v/>
      </c>
      <c r="Y294" t="e">
        <f t="shared" si="37"/>
        <v>#N/A</v>
      </c>
      <c r="Z294" t="e">
        <f t="shared" si="38"/>
        <v>#N/A</v>
      </c>
      <c r="AA294" t="e">
        <f t="shared" si="39"/>
        <v>#N/A</v>
      </c>
      <c r="AB294" t="e">
        <f>VLOOKUP(Z294,Intrim!R:Z,9,0)</f>
        <v>#N/A</v>
      </c>
    </row>
    <row r="295" spans="1:28" x14ac:dyDescent="0.25">
      <c r="A295" t="str">
        <f t="shared" si="40"/>
        <v>287</v>
      </c>
      <c r="B295">
        <f>COUNTIF($C$6:C295,C295)</f>
        <v>287</v>
      </c>
      <c r="C295" t="str">
        <f t="shared" si="34"/>
        <v/>
      </c>
      <c r="D295" t="str">
        <f ca="1">IFERROR(INDEX(Intrim!$R$4:$R$401,E295),"")</f>
        <v/>
      </c>
      <c r="E295" t="e">
        <f ca="1">MATCH(intrim2!C295,OFFSET(Intrim!$S$4,E294,0):'Intrim'!$S$401,0)+E294</f>
        <v>#N/A</v>
      </c>
      <c r="L295" t="str">
        <f t="shared" si="41"/>
        <v>288</v>
      </c>
      <c r="M295">
        <f>COUNTIF($N$6:N295,N295)</f>
        <v>288</v>
      </c>
      <c r="N295" t="str">
        <f t="shared" si="35"/>
        <v/>
      </c>
      <c r="O295" t="str">
        <f ca="1">IFERROR(INDEX(Intrim!$F$4:$F$201,P295),"")</f>
        <v/>
      </c>
      <c r="P295" t="e">
        <f ca="1">MATCH(intrim2!N295,OFFSET(Intrim!$G$4,P294,0):'Intrim'!$G$201,0)+P294</f>
        <v>#N/A</v>
      </c>
      <c r="V295">
        <v>290</v>
      </c>
      <c r="W295" t="str">
        <f t="shared" si="36"/>
        <v/>
      </c>
      <c r="X295" t="str">
        <f>IF(W295="","",COUNTIF($W$6:W295,W295))</f>
        <v/>
      </c>
      <c r="Y295" t="e">
        <f t="shared" si="37"/>
        <v>#N/A</v>
      </c>
      <c r="Z295" t="e">
        <f t="shared" si="38"/>
        <v>#N/A</v>
      </c>
      <c r="AA295" t="e">
        <f t="shared" si="39"/>
        <v>#N/A</v>
      </c>
      <c r="AB295" t="e">
        <f>VLOOKUP(Z295,Intrim!R:Z,9,0)</f>
        <v>#N/A</v>
      </c>
    </row>
    <row r="296" spans="1:28" x14ac:dyDescent="0.25">
      <c r="A296" t="str">
        <f t="shared" si="40"/>
        <v>288</v>
      </c>
      <c r="B296">
        <f>COUNTIF($C$6:C296,C296)</f>
        <v>288</v>
      </c>
      <c r="C296" t="str">
        <f t="shared" si="34"/>
        <v/>
      </c>
      <c r="D296" t="str">
        <f ca="1">IFERROR(INDEX(Intrim!$R$4:$R$401,E296),"")</f>
        <v/>
      </c>
      <c r="E296" t="e">
        <f ca="1">MATCH(intrim2!C296,OFFSET(Intrim!$S$4,E295,0):'Intrim'!$S$401,0)+E295</f>
        <v>#N/A</v>
      </c>
      <c r="L296" t="str">
        <f t="shared" si="41"/>
        <v>289</v>
      </c>
      <c r="M296">
        <f>COUNTIF($N$6:N296,N296)</f>
        <v>289</v>
      </c>
      <c r="N296" t="str">
        <f t="shared" si="35"/>
        <v/>
      </c>
      <c r="O296" t="str">
        <f ca="1">IFERROR(INDEX(Intrim!$F$4:$F$201,P296),"")</f>
        <v/>
      </c>
      <c r="P296" t="e">
        <f ca="1">MATCH(intrim2!N296,OFFSET(Intrim!$G$4,P295,0):'Intrim'!$G$201,0)+P295</f>
        <v>#N/A</v>
      </c>
      <c r="V296">
        <v>291</v>
      </c>
      <c r="W296" t="str">
        <f t="shared" si="36"/>
        <v/>
      </c>
      <c r="X296" t="str">
        <f>IF(W296="","",COUNTIF($W$6:W296,W296))</f>
        <v/>
      </c>
      <c r="Y296" t="e">
        <f t="shared" si="37"/>
        <v>#N/A</v>
      </c>
      <c r="Z296" t="e">
        <f t="shared" si="38"/>
        <v>#N/A</v>
      </c>
      <c r="AA296" t="e">
        <f t="shared" si="39"/>
        <v>#N/A</v>
      </c>
      <c r="AB296" t="e">
        <f>VLOOKUP(Z296,Intrim!R:Z,9,0)</f>
        <v>#N/A</v>
      </c>
    </row>
    <row r="297" spans="1:28" x14ac:dyDescent="0.25">
      <c r="A297" t="str">
        <f t="shared" si="40"/>
        <v>289</v>
      </c>
      <c r="B297">
        <f>COUNTIF($C$6:C297,C297)</f>
        <v>289</v>
      </c>
      <c r="C297" t="str">
        <f t="shared" si="34"/>
        <v/>
      </c>
      <c r="D297" t="str">
        <f ca="1">IFERROR(INDEX(Intrim!$R$4:$R$401,E297),"")</f>
        <v/>
      </c>
      <c r="E297" t="e">
        <f ca="1">MATCH(intrim2!C297,OFFSET(Intrim!$S$4,E296,0):'Intrim'!$S$401,0)+E296</f>
        <v>#N/A</v>
      </c>
      <c r="L297" t="str">
        <f t="shared" si="41"/>
        <v>290</v>
      </c>
      <c r="M297">
        <f>COUNTIF($N$6:N297,N297)</f>
        <v>290</v>
      </c>
      <c r="N297" t="str">
        <f t="shared" si="35"/>
        <v/>
      </c>
      <c r="O297" t="str">
        <f ca="1">IFERROR(INDEX(Intrim!$F$4:$F$201,P297),"")</f>
        <v/>
      </c>
      <c r="P297" t="e">
        <f ca="1">MATCH(intrim2!N297,OFFSET(Intrim!$G$4,P296,0):'Intrim'!$G$201,0)+P296</f>
        <v>#N/A</v>
      </c>
      <c r="V297">
        <v>292</v>
      </c>
      <c r="W297" t="str">
        <f t="shared" si="36"/>
        <v/>
      </c>
      <c r="X297" t="str">
        <f>IF(W297="","",COUNTIF($W$6:W297,W297))</f>
        <v/>
      </c>
      <c r="Y297" t="e">
        <f t="shared" si="37"/>
        <v>#N/A</v>
      </c>
      <c r="Z297" t="e">
        <f t="shared" si="38"/>
        <v>#N/A</v>
      </c>
      <c r="AA297" t="e">
        <f t="shared" si="39"/>
        <v>#N/A</v>
      </c>
      <c r="AB297" t="e">
        <f>VLOOKUP(Z297,Intrim!R:Z,9,0)</f>
        <v>#N/A</v>
      </c>
    </row>
    <row r="298" spans="1:28" x14ac:dyDescent="0.25">
      <c r="A298" t="str">
        <f t="shared" si="40"/>
        <v>290</v>
      </c>
      <c r="B298">
        <f>COUNTIF($C$6:C298,C298)</f>
        <v>290</v>
      </c>
      <c r="C298" t="str">
        <f t="shared" si="34"/>
        <v/>
      </c>
      <c r="D298" t="str">
        <f ca="1">IFERROR(INDEX(Intrim!$R$4:$R$401,E298),"")</f>
        <v/>
      </c>
      <c r="E298" t="e">
        <f ca="1">MATCH(intrim2!C298,OFFSET(Intrim!$S$4,E297,0):'Intrim'!$S$401,0)+E297</f>
        <v>#N/A</v>
      </c>
      <c r="L298" t="str">
        <f t="shared" si="41"/>
        <v>291</v>
      </c>
      <c r="M298">
        <f>COUNTIF($N$6:N298,N298)</f>
        <v>291</v>
      </c>
      <c r="N298" t="str">
        <f t="shared" si="35"/>
        <v/>
      </c>
      <c r="O298" t="str">
        <f ca="1">IFERROR(INDEX(Intrim!$F$4:$F$201,P298),"")</f>
        <v/>
      </c>
      <c r="P298" t="e">
        <f ca="1">MATCH(intrim2!N298,OFFSET(Intrim!$G$4,P297,0):'Intrim'!$G$201,0)+P297</f>
        <v>#N/A</v>
      </c>
      <c r="V298">
        <v>293</v>
      </c>
      <c r="W298" t="str">
        <f t="shared" si="36"/>
        <v/>
      </c>
      <c r="X298" t="str">
        <f>IF(W298="","",COUNTIF($W$6:W298,W298))</f>
        <v/>
      </c>
      <c r="Y298" t="e">
        <f t="shared" si="37"/>
        <v>#N/A</v>
      </c>
      <c r="Z298" t="e">
        <f t="shared" si="38"/>
        <v>#N/A</v>
      </c>
      <c r="AA298" t="e">
        <f t="shared" si="39"/>
        <v>#N/A</v>
      </c>
      <c r="AB298" t="e">
        <f>VLOOKUP(Z298,Intrim!R:Z,9,0)</f>
        <v>#N/A</v>
      </c>
    </row>
    <row r="299" spans="1:28" x14ac:dyDescent="0.25">
      <c r="A299" t="str">
        <f t="shared" si="40"/>
        <v>291</v>
      </c>
      <c r="B299">
        <f>COUNTIF($C$6:C299,C299)</f>
        <v>291</v>
      </c>
      <c r="C299" t="str">
        <f t="shared" si="34"/>
        <v/>
      </c>
      <c r="D299" t="str">
        <f ca="1">IFERROR(INDEX(Intrim!$R$4:$R$401,E299),"")</f>
        <v/>
      </c>
      <c r="E299" t="e">
        <f ca="1">MATCH(intrim2!C299,OFFSET(Intrim!$S$4,E298,0):'Intrim'!$S$401,0)+E298</f>
        <v>#N/A</v>
      </c>
      <c r="L299" t="str">
        <f t="shared" si="41"/>
        <v>292</v>
      </c>
      <c r="M299">
        <f>COUNTIF($N$6:N299,N299)</f>
        <v>292</v>
      </c>
      <c r="N299" t="str">
        <f t="shared" si="35"/>
        <v/>
      </c>
      <c r="O299" t="str">
        <f ca="1">IFERROR(INDEX(Intrim!$F$4:$F$201,P299),"")</f>
        <v/>
      </c>
      <c r="P299" t="e">
        <f ca="1">MATCH(intrim2!N299,OFFSET(Intrim!$G$4,P298,0):'Intrim'!$G$201,0)+P298</f>
        <v>#N/A</v>
      </c>
      <c r="V299">
        <v>294</v>
      </c>
      <c r="W299" t="str">
        <f t="shared" si="36"/>
        <v/>
      </c>
      <c r="X299" t="str">
        <f>IF(W299="","",COUNTIF($W$6:W299,W299))</f>
        <v/>
      </c>
      <c r="Y299" t="e">
        <f t="shared" si="37"/>
        <v>#N/A</v>
      </c>
      <c r="Z299" t="e">
        <f t="shared" si="38"/>
        <v>#N/A</v>
      </c>
      <c r="AA299" t="e">
        <f t="shared" si="39"/>
        <v>#N/A</v>
      </c>
      <c r="AB299" t="e">
        <f>VLOOKUP(Z299,Intrim!R:Z,9,0)</f>
        <v>#N/A</v>
      </c>
    </row>
    <row r="300" spans="1:28" x14ac:dyDescent="0.25">
      <c r="A300" t="str">
        <f t="shared" si="40"/>
        <v>292</v>
      </c>
      <c r="B300">
        <f>COUNTIF($C$6:C300,C300)</f>
        <v>292</v>
      </c>
      <c r="C300" t="str">
        <f t="shared" si="34"/>
        <v/>
      </c>
      <c r="D300" t="str">
        <f ca="1">IFERROR(INDEX(Intrim!$R$4:$R$401,E300),"")</f>
        <v/>
      </c>
      <c r="E300" t="e">
        <f ca="1">MATCH(intrim2!C300,OFFSET(Intrim!$S$4,E299,0):'Intrim'!$S$401,0)+E299</f>
        <v>#N/A</v>
      </c>
      <c r="L300" t="str">
        <f t="shared" si="41"/>
        <v>293</v>
      </c>
      <c r="M300">
        <f>COUNTIF($N$6:N300,N300)</f>
        <v>293</v>
      </c>
      <c r="N300" t="str">
        <f t="shared" si="35"/>
        <v/>
      </c>
      <c r="O300" t="str">
        <f ca="1">IFERROR(INDEX(Intrim!$F$4:$F$201,P300),"")</f>
        <v/>
      </c>
      <c r="P300" t="e">
        <f ca="1">MATCH(intrim2!N300,OFFSET(Intrim!$G$4,P299,0):'Intrim'!$G$201,0)+P299</f>
        <v>#N/A</v>
      </c>
      <c r="V300">
        <v>295</v>
      </c>
      <c r="W300" t="str">
        <f t="shared" si="36"/>
        <v/>
      </c>
      <c r="X300" t="str">
        <f>IF(W300="","",COUNTIF($W$6:W300,W300))</f>
        <v/>
      </c>
      <c r="Y300" t="e">
        <f t="shared" si="37"/>
        <v>#N/A</v>
      </c>
      <c r="Z300" t="e">
        <f t="shared" si="38"/>
        <v>#N/A</v>
      </c>
      <c r="AA300" t="e">
        <f t="shared" si="39"/>
        <v>#N/A</v>
      </c>
      <c r="AB300" t="e">
        <f>VLOOKUP(Z300,Intrim!R:Z,9,0)</f>
        <v>#N/A</v>
      </c>
    </row>
    <row r="301" spans="1:28" x14ac:dyDescent="0.25">
      <c r="A301" t="str">
        <f t="shared" si="40"/>
        <v>293</v>
      </c>
      <c r="B301">
        <f>COUNTIF($C$6:C301,C301)</f>
        <v>293</v>
      </c>
      <c r="C301" t="str">
        <f t="shared" si="34"/>
        <v/>
      </c>
      <c r="D301" t="str">
        <f ca="1">IFERROR(INDEX(Intrim!$R$4:$R$401,E301),"")</f>
        <v/>
      </c>
      <c r="E301" t="e">
        <f ca="1">MATCH(intrim2!C301,OFFSET(Intrim!$S$4,E300,0):'Intrim'!$S$401,0)+E300</f>
        <v>#N/A</v>
      </c>
      <c r="L301" t="str">
        <f t="shared" si="41"/>
        <v>294</v>
      </c>
      <c r="M301">
        <f>COUNTIF($N$6:N301,N301)</f>
        <v>294</v>
      </c>
      <c r="N301" t="str">
        <f t="shared" si="35"/>
        <v/>
      </c>
      <c r="O301" t="str">
        <f ca="1">IFERROR(INDEX(Intrim!$F$4:$F$201,P301),"")</f>
        <v/>
      </c>
      <c r="P301" t="e">
        <f ca="1">MATCH(intrim2!N301,OFFSET(Intrim!$G$4,P300,0):'Intrim'!$G$201,0)+P300</f>
        <v>#N/A</v>
      </c>
      <c r="V301">
        <v>296</v>
      </c>
      <c r="W301" t="str">
        <f t="shared" si="36"/>
        <v/>
      </c>
      <c r="X301" t="str">
        <f>IF(W301="","",COUNTIF($W$6:W301,W301))</f>
        <v/>
      </c>
      <c r="Y301" t="e">
        <f t="shared" si="37"/>
        <v>#N/A</v>
      </c>
      <c r="Z301" t="e">
        <f t="shared" si="38"/>
        <v>#N/A</v>
      </c>
      <c r="AA301" t="e">
        <f t="shared" si="39"/>
        <v>#N/A</v>
      </c>
      <c r="AB301" t="e">
        <f>VLOOKUP(Z301,Intrim!R:Z,9,0)</f>
        <v>#N/A</v>
      </c>
    </row>
    <row r="302" spans="1:28" x14ac:dyDescent="0.25">
      <c r="A302" t="str">
        <f t="shared" si="40"/>
        <v>294</v>
      </c>
      <c r="B302">
        <f>COUNTIF($C$6:C302,C302)</f>
        <v>294</v>
      </c>
      <c r="C302" t="str">
        <f t="shared" si="34"/>
        <v/>
      </c>
      <c r="D302" t="str">
        <f ca="1">IFERROR(INDEX(Intrim!$R$4:$R$401,E302),"")</f>
        <v/>
      </c>
      <c r="E302" t="e">
        <f ca="1">MATCH(intrim2!C302,OFFSET(Intrim!$S$4,E301,0):'Intrim'!$S$401,0)+E301</f>
        <v>#N/A</v>
      </c>
      <c r="L302" t="str">
        <f t="shared" si="41"/>
        <v>295</v>
      </c>
      <c r="M302">
        <f>COUNTIF($N$6:N302,N302)</f>
        <v>295</v>
      </c>
      <c r="N302" t="str">
        <f t="shared" si="35"/>
        <v/>
      </c>
      <c r="O302" t="str">
        <f ca="1">IFERROR(INDEX(Intrim!$F$4:$F$201,P302),"")</f>
        <v/>
      </c>
      <c r="P302" t="e">
        <f ca="1">MATCH(intrim2!N302,OFFSET(Intrim!$G$4,P301,0):'Intrim'!$G$201,0)+P301</f>
        <v>#N/A</v>
      </c>
      <c r="V302">
        <v>297</v>
      </c>
      <c r="W302" t="str">
        <f t="shared" si="36"/>
        <v/>
      </c>
      <c r="X302" t="str">
        <f>IF(W302="","",COUNTIF($W$6:W302,W302))</f>
        <v/>
      </c>
      <c r="Y302" t="e">
        <f t="shared" si="37"/>
        <v>#N/A</v>
      </c>
      <c r="Z302" t="e">
        <f t="shared" si="38"/>
        <v>#N/A</v>
      </c>
      <c r="AA302" t="e">
        <f t="shared" si="39"/>
        <v>#N/A</v>
      </c>
      <c r="AB302" t="e">
        <f>VLOOKUP(Z302,Intrim!R:Z,9,0)</f>
        <v>#N/A</v>
      </c>
    </row>
    <row r="303" spans="1:28" x14ac:dyDescent="0.25">
      <c r="A303" t="str">
        <f t="shared" si="40"/>
        <v>295</v>
      </c>
      <c r="B303">
        <f>COUNTIF($C$6:C303,C303)</f>
        <v>295</v>
      </c>
      <c r="C303" t="str">
        <f t="shared" si="34"/>
        <v/>
      </c>
      <c r="D303" t="str">
        <f ca="1">IFERROR(INDEX(Intrim!$R$4:$R$401,E303),"")</f>
        <v/>
      </c>
      <c r="E303" t="e">
        <f ca="1">MATCH(intrim2!C303,OFFSET(Intrim!$S$4,E302,0):'Intrim'!$S$401,0)+E302</f>
        <v>#N/A</v>
      </c>
      <c r="L303" t="str">
        <f t="shared" si="41"/>
        <v>296</v>
      </c>
      <c r="M303">
        <f>COUNTIF($N$6:N303,N303)</f>
        <v>296</v>
      </c>
      <c r="N303" t="str">
        <f t="shared" si="35"/>
        <v/>
      </c>
      <c r="O303" t="str">
        <f ca="1">IFERROR(INDEX(Intrim!$F$4:$F$201,P303),"")</f>
        <v/>
      </c>
      <c r="P303" t="e">
        <f ca="1">MATCH(intrim2!N303,OFFSET(Intrim!$G$4,P302,0):'Intrim'!$G$201,0)+P302</f>
        <v>#N/A</v>
      </c>
      <c r="V303">
        <v>298</v>
      </c>
      <c r="W303" t="str">
        <f t="shared" si="36"/>
        <v/>
      </c>
      <c r="X303" t="str">
        <f>IF(W303="","",COUNTIF($W$6:W303,W303))</f>
        <v/>
      </c>
      <c r="Y303" t="e">
        <f t="shared" si="37"/>
        <v>#N/A</v>
      </c>
      <c r="Z303" t="e">
        <f t="shared" si="38"/>
        <v>#N/A</v>
      </c>
      <c r="AA303" t="e">
        <f t="shared" si="39"/>
        <v>#N/A</v>
      </c>
      <c r="AB303" t="e">
        <f>VLOOKUP(Z303,Intrim!R:Z,9,0)</f>
        <v>#N/A</v>
      </c>
    </row>
    <row r="304" spans="1:28" x14ac:dyDescent="0.25">
      <c r="A304" t="str">
        <f t="shared" si="40"/>
        <v>296</v>
      </c>
      <c r="B304">
        <f>COUNTIF($C$6:C304,C304)</f>
        <v>296</v>
      </c>
      <c r="C304" t="str">
        <f t="shared" si="34"/>
        <v/>
      </c>
      <c r="D304" t="str">
        <f ca="1">IFERROR(INDEX(Intrim!$R$4:$R$401,E304),"")</f>
        <v/>
      </c>
      <c r="E304" t="e">
        <f ca="1">MATCH(intrim2!C304,OFFSET(Intrim!$S$4,E303,0):'Intrim'!$S$401,0)+E303</f>
        <v>#N/A</v>
      </c>
      <c r="L304" t="str">
        <f t="shared" si="41"/>
        <v>297</v>
      </c>
      <c r="M304">
        <f>COUNTIF($N$6:N304,N304)</f>
        <v>297</v>
      </c>
      <c r="N304" t="str">
        <f t="shared" si="35"/>
        <v/>
      </c>
      <c r="O304" t="str">
        <f ca="1">IFERROR(INDEX(Intrim!$F$4:$F$201,P304),"")</f>
        <v/>
      </c>
      <c r="P304" t="e">
        <f ca="1">MATCH(intrim2!N304,OFFSET(Intrim!$G$4,P303,0):'Intrim'!$G$201,0)+P303</f>
        <v>#N/A</v>
      </c>
      <c r="V304">
        <v>299</v>
      </c>
      <c r="W304" t="str">
        <f t="shared" si="36"/>
        <v/>
      </c>
      <c r="X304" t="str">
        <f>IF(W304="","",COUNTIF($W$6:W304,W304))</f>
        <v/>
      </c>
      <c r="Y304" t="e">
        <f t="shared" si="37"/>
        <v>#N/A</v>
      </c>
      <c r="Z304" t="e">
        <f t="shared" si="38"/>
        <v>#N/A</v>
      </c>
      <c r="AA304" t="e">
        <f t="shared" si="39"/>
        <v>#N/A</v>
      </c>
      <c r="AB304" t="e">
        <f>VLOOKUP(Z304,Intrim!R:Z,9,0)</f>
        <v>#N/A</v>
      </c>
    </row>
    <row r="305" spans="1:28" x14ac:dyDescent="0.25">
      <c r="A305" t="str">
        <f t="shared" si="40"/>
        <v>297</v>
      </c>
      <c r="B305">
        <f>COUNTIF($C$6:C305,C305)</f>
        <v>297</v>
      </c>
      <c r="C305" t="str">
        <f t="shared" si="34"/>
        <v/>
      </c>
      <c r="D305" t="str">
        <f ca="1">IFERROR(INDEX(Intrim!$R$4:$R$401,E305),"")</f>
        <v/>
      </c>
      <c r="E305" t="e">
        <f ca="1">MATCH(intrim2!C305,OFFSET(Intrim!$S$4,E304,0):'Intrim'!$S$401,0)+E304</f>
        <v>#N/A</v>
      </c>
      <c r="L305" t="str">
        <f t="shared" si="41"/>
        <v>298</v>
      </c>
      <c r="M305">
        <f>COUNTIF($N$6:N305,N305)</f>
        <v>298</v>
      </c>
      <c r="N305" t="str">
        <f t="shared" si="35"/>
        <v/>
      </c>
      <c r="O305" t="str">
        <f ca="1">IFERROR(INDEX(Intrim!$F$4:$F$201,P305),"")</f>
        <v/>
      </c>
      <c r="P305" t="e">
        <f ca="1">MATCH(intrim2!N305,OFFSET(Intrim!$G$4,P304,0):'Intrim'!$G$201,0)+P304</f>
        <v>#N/A</v>
      </c>
      <c r="V305">
        <v>300</v>
      </c>
      <c r="W305" t="str">
        <f t="shared" si="36"/>
        <v/>
      </c>
      <c r="X305" t="str">
        <f>IF(W305="","",COUNTIF($W$6:W305,W305))</f>
        <v/>
      </c>
      <c r="Y305" t="e">
        <f t="shared" si="37"/>
        <v>#N/A</v>
      </c>
      <c r="Z305" t="e">
        <f t="shared" si="38"/>
        <v>#N/A</v>
      </c>
      <c r="AA305" t="e">
        <f t="shared" si="39"/>
        <v>#N/A</v>
      </c>
      <c r="AB305" t="e">
        <f>VLOOKUP(Z305,Intrim!R:Z,9,0)</f>
        <v>#N/A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9EA19-0988-4357-A5C7-5022E4294353}">
  <sheetPr codeName="工作表5"/>
  <dimension ref="B2:AF150"/>
  <sheetViews>
    <sheetView topLeftCell="M1" workbookViewId="0">
      <selection activeCell="Y6" sqref="Y6"/>
    </sheetView>
  </sheetViews>
  <sheetFormatPr defaultRowHeight="16.5" x14ac:dyDescent="0.25"/>
  <cols>
    <col min="2" max="2" width="10" bestFit="1" customWidth="1"/>
    <col min="3" max="3" width="17.125" bestFit="1" customWidth="1"/>
    <col min="7" max="7" width="15.625" bestFit="1" customWidth="1"/>
    <col min="10" max="10" width="17.25" bestFit="1" customWidth="1"/>
    <col min="14" max="14" width="13.375" customWidth="1"/>
    <col min="20" max="20" width="10.625" bestFit="1" customWidth="1"/>
    <col min="21" max="21" width="22.25" bestFit="1" customWidth="1"/>
    <col min="22" max="22" width="22.25" customWidth="1"/>
    <col min="24" max="24" width="28.875" customWidth="1"/>
    <col min="25" max="25" width="9" style="13"/>
    <col min="31" max="31" width="38.75" bestFit="1" customWidth="1"/>
  </cols>
  <sheetData>
    <row r="2" spans="2:32" x14ac:dyDescent="0.25">
      <c r="B2" t="s">
        <v>32</v>
      </c>
      <c r="C2" t="s">
        <v>8</v>
      </c>
      <c r="F2" t="s">
        <v>33</v>
      </c>
      <c r="G2" t="s">
        <v>34</v>
      </c>
      <c r="J2" t="s">
        <v>2</v>
      </c>
      <c r="K2" t="s">
        <v>49</v>
      </c>
      <c r="N2" t="s">
        <v>35</v>
      </c>
      <c r="O2" t="s">
        <v>36</v>
      </c>
      <c r="P2" t="s">
        <v>28</v>
      </c>
      <c r="Q2" t="s">
        <v>83</v>
      </c>
      <c r="R2" t="s">
        <v>82</v>
      </c>
      <c r="S2" t="s">
        <v>84</v>
      </c>
      <c r="T2" t="s">
        <v>30</v>
      </c>
      <c r="U2" t="s">
        <v>38</v>
      </c>
      <c r="V2" t="s">
        <v>66</v>
      </c>
      <c r="X2" t="s">
        <v>50</v>
      </c>
      <c r="Y2" s="13" t="s">
        <v>53</v>
      </c>
      <c r="AB2" t="str">
        <f>+intrim2!C5</f>
        <v>Facility Reference</v>
      </c>
      <c r="AC2" t="str">
        <f>+intrim2!D5</f>
        <v>Guarantee Reference</v>
      </c>
      <c r="AE2" t="s">
        <v>52</v>
      </c>
      <c r="AF2" s="13" t="s">
        <v>51</v>
      </c>
    </row>
    <row r="3" spans="2:32" x14ac:dyDescent="0.25">
      <c r="B3" t="str">
        <f ca="1">IF(OR(intrim2!D6="Unallocated",intrim2!D6=""),"",intrim2!D6)</f>
        <v>HKG-GH4</v>
      </c>
      <c r="C3">
        <f ca="1">IFERROR(VLOOKUP($F$3&amp;B3,Intrim!$U:$Z,6,0),"")</f>
        <v>5</v>
      </c>
      <c r="F3" t="str">
        <f>intrim2!C6</f>
        <v>HKG-XX5</v>
      </c>
      <c r="G3">
        <f>VLOOKUP(F3,Input!A:B,2,0)</f>
        <v>45</v>
      </c>
      <c r="J3" t="str">
        <f ca="1">IF(intrim2!O6="","",intrim2!O6)</f>
        <v>HKG-AB1</v>
      </c>
      <c r="K3">
        <f ca="1">IFERROR(VLOOKUP(J3&amp;$F$3,Input!F:G,2,0),"")</f>
        <v>10</v>
      </c>
      <c r="N3" t="str">
        <f ca="1">+intrim2!Y6</f>
        <v>HKG-AB1</v>
      </c>
      <c r="O3" t="str">
        <f ca="1">+intrim2!Z6</f>
        <v>HKG-GH4</v>
      </c>
      <c r="P3" t="str">
        <f ca="1">+intrim2!AA6</f>
        <v>HKG-XX5</v>
      </c>
      <c r="Q3">
        <f ca="1">VLOOKUP(N3&amp;$P$3,Intrim!H:L,5,0)</f>
        <v>1.7647058823529411</v>
      </c>
      <c r="R3">
        <f ca="1">VLOOKUP(N3,Intrim!F:I,4,0)</f>
        <v>10</v>
      </c>
      <c r="S3">
        <f ca="1">VLOOKUP(P3,Intrim!G:J,4,0)</f>
        <v>75</v>
      </c>
      <c r="T3">
        <f ca="1">+intrim2!AB6</f>
        <v>5</v>
      </c>
      <c r="U3">
        <f ca="1">VLOOKUP(P3,Intrim!$S$3:$AA$201,9,0)</f>
        <v>80</v>
      </c>
      <c r="V3">
        <f ca="1">VLOOKUP(P3,Intrim!S:Y,7,0)</f>
        <v>75</v>
      </c>
      <c r="W3">
        <f>intrim2!X6</f>
        <v>1</v>
      </c>
      <c r="X3" t="str">
        <f t="shared" ref="X3:X34" ca="1" si="0">IFERROR(N3&amp;" Tranche"&amp;W3&amp;" ("&amp;O3&amp;")","")</f>
        <v>HKG-AB1 Tranche1 (HKG-GH4)</v>
      </c>
      <c r="Y3" s="35">
        <f ca="1">IFERROR(IF(U3&gt;=V3,Q3*T3/U3,IF(U3&gt;=T3,T3*R3/S3,U3*Q3/S3)),"")</f>
        <v>0.11029411764705883</v>
      </c>
      <c r="AA3">
        <v>1</v>
      </c>
      <c r="AB3" t="str">
        <f>+intrim2!C6</f>
        <v>HKG-XX5</v>
      </c>
      <c r="AC3" t="str">
        <f ca="1">+intrim2!D6</f>
        <v>HKG-GH4</v>
      </c>
      <c r="AD3" t="str">
        <f ca="1">AB3&amp;AC3</f>
        <v>HKG-XX5HKG-GH4</v>
      </c>
      <c r="AE3" t="str">
        <f ca="1">IF(AB3="","",AB3&amp;" Undrawn Tranche"&amp;AA3&amp;" ("&amp;AC3&amp;")")</f>
        <v>HKG-XX5 Undrawn Tranche1 (HKG-GH4)</v>
      </c>
      <c r="AF3">
        <f ca="1">IF(AB3="","",VLOOKUP(AD3,Intrim!U:AD,10,0))</f>
        <v>2.8125</v>
      </c>
    </row>
    <row r="4" spans="2:32" x14ac:dyDescent="0.25">
      <c r="B4" t="str">
        <f ca="1">IF(OR(intrim2!D7="Unallocated",intrim2!D7=""),"",intrim2!D7)</f>
        <v>HKG-GH5</v>
      </c>
      <c r="C4">
        <f ca="1">IFERROR(VLOOKUP($F$3&amp;B4,Intrim!$U:$Z,6,0),"")</f>
        <v>75</v>
      </c>
      <c r="J4" t="str">
        <f ca="1">IF(intrim2!O7="","",intrim2!O7)</f>
        <v>HKG-AB2</v>
      </c>
      <c r="K4">
        <f ca="1">IFERROR(VLOOKUP(J4&amp;$F$3,Input!F:G,2,0),"")</f>
        <v>20</v>
      </c>
      <c r="N4" t="str">
        <f ca="1">+intrim2!Y7</f>
        <v>HKG-AB1</v>
      </c>
      <c r="O4" t="str">
        <f ca="1">+intrim2!Z7</f>
        <v>HKG-GH5</v>
      </c>
      <c r="P4" t="str">
        <f ca="1">+intrim2!AA7</f>
        <v>HKG-XX5</v>
      </c>
      <c r="Q4">
        <f ca="1">VLOOKUP(N4&amp;$P$3,Intrim!H:L,5,0)</f>
        <v>1.7647058823529411</v>
      </c>
      <c r="R4">
        <f ca="1">VLOOKUP(N4,Intrim!F:I,4,0)</f>
        <v>10</v>
      </c>
      <c r="S4">
        <f ca="1">VLOOKUP(P4,Intrim!G:J,4,0)</f>
        <v>75</v>
      </c>
      <c r="T4">
        <f ca="1">+intrim2!AB7</f>
        <v>75</v>
      </c>
      <c r="U4">
        <f ca="1">VLOOKUP(P4,Intrim!$S$3:$AA$201,9,0)</f>
        <v>80</v>
      </c>
      <c r="V4">
        <f ca="1">VLOOKUP(P4,Intrim!S:Y,7,0)</f>
        <v>75</v>
      </c>
      <c r="W4">
        <f>intrim2!X7</f>
        <v>2</v>
      </c>
      <c r="X4" t="str">
        <f t="shared" ca="1" si="0"/>
        <v>HKG-AB1 Tranche2 (HKG-GH5)</v>
      </c>
      <c r="Y4" s="35">
        <f ca="1">IFERROR(IF(O4="Unallocated",Q4-SUMIF($N$3:$N3,N4,$Y$3:Y3),IF(U4&gt;=V4,Q4*T4/U4,IF(U4&gt;=T4,T4*R4/S4,U4*Q4/S4))),"")</f>
        <v>1.6544117647058822</v>
      </c>
      <c r="Z4" s="34"/>
      <c r="AA4">
        <v>2</v>
      </c>
      <c r="AB4" t="str">
        <f>+intrim2!C7</f>
        <v>HKG-XX5</v>
      </c>
      <c r="AC4" t="str">
        <f ca="1">+intrim2!D7</f>
        <v>HKG-GH5</v>
      </c>
      <c r="AD4" t="str">
        <f t="shared" ref="AD4:AD15" ca="1" si="1">AB4&amp;AC4</f>
        <v>HKG-XX5HKG-GH5</v>
      </c>
      <c r="AE4" t="str">
        <f ca="1">IF(AB4="","",AB4&amp;" Undrawn Tranche"&amp;AA4&amp;" ("&amp;AC4&amp;")")</f>
        <v>HKG-XX5 Undrawn Tranche2 (HKG-GH5)</v>
      </c>
      <c r="AF4">
        <f ca="1">IF(AB4="","",VLOOKUP(AD4,Intrim!U:AD,10,0))</f>
        <v>42.1875</v>
      </c>
    </row>
    <row r="5" spans="2:32" x14ac:dyDescent="0.25">
      <c r="B5" t="str">
        <f ca="1">IF(OR(intrim2!D8="Unallocated",intrim2!D8=""),"",intrim2!D8)</f>
        <v/>
      </c>
      <c r="C5" t="str">
        <f ca="1">IFERROR(VLOOKUP($F$3&amp;B5,Intrim!$U:$Z,6,0),"")</f>
        <v/>
      </c>
      <c r="J5" t="str">
        <f ca="1">IF(intrim2!O8="","",intrim2!O8)</f>
        <v/>
      </c>
      <c r="K5" t="str">
        <f ca="1">IFERROR(VLOOKUP(J5&amp;$F$3,Input!F:G,2,0),"")</f>
        <v/>
      </c>
      <c r="N5" t="str">
        <f ca="1">+intrim2!Y8</f>
        <v>HKG-AB1</v>
      </c>
      <c r="O5" t="str">
        <f ca="1">+intrim2!Z8</f>
        <v>Unallocated</v>
      </c>
      <c r="P5" t="str">
        <f ca="1">+intrim2!AA8</f>
        <v>HKG-XX5</v>
      </c>
      <c r="Q5">
        <f ca="1">VLOOKUP(N5&amp;$P$3,Intrim!H:L,5,0)</f>
        <v>1.7647058823529411</v>
      </c>
      <c r="R5">
        <f ca="1">VLOOKUP(N5,Intrim!F:I,4,0)</f>
        <v>10</v>
      </c>
      <c r="S5">
        <f ca="1">VLOOKUP(P5,Intrim!G:J,4,0)</f>
        <v>75</v>
      </c>
      <c r="T5">
        <f ca="1">+intrim2!AB8</f>
        <v>0</v>
      </c>
      <c r="U5">
        <f ca="1">VLOOKUP(P5,Intrim!$S$3:$AA$201,9,0)</f>
        <v>80</v>
      </c>
      <c r="V5">
        <f ca="1">VLOOKUP(P5,Intrim!S:Y,7,0)</f>
        <v>75</v>
      </c>
      <c r="W5">
        <f>intrim2!X8</f>
        <v>3</v>
      </c>
      <c r="X5" t="str">
        <f t="shared" ca="1" si="0"/>
        <v>HKG-AB1 Tranche3 (Unallocated)</v>
      </c>
      <c r="Y5" s="35">
        <f ca="1">IFERROR(IF(O5="Unallocated",Q5-SUMIF($N$3:$N4,N5,$Y$3:Y4),IF(U5&gt;=V5,Q5*T5/U5,IF(U5&gt;=T5,T5*R5/S5,U5*Q5/S5))),"")</f>
        <v>0</v>
      </c>
      <c r="AA5">
        <v>3</v>
      </c>
      <c r="AB5" t="str">
        <f>+intrim2!C8</f>
        <v>HKG-XX5</v>
      </c>
      <c r="AC5" t="str">
        <f ca="1">+intrim2!D8</f>
        <v>Unallocated</v>
      </c>
      <c r="AD5" t="str">
        <f t="shared" ca="1" si="1"/>
        <v>HKG-XX5Unallocated</v>
      </c>
      <c r="AE5" t="str">
        <f ca="1">IF(AB5="","",AB5&amp;" Undrawn Tranche"&amp;AA5&amp;" ("&amp;AC5&amp;")")</f>
        <v>HKG-XX5 Undrawn Tranche3 (Unallocated)</v>
      </c>
      <c r="AF5">
        <f ca="1">IF(AB5="","",VLOOKUP(AD5,Intrim!U:AD,10,0))</f>
        <v>0</v>
      </c>
    </row>
    <row r="6" spans="2:32" x14ac:dyDescent="0.25">
      <c r="B6" t="str">
        <f ca="1">IF(OR(intrim2!D9="Unallocated",intrim2!D9=""),"",intrim2!D9)</f>
        <v/>
      </c>
      <c r="C6" t="str">
        <f ca="1">IFERROR(VLOOKUP($F$3&amp;B6,Intrim!$U:$Z,6,0),"")</f>
        <v/>
      </c>
      <c r="J6" t="str">
        <f ca="1">IF(intrim2!O9="","",intrim2!O9)</f>
        <v/>
      </c>
      <c r="K6" t="str">
        <f ca="1">IFERROR(VLOOKUP(J6&amp;$F$3,Input!F:G,2,0),"")</f>
        <v/>
      </c>
      <c r="N6" t="str">
        <f ca="1">+intrim2!Y9</f>
        <v>HKG-AB2</v>
      </c>
      <c r="O6" t="str">
        <f ca="1">+intrim2!Z9</f>
        <v>HKG-GH4</v>
      </c>
      <c r="P6" t="str">
        <f ca="1">+intrim2!AA9</f>
        <v>HKG-XX5</v>
      </c>
      <c r="Q6">
        <f ca="1">VLOOKUP(N6&amp;$P$3,Intrim!H:L,5,0)</f>
        <v>3.5294117647058822</v>
      </c>
      <c r="R6">
        <f ca="1">VLOOKUP(N6,Intrim!F:I,4,0)</f>
        <v>20</v>
      </c>
      <c r="S6">
        <f ca="1">VLOOKUP(P6,Intrim!G:J,4,0)</f>
        <v>75</v>
      </c>
      <c r="T6">
        <f ca="1">+intrim2!AB9</f>
        <v>5</v>
      </c>
      <c r="U6">
        <f ca="1">VLOOKUP(P6,Intrim!$S$3:$AA$201,9,0)</f>
        <v>80</v>
      </c>
      <c r="V6">
        <f ca="1">VLOOKUP(P6,Intrim!S:Y,7,0)</f>
        <v>75</v>
      </c>
      <c r="W6">
        <f>intrim2!X9</f>
        <v>1</v>
      </c>
      <c r="X6" t="str">
        <f t="shared" ca="1" si="0"/>
        <v>HKG-AB2 Tranche1 (HKG-GH4)</v>
      </c>
      <c r="Y6" s="35">
        <f ca="1">IFERROR(IF(O6="Unallocated",Q6-SUMIF($N$3:$N5,N6,$Y$3:Y5),IF(U6&gt;=V6,Q6*T6/U6,IF(U6&gt;=T6,T6*R6/S6,U6*Q6/S6))),"")</f>
        <v>0.22058823529411767</v>
      </c>
      <c r="AA6">
        <v>4</v>
      </c>
      <c r="AB6" t="str">
        <f>+intrim2!C9</f>
        <v/>
      </c>
      <c r="AC6" t="str">
        <f ca="1">+intrim2!D9</f>
        <v/>
      </c>
      <c r="AD6" t="str">
        <f t="shared" ca="1" si="1"/>
        <v/>
      </c>
      <c r="AE6" t="str">
        <f t="shared" ref="AE6:AE69" si="2">IF(AB6="","",AB6&amp;" Undrawn Tranche"&amp;AA6&amp;" ("&amp;AC6&amp;")")</f>
        <v/>
      </c>
      <c r="AF6" t="str">
        <f>IF(AB6="","",VLOOKUP(AD6,Intrim!U:AD,10,0))</f>
        <v/>
      </c>
    </row>
    <row r="7" spans="2:32" x14ac:dyDescent="0.25">
      <c r="B7" t="str">
        <f ca="1">IF(OR(intrim2!D10="Unallocated",intrim2!D10=""),"",intrim2!D10)</f>
        <v/>
      </c>
      <c r="C7" t="str">
        <f ca="1">IFERROR(VLOOKUP($F$3&amp;B7,Intrim!$U:$Z,6,0),"")</f>
        <v/>
      </c>
      <c r="J7" t="str">
        <f ca="1">IF(intrim2!O10="","",intrim2!O10)</f>
        <v/>
      </c>
      <c r="K7" t="str">
        <f ca="1">IFERROR(VLOOKUP(J7&amp;$F$3,Input!F:G,2,0),"")</f>
        <v/>
      </c>
      <c r="N7" t="str">
        <f ca="1">+intrim2!Y10</f>
        <v>HKG-AB2</v>
      </c>
      <c r="O7" t="str">
        <f ca="1">+intrim2!Z10</f>
        <v>HKG-GH5</v>
      </c>
      <c r="P7" t="str">
        <f ca="1">+intrim2!AA10</f>
        <v>HKG-XX5</v>
      </c>
      <c r="Q7">
        <f ca="1">VLOOKUP(N7&amp;$P$3,Intrim!H:L,5,0)</f>
        <v>3.5294117647058822</v>
      </c>
      <c r="R7">
        <f ca="1">VLOOKUP(N7,Intrim!F:I,4,0)</f>
        <v>20</v>
      </c>
      <c r="S7">
        <f ca="1">VLOOKUP(P7,Intrim!G:J,4,0)</f>
        <v>75</v>
      </c>
      <c r="T7">
        <f ca="1">+intrim2!AB10</f>
        <v>75</v>
      </c>
      <c r="U7">
        <f ca="1">VLOOKUP(P7,Intrim!$S$3:$AA$201,9,0)</f>
        <v>80</v>
      </c>
      <c r="V7">
        <f ca="1">VLOOKUP(P7,Intrim!S:Y,7,0)</f>
        <v>75</v>
      </c>
      <c r="W7">
        <f>intrim2!X10</f>
        <v>2</v>
      </c>
      <c r="X7" t="str">
        <f t="shared" ca="1" si="0"/>
        <v>HKG-AB2 Tranche2 (HKG-GH5)</v>
      </c>
      <c r="Y7" s="35">
        <f ca="1">IFERROR(IF(O7="Unallocated",Q7-SUMIF($N$3:$N6,N7,$Y$3:Y6),IF(U7&gt;=V7,Q7*T7/U7,IF(U7&gt;=T7,T7*R7/S7,U7*Q7/S7))),"")</f>
        <v>3.3088235294117645</v>
      </c>
      <c r="AA7">
        <v>5</v>
      </c>
      <c r="AB7" t="str">
        <f>+intrim2!C10</f>
        <v/>
      </c>
      <c r="AC7" t="str">
        <f ca="1">+intrim2!D10</f>
        <v/>
      </c>
      <c r="AD7" t="str">
        <f t="shared" ca="1" si="1"/>
        <v/>
      </c>
      <c r="AE7" t="str">
        <f t="shared" si="2"/>
        <v/>
      </c>
      <c r="AF7" t="str">
        <f>IF(AB7="","",VLOOKUP(AD7,Intrim!U:AD,10,0))</f>
        <v/>
      </c>
    </row>
    <row r="8" spans="2:32" x14ac:dyDescent="0.25">
      <c r="B8" t="str">
        <f ca="1">IF(OR(intrim2!D11="Unallocated",intrim2!D11=""),"",intrim2!D11)</f>
        <v/>
      </c>
      <c r="C8" t="str">
        <f ca="1">IFERROR(VLOOKUP($F$3&amp;B8,Intrim!$U:$Z,6,0),"")</f>
        <v/>
      </c>
      <c r="J8" t="str">
        <f ca="1">IF(intrim2!O11="","",intrim2!O11)</f>
        <v/>
      </c>
      <c r="K8" t="str">
        <f ca="1">IFERROR(VLOOKUP(J8&amp;$F$3,Input!F:G,2,0),"")</f>
        <v/>
      </c>
      <c r="N8" t="str">
        <f ca="1">+intrim2!Y11</f>
        <v>HKG-AB2</v>
      </c>
      <c r="O8" t="str">
        <f ca="1">+intrim2!Z11</f>
        <v>Unallocated</v>
      </c>
      <c r="P8" t="str">
        <f ca="1">+intrim2!AA11</f>
        <v>HKG-XX5</v>
      </c>
      <c r="Q8">
        <f ca="1">VLOOKUP(N8&amp;$P$3,Intrim!H:L,5,0)</f>
        <v>3.5294117647058822</v>
      </c>
      <c r="R8">
        <f ca="1">VLOOKUP(N8,Intrim!F:I,4,0)</f>
        <v>20</v>
      </c>
      <c r="S8">
        <f ca="1">VLOOKUP(P8,Intrim!G:J,4,0)</f>
        <v>75</v>
      </c>
      <c r="T8">
        <f ca="1">+intrim2!AB11</f>
        <v>0</v>
      </c>
      <c r="U8">
        <f ca="1">VLOOKUP(P8,Intrim!$S$3:$AA$201,9,0)</f>
        <v>80</v>
      </c>
      <c r="V8">
        <f ca="1">VLOOKUP(P8,Intrim!S:Y,7,0)</f>
        <v>75</v>
      </c>
      <c r="W8">
        <f>intrim2!X11</f>
        <v>3</v>
      </c>
      <c r="X8" t="str">
        <f t="shared" ca="1" si="0"/>
        <v>HKG-AB2 Tranche3 (Unallocated)</v>
      </c>
      <c r="Y8" s="35">
        <f ca="1">IFERROR(IF(O8="Unallocated",Q8-SUMIF($N$3:$N7,N8,$Y$3:Y7),IF(U8&gt;=V8,Q8*T8/U8,IF(U8&gt;=T8,T8*R8/S8,U8*Q8/S8))),"")</f>
        <v>0</v>
      </c>
      <c r="AA8">
        <v>6</v>
      </c>
      <c r="AB8" t="str">
        <f>+intrim2!C11</f>
        <v/>
      </c>
      <c r="AC8" t="str">
        <f ca="1">+intrim2!D11</f>
        <v/>
      </c>
      <c r="AD8" t="str">
        <f t="shared" ca="1" si="1"/>
        <v/>
      </c>
      <c r="AE8" t="str">
        <f t="shared" si="2"/>
        <v/>
      </c>
      <c r="AF8" t="str">
        <f>IF(AB8="","",VLOOKUP(AD8,Intrim!U:AD,10,0))</f>
        <v/>
      </c>
    </row>
    <row r="9" spans="2:32" x14ac:dyDescent="0.25">
      <c r="B9" t="str">
        <f ca="1">IF(OR(intrim2!D12="Unallocated",intrim2!D12=""),"",intrim2!D12)</f>
        <v/>
      </c>
      <c r="C9" t="str">
        <f ca="1">IFERROR(VLOOKUP($F$3&amp;B9,Intrim!$U:$Z,6,0),"")</f>
        <v/>
      </c>
      <c r="J9" t="str">
        <f ca="1">IF(intrim2!O12="","",intrim2!O12)</f>
        <v/>
      </c>
      <c r="K9" t="str">
        <f ca="1">IFERROR(VLOOKUP(J9&amp;$F$3,Input!F:G,2,0),"")</f>
        <v/>
      </c>
      <c r="N9" t="e">
        <f>+intrim2!Y12</f>
        <v>#N/A</v>
      </c>
      <c r="O9" t="e">
        <f>+intrim2!Z12</f>
        <v>#N/A</v>
      </c>
      <c r="P9" t="e">
        <f>+intrim2!AA12</f>
        <v>#N/A</v>
      </c>
      <c r="Q9" t="e">
        <f ca="1">VLOOKUP(N9&amp;$P$3,Intrim!H:L,5,0)</f>
        <v>#N/A</v>
      </c>
      <c r="R9" t="e">
        <f>VLOOKUP(N9,Intrim!F:I,4,0)</f>
        <v>#N/A</v>
      </c>
      <c r="S9" t="e">
        <f>VLOOKUP(P9,Intrim!G:J,4,0)</f>
        <v>#N/A</v>
      </c>
      <c r="T9" t="e">
        <f>+intrim2!AB12</f>
        <v>#N/A</v>
      </c>
      <c r="U9" t="e">
        <f>VLOOKUP(P9,Intrim!$S$3:$AA$201,9,0)</f>
        <v>#N/A</v>
      </c>
      <c r="V9" t="e">
        <f>VLOOKUP(P9,Intrim!S:Y,7,0)</f>
        <v>#N/A</v>
      </c>
      <c r="W9" t="str">
        <f>intrim2!X12</f>
        <v/>
      </c>
      <c r="X9" t="str">
        <f t="shared" si="0"/>
        <v/>
      </c>
      <c r="Y9" s="35" t="str">
        <f>IFERROR(IF(O9="Unallocated",Q9-SUMIF($N$3:$N8,N9,$Y$3:Y8),IF(U9&gt;=V9,Q9*T9/U9,IF(U9&gt;=T9,T9*R9/S9,U9*Q9/S9))),"")</f>
        <v/>
      </c>
      <c r="AA9">
        <v>7</v>
      </c>
      <c r="AB9" t="str">
        <f>+intrim2!C12</f>
        <v/>
      </c>
      <c r="AC9" t="str">
        <f ca="1">+intrim2!D12</f>
        <v/>
      </c>
      <c r="AD9" t="str">
        <f t="shared" ca="1" si="1"/>
        <v/>
      </c>
      <c r="AE9" t="str">
        <f t="shared" si="2"/>
        <v/>
      </c>
      <c r="AF9" t="str">
        <f>IF(AB9="","",VLOOKUP(AD9,Intrim!U:AD,10,0))</f>
        <v/>
      </c>
    </row>
    <row r="10" spans="2:32" x14ac:dyDescent="0.25">
      <c r="B10" t="str">
        <f ca="1">IF(OR(intrim2!D13="Unallocated",intrim2!D13=""),"",intrim2!D13)</f>
        <v/>
      </c>
      <c r="C10" t="str">
        <f ca="1">IFERROR(VLOOKUP($F$3&amp;B10,Intrim!$U:$Z,6,0),"")</f>
        <v/>
      </c>
      <c r="J10" t="str">
        <f ca="1">IF(intrim2!O13="","",intrim2!O13)</f>
        <v/>
      </c>
      <c r="K10" t="str">
        <f ca="1">IFERROR(VLOOKUP(J10&amp;$F$3,Input!F:G,2,0),"")</f>
        <v/>
      </c>
      <c r="N10" t="e">
        <f>+intrim2!Y13</f>
        <v>#N/A</v>
      </c>
      <c r="O10" t="e">
        <f>+intrim2!Z13</f>
        <v>#N/A</v>
      </c>
      <c r="P10" t="e">
        <f>+intrim2!AA13</f>
        <v>#N/A</v>
      </c>
      <c r="Q10" t="e">
        <f ca="1">VLOOKUP(N10&amp;$P$3,Intrim!H:L,5,0)</f>
        <v>#N/A</v>
      </c>
      <c r="R10" t="e">
        <f>VLOOKUP(N10,Intrim!F:I,4,0)</f>
        <v>#N/A</v>
      </c>
      <c r="S10" t="e">
        <f>VLOOKUP(P10,Intrim!G:J,4,0)</f>
        <v>#N/A</v>
      </c>
      <c r="T10" t="e">
        <f>+intrim2!AB13</f>
        <v>#N/A</v>
      </c>
      <c r="U10" t="e">
        <f>VLOOKUP(P10,Intrim!$S$3:$AA$201,9,0)</f>
        <v>#N/A</v>
      </c>
      <c r="V10" t="e">
        <f>VLOOKUP(P10,Intrim!S:Y,7,0)</f>
        <v>#N/A</v>
      </c>
      <c r="W10" t="str">
        <f>intrim2!X13</f>
        <v/>
      </c>
      <c r="X10" t="str">
        <f t="shared" si="0"/>
        <v/>
      </c>
      <c r="Y10" s="35" t="str">
        <f>IFERROR(IF(O10="Unallocated",Q10-SUMIF($N$3:$N9,N10,$Y$3:Y9),IF(U10&gt;=V10,Q10*T10/U10,IF(U10&gt;=T10,T10*R10/S10,U10*Q10/S10))),"")</f>
        <v/>
      </c>
      <c r="AA10">
        <v>8</v>
      </c>
      <c r="AB10" t="str">
        <f>+intrim2!C13</f>
        <v/>
      </c>
      <c r="AC10" t="str">
        <f ca="1">+intrim2!D13</f>
        <v/>
      </c>
      <c r="AD10" t="str">
        <f t="shared" ca="1" si="1"/>
        <v/>
      </c>
      <c r="AE10" t="str">
        <f t="shared" si="2"/>
        <v/>
      </c>
      <c r="AF10" t="str">
        <f>IF(AB10="","",VLOOKUP(AD10,Intrim!U:AD,10,0))</f>
        <v/>
      </c>
    </row>
    <row r="11" spans="2:32" x14ac:dyDescent="0.25">
      <c r="B11" t="str">
        <f ca="1">IF(OR(intrim2!D14="Unallocated",intrim2!D14=""),"",intrim2!D14)</f>
        <v/>
      </c>
      <c r="C11" t="str">
        <f ca="1">IFERROR(VLOOKUP($F$3&amp;B11,Intrim!$U:$Z,6,0),"")</f>
        <v/>
      </c>
      <c r="J11" t="str">
        <f ca="1">IF(intrim2!O14="","",intrim2!O14)</f>
        <v/>
      </c>
      <c r="K11" t="str">
        <f ca="1">IFERROR(VLOOKUP(J11&amp;$F$3,Input!F:G,2,0),"")</f>
        <v/>
      </c>
      <c r="N11" t="e">
        <f>+intrim2!Y14</f>
        <v>#N/A</v>
      </c>
      <c r="O11" t="e">
        <f>+intrim2!Z14</f>
        <v>#N/A</v>
      </c>
      <c r="P11" t="e">
        <f>+intrim2!AA14</f>
        <v>#N/A</v>
      </c>
      <c r="Q11" t="e">
        <f ca="1">VLOOKUP(N11&amp;$P$3,Intrim!H:L,5,0)</f>
        <v>#N/A</v>
      </c>
      <c r="R11" t="e">
        <f>VLOOKUP(N11,Intrim!F:I,4,0)</f>
        <v>#N/A</v>
      </c>
      <c r="S11" t="e">
        <f>VLOOKUP(P11,Intrim!G:J,4,0)</f>
        <v>#N/A</v>
      </c>
      <c r="T11" t="e">
        <f>+intrim2!AB14</f>
        <v>#N/A</v>
      </c>
      <c r="U11" t="e">
        <f>VLOOKUP(P11,Intrim!$S$3:$AA$201,9,0)</f>
        <v>#N/A</v>
      </c>
      <c r="V11" t="e">
        <f>VLOOKUP(P11,Intrim!S:Y,7,0)</f>
        <v>#N/A</v>
      </c>
      <c r="W11" t="str">
        <f>intrim2!X14</f>
        <v/>
      </c>
      <c r="X11" t="str">
        <f t="shared" si="0"/>
        <v/>
      </c>
      <c r="Y11" s="35" t="str">
        <f>IFERROR(IF(O11="Unallocated",Q11-SUMIF($N$3:$N10,N11,$Y$3:Y10),IF(U11&gt;=V11,Q11*T11/U11,IF(U11&gt;=T11,T11*R11/S11,U11*Q11/S11))),"")</f>
        <v/>
      </c>
      <c r="AA11">
        <v>9</v>
      </c>
      <c r="AB11" t="str">
        <f>+intrim2!C14</f>
        <v/>
      </c>
      <c r="AC11" t="str">
        <f ca="1">+intrim2!D14</f>
        <v/>
      </c>
      <c r="AD11" t="str">
        <f t="shared" ca="1" si="1"/>
        <v/>
      </c>
      <c r="AE11" t="str">
        <f t="shared" si="2"/>
        <v/>
      </c>
      <c r="AF11" t="str">
        <f>IF(AB11="","",VLOOKUP(AD11,Intrim!U:AD,10,0))</f>
        <v/>
      </c>
    </row>
    <row r="12" spans="2:32" x14ac:dyDescent="0.25">
      <c r="B12" t="str">
        <f ca="1">IF(OR(intrim2!D15="Unallocated",intrim2!D15=""),"",intrim2!D15)</f>
        <v/>
      </c>
      <c r="C12" t="str">
        <f ca="1">IFERROR(VLOOKUP($F$3&amp;B12,Intrim!$U:$Z,6,0),"")</f>
        <v/>
      </c>
      <c r="J12" t="str">
        <f ca="1">IF(intrim2!O15="","",intrim2!O15)</f>
        <v/>
      </c>
      <c r="K12" t="str">
        <f ca="1">IFERROR(VLOOKUP(J12&amp;$F$3,Input!F:G,2,0),"")</f>
        <v/>
      </c>
      <c r="N12" t="e">
        <f>+intrim2!Y15</f>
        <v>#N/A</v>
      </c>
      <c r="O12" t="e">
        <f>+intrim2!Z15</f>
        <v>#N/A</v>
      </c>
      <c r="P12" t="e">
        <f>+intrim2!AA15</f>
        <v>#N/A</v>
      </c>
      <c r="Q12" t="e">
        <f ca="1">VLOOKUP(N12&amp;$P$3,Intrim!H:L,5,0)</f>
        <v>#N/A</v>
      </c>
      <c r="R12" t="e">
        <f>VLOOKUP(N12,Intrim!F:I,4,0)</f>
        <v>#N/A</v>
      </c>
      <c r="S12" t="e">
        <f>VLOOKUP(P12,Intrim!G:J,4,0)</f>
        <v>#N/A</v>
      </c>
      <c r="T12" t="e">
        <f>+intrim2!AB15</f>
        <v>#N/A</v>
      </c>
      <c r="U12" t="e">
        <f>VLOOKUP(P12,Intrim!$S$3:$AA$201,9,0)</f>
        <v>#N/A</v>
      </c>
      <c r="V12" t="e">
        <f>VLOOKUP(P12,Intrim!S:Y,7,0)</f>
        <v>#N/A</v>
      </c>
      <c r="W12" t="str">
        <f>intrim2!X15</f>
        <v/>
      </c>
      <c r="X12" t="str">
        <f t="shared" si="0"/>
        <v/>
      </c>
      <c r="Y12" s="35" t="str">
        <f>IFERROR(IF(O12="Unallocated",Q12-SUMIF($N$3:$N11,N12,$Y$3:Y11),IF(U12&gt;=V12,Q12*T12/U12,IF(U12&gt;=T12,T12*R12/S12,U12*Q12/S12))),"")</f>
        <v/>
      </c>
      <c r="AA12">
        <v>10</v>
      </c>
      <c r="AB12" t="str">
        <f>+intrim2!C15</f>
        <v/>
      </c>
      <c r="AC12" t="str">
        <f ca="1">+intrim2!D15</f>
        <v/>
      </c>
      <c r="AD12" t="str">
        <f t="shared" ca="1" si="1"/>
        <v/>
      </c>
      <c r="AE12" t="str">
        <f t="shared" si="2"/>
        <v/>
      </c>
      <c r="AF12" t="str">
        <f>IF(AB12="","",VLOOKUP(AD12,Intrim!U:AD,10,0))</f>
        <v/>
      </c>
    </row>
    <row r="13" spans="2:32" x14ac:dyDescent="0.25">
      <c r="B13" t="str">
        <f ca="1">IF(OR(intrim2!D16="Unallocated",intrim2!D16=""),"",intrim2!D16)</f>
        <v/>
      </c>
      <c r="C13" t="str">
        <f ca="1">IFERROR(VLOOKUP($F$3&amp;B13,Intrim!$U:$Z,6,0),"")</f>
        <v/>
      </c>
      <c r="J13" t="str">
        <f ca="1">IF(intrim2!O16="","",intrim2!O16)</f>
        <v/>
      </c>
      <c r="K13" t="str">
        <f ca="1">IFERROR(VLOOKUP(J13&amp;$F$3,Input!F:G,2,0),"")</f>
        <v/>
      </c>
      <c r="N13" t="e">
        <f>+intrim2!Y16</f>
        <v>#N/A</v>
      </c>
      <c r="O13" t="e">
        <f>+intrim2!Z16</f>
        <v>#N/A</v>
      </c>
      <c r="P13" t="e">
        <f>+intrim2!AA16</f>
        <v>#N/A</v>
      </c>
      <c r="Q13" t="e">
        <f ca="1">VLOOKUP(N13&amp;$P$3,Intrim!H:L,5,0)</f>
        <v>#N/A</v>
      </c>
      <c r="R13" t="e">
        <f>VLOOKUP(N13,Intrim!F:I,4,0)</f>
        <v>#N/A</v>
      </c>
      <c r="S13" t="e">
        <f>VLOOKUP(P13,Intrim!G:J,4,0)</f>
        <v>#N/A</v>
      </c>
      <c r="T13" t="e">
        <f>+intrim2!AB16</f>
        <v>#N/A</v>
      </c>
      <c r="U13" t="e">
        <f>VLOOKUP(P13,Intrim!$S$3:$AA$201,9,0)</f>
        <v>#N/A</v>
      </c>
      <c r="V13" t="e">
        <f>VLOOKUP(P13,Intrim!S:Y,7,0)</f>
        <v>#N/A</v>
      </c>
      <c r="W13" t="str">
        <f>intrim2!X16</f>
        <v/>
      </c>
      <c r="X13" t="str">
        <f t="shared" si="0"/>
        <v/>
      </c>
      <c r="Y13" s="35" t="str">
        <f>IFERROR(IF(O13="Unallocated",Q13-SUMIF($N$3:$N12,N13,$Y$3:Y12),IF(U13&gt;=V13,Q13*T13/U13,IF(U13&gt;=T13,T13*R13/S13,U13*Q13/S13))),"")</f>
        <v/>
      </c>
      <c r="AA13">
        <v>11</v>
      </c>
      <c r="AB13" t="str">
        <f>+intrim2!C16</f>
        <v/>
      </c>
      <c r="AC13" t="str">
        <f ca="1">+intrim2!D16</f>
        <v/>
      </c>
      <c r="AD13" t="str">
        <f t="shared" ca="1" si="1"/>
        <v/>
      </c>
      <c r="AE13" t="str">
        <f t="shared" si="2"/>
        <v/>
      </c>
      <c r="AF13" t="str">
        <f>IF(AB13="","",VLOOKUP(AD13,Intrim!U:AD,10,0))</f>
        <v/>
      </c>
    </row>
    <row r="14" spans="2:32" x14ac:dyDescent="0.25">
      <c r="B14" t="str">
        <f ca="1">IF(OR(intrim2!D17="Unallocated",intrim2!D17=""),"",intrim2!D17)</f>
        <v/>
      </c>
      <c r="C14" t="str">
        <f ca="1">IFERROR(VLOOKUP($F$3&amp;B14,Intrim!$U:$Z,6,0),"")</f>
        <v/>
      </c>
      <c r="J14" t="str">
        <f ca="1">IF(intrim2!O17="","",intrim2!O17)</f>
        <v/>
      </c>
      <c r="K14" t="str">
        <f ca="1">IFERROR(VLOOKUP(J14&amp;$F$3,Input!F:G,2,0),"")</f>
        <v/>
      </c>
      <c r="N14" t="e">
        <f>+intrim2!Y17</f>
        <v>#N/A</v>
      </c>
      <c r="O14" t="e">
        <f>+intrim2!Z17</f>
        <v>#N/A</v>
      </c>
      <c r="P14" t="e">
        <f>+intrim2!AA17</f>
        <v>#N/A</v>
      </c>
      <c r="Q14" t="e">
        <f ca="1">VLOOKUP(N14&amp;$P$3,Intrim!H:L,5,0)</f>
        <v>#N/A</v>
      </c>
      <c r="R14" t="e">
        <f>VLOOKUP(N14,Intrim!F:I,4,0)</f>
        <v>#N/A</v>
      </c>
      <c r="S14" t="e">
        <f>VLOOKUP(P14,Intrim!G:J,4,0)</f>
        <v>#N/A</v>
      </c>
      <c r="T14" t="e">
        <f>+intrim2!AB17</f>
        <v>#N/A</v>
      </c>
      <c r="U14" t="e">
        <f>VLOOKUP(P14,Intrim!$S$3:$AA$201,9,0)</f>
        <v>#N/A</v>
      </c>
      <c r="V14" t="e">
        <f>VLOOKUP(P14,Intrim!S:Y,7,0)</f>
        <v>#N/A</v>
      </c>
      <c r="W14" t="str">
        <f>intrim2!X17</f>
        <v/>
      </c>
      <c r="X14" t="str">
        <f t="shared" si="0"/>
        <v/>
      </c>
      <c r="Y14" s="35" t="str">
        <f>IFERROR(IF(O14="Unallocated",Q14-SUMIF($N$3:$N13,N14,$Y$3:Y13),IF(U14&gt;=V14,Q14*T14/U14,IF(U14&gt;=T14,T14*R14/S14,U14*Q14/S14))),"")</f>
        <v/>
      </c>
      <c r="AA14">
        <v>12</v>
      </c>
      <c r="AB14" t="str">
        <f>+intrim2!C17</f>
        <v/>
      </c>
      <c r="AC14" t="str">
        <f ca="1">+intrim2!D17</f>
        <v/>
      </c>
      <c r="AD14" t="str">
        <f t="shared" ca="1" si="1"/>
        <v/>
      </c>
      <c r="AE14" t="str">
        <f t="shared" si="2"/>
        <v/>
      </c>
      <c r="AF14" t="str">
        <f>IF(AB14="","",VLOOKUP(AD14,Intrim!U:AD,10,0))</f>
        <v/>
      </c>
    </row>
    <row r="15" spans="2:32" x14ac:dyDescent="0.25">
      <c r="B15" t="str">
        <f ca="1">IF(OR(intrim2!D18="Unallocated",intrim2!D18=""),"",intrim2!D18)</f>
        <v/>
      </c>
      <c r="C15" t="str">
        <f ca="1">IFERROR(VLOOKUP($F$3&amp;B15,Intrim!$U:$Z,6,0),"")</f>
        <v/>
      </c>
      <c r="J15" t="str">
        <f ca="1">IF(intrim2!O18="","",intrim2!O18)</f>
        <v/>
      </c>
      <c r="K15" t="str">
        <f ca="1">IFERROR(VLOOKUP(J15&amp;$F$3,Input!F:G,2,0),"")</f>
        <v/>
      </c>
      <c r="N15" t="e">
        <f>+intrim2!Y18</f>
        <v>#N/A</v>
      </c>
      <c r="O15" t="e">
        <f>+intrim2!Z18</f>
        <v>#N/A</v>
      </c>
      <c r="P15" t="e">
        <f>+intrim2!AA18</f>
        <v>#N/A</v>
      </c>
      <c r="Q15" t="e">
        <f ca="1">VLOOKUP(N15&amp;$P$3,Intrim!H:L,5,0)</f>
        <v>#N/A</v>
      </c>
      <c r="R15" t="e">
        <f>VLOOKUP(N15,Intrim!F:I,4,0)</f>
        <v>#N/A</v>
      </c>
      <c r="S15" t="e">
        <f>VLOOKUP(P15,Intrim!G:J,4,0)</f>
        <v>#N/A</v>
      </c>
      <c r="T15" t="e">
        <f>+intrim2!AB18</f>
        <v>#N/A</v>
      </c>
      <c r="U15" t="e">
        <f>VLOOKUP(P15,Intrim!$S$3:$AA$201,9,0)</f>
        <v>#N/A</v>
      </c>
      <c r="V15" t="e">
        <f>VLOOKUP(P15,Intrim!S:Y,7,0)</f>
        <v>#N/A</v>
      </c>
      <c r="W15" t="str">
        <f>intrim2!X18</f>
        <v/>
      </c>
      <c r="X15" t="str">
        <f t="shared" si="0"/>
        <v/>
      </c>
      <c r="Y15" s="35" t="str">
        <f>IFERROR(IF(O15="Unallocated",Q15-SUMIF($N$3:$N14,N15,$Y$3:Y14),IF(U15&gt;=V15,Q15*T15/U15,IF(U15&gt;=T15,T15*R15/S15,U15*Q15/S15))),"")</f>
        <v/>
      </c>
      <c r="AA15">
        <v>13</v>
      </c>
      <c r="AB15" t="str">
        <f>+intrim2!C18</f>
        <v/>
      </c>
      <c r="AC15" t="str">
        <f ca="1">+intrim2!D18</f>
        <v/>
      </c>
      <c r="AD15" t="str">
        <f t="shared" ca="1" si="1"/>
        <v/>
      </c>
      <c r="AE15" t="str">
        <f t="shared" si="2"/>
        <v/>
      </c>
      <c r="AF15" t="str">
        <f>IF(AB15="","",VLOOKUP(AD15,Intrim!U:AD,10,0))</f>
        <v/>
      </c>
    </row>
    <row r="16" spans="2:32" x14ac:dyDescent="0.25">
      <c r="B16" t="str">
        <f ca="1">IF(OR(intrim2!D19="Unallocated",intrim2!D19=""),"",intrim2!D19)</f>
        <v/>
      </c>
      <c r="C16" t="str">
        <f ca="1">IFERROR(VLOOKUP($F$3&amp;B16,Intrim!$U:$Z,6,0),"")</f>
        <v/>
      </c>
      <c r="J16" t="str">
        <f ca="1">IF(intrim2!O19="","",intrim2!O19)</f>
        <v/>
      </c>
      <c r="K16" t="str">
        <f ca="1">IFERROR(VLOOKUP(J16&amp;$F$3,Input!F:G,2,0),"")</f>
        <v/>
      </c>
      <c r="N16" t="e">
        <f>+intrim2!Y19</f>
        <v>#N/A</v>
      </c>
      <c r="O16" t="e">
        <f>+intrim2!Z19</f>
        <v>#N/A</v>
      </c>
      <c r="P16" t="e">
        <f>+intrim2!AA19</f>
        <v>#N/A</v>
      </c>
      <c r="Q16" t="e">
        <f ca="1">VLOOKUP(N16&amp;$P$3,Intrim!H:L,5,0)</f>
        <v>#N/A</v>
      </c>
      <c r="R16" t="e">
        <f>VLOOKUP(N16,Intrim!F:I,4,0)</f>
        <v>#N/A</v>
      </c>
      <c r="S16" t="e">
        <f>VLOOKUP(P16,Intrim!G:J,4,0)</f>
        <v>#N/A</v>
      </c>
      <c r="T16" t="e">
        <f>+intrim2!AB19</f>
        <v>#N/A</v>
      </c>
      <c r="U16" t="e">
        <f>VLOOKUP(P16,Intrim!$S$3:$AA$201,9,0)</f>
        <v>#N/A</v>
      </c>
      <c r="V16" t="e">
        <f>VLOOKUP(P16,Intrim!S:Y,7,0)</f>
        <v>#N/A</v>
      </c>
      <c r="W16" t="str">
        <f>intrim2!X19</f>
        <v/>
      </c>
      <c r="X16" t="str">
        <f t="shared" si="0"/>
        <v/>
      </c>
      <c r="Y16" s="35" t="str">
        <f>IFERROR(IF(O16="Unallocated",Q16-SUMIF($N$3:$N15,N16,$Y$3:Y15),IF(U16&gt;=V16,Q16*T16/U16,IF(U16&gt;=T16,T16*R16/S16,U16*Q16/S16))),"")</f>
        <v/>
      </c>
      <c r="AA16">
        <v>13</v>
      </c>
      <c r="AB16" t="str">
        <f>+intrim2!C19</f>
        <v/>
      </c>
      <c r="AC16" t="str">
        <f ca="1">+intrim2!D19</f>
        <v/>
      </c>
      <c r="AD16" t="str">
        <f t="shared" ref="AD16:AD79" ca="1" si="3">AB16&amp;AC16</f>
        <v/>
      </c>
      <c r="AE16" t="str">
        <f t="shared" si="2"/>
        <v/>
      </c>
      <c r="AF16" t="str">
        <f>IF(AB16="","",VLOOKUP(AD16,Intrim!U:AD,10,0))</f>
        <v/>
      </c>
    </row>
    <row r="17" spans="2:32" x14ac:dyDescent="0.25">
      <c r="B17" t="str">
        <f ca="1">IF(OR(intrim2!D20="Unallocated",intrim2!D20=""),"",intrim2!D20)</f>
        <v/>
      </c>
      <c r="C17" t="str">
        <f ca="1">IFERROR(VLOOKUP($F$3&amp;B17,Intrim!$U:$Z,6,0),"")</f>
        <v/>
      </c>
      <c r="J17" t="str">
        <f ca="1">IF(intrim2!O20="","",intrim2!O20)</f>
        <v/>
      </c>
      <c r="K17" t="str">
        <f ca="1">IFERROR(VLOOKUP(J17&amp;$F$3,Input!F:G,2,0),"")</f>
        <v/>
      </c>
      <c r="N17" t="e">
        <f>+intrim2!Y20</f>
        <v>#N/A</v>
      </c>
      <c r="O17" t="e">
        <f>+intrim2!Z20</f>
        <v>#N/A</v>
      </c>
      <c r="P17" t="e">
        <f>+intrim2!AA20</f>
        <v>#N/A</v>
      </c>
      <c r="Q17" t="e">
        <f ca="1">VLOOKUP(N17&amp;$P$3,Intrim!H:L,5,0)</f>
        <v>#N/A</v>
      </c>
      <c r="R17" t="e">
        <f>VLOOKUP(N17,Intrim!F:I,4,0)</f>
        <v>#N/A</v>
      </c>
      <c r="S17" t="e">
        <f>VLOOKUP(P17,Intrim!G:J,4,0)</f>
        <v>#N/A</v>
      </c>
      <c r="T17" t="e">
        <f>+intrim2!AB20</f>
        <v>#N/A</v>
      </c>
      <c r="U17" t="e">
        <f>VLOOKUP(P17,Intrim!$S$3:$AA$201,9,0)</f>
        <v>#N/A</v>
      </c>
      <c r="V17" t="e">
        <f>VLOOKUP(P17,Intrim!S:Y,7,0)</f>
        <v>#N/A</v>
      </c>
      <c r="W17" t="str">
        <f>intrim2!X20</f>
        <v/>
      </c>
      <c r="X17" t="str">
        <f t="shared" si="0"/>
        <v/>
      </c>
      <c r="Y17" s="35" t="str">
        <f>IFERROR(IF(O17="Unallocated",Q17-SUMIF($N$3:$N16,N17,$Y$3:Y16),IF(U17&gt;=V17,Q17*T17/U17,IF(U17&gt;=T17,T17*R17/S17,U17*Q17/S17))),"")</f>
        <v/>
      </c>
      <c r="AA17">
        <v>13</v>
      </c>
      <c r="AB17" t="str">
        <f>+intrim2!C20</f>
        <v/>
      </c>
      <c r="AC17" t="str">
        <f ca="1">+intrim2!D20</f>
        <v/>
      </c>
      <c r="AD17" t="str">
        <f t="shared" ca="1" si="3"/>
        <v/>
      </c>
      <c r="AE17" t="str">
        <f t="shared" si="2"/>
        <v/>
      </c>
      <c r="AF17" t="str">
        <f>IF(AB17="","",VLOOKUP(AD17,Intrim!U:AD,10,0))</f>
        <v/>
      </c>
    </row>
    <row r="18" spans="2:32" x14ac:dyDescent="0.25">
      <c r="B18" t="str">
        <f ca="1">IF(OR(intrim2!D21="Unallocated",intrim2!D21=""),"",intrim2!D21)</f>
        <v/>
      </c>
      <c r="C18" t="str">
        <f ca="1">IFERROR(VLOOKUP($F$3&amp;B18,Intrim!$U:$Z,6,0),"")</f>
        <v/>
      </c>
      <c r="J18" t="str">
        <f ca="1">IF(intrim2!O21="","",intrim2!O21)</f>
        <v/>
      </c>
      <c r="K18" t="str">
        <f ca="1">IFERROR(VLOOKUP(J18&amp;$F$3,Input!F:G,2,0),"")</f>
        <v/>
      </c>
      <c r="N18" t="e">
        <f>+intrim2!Y21</f>
        <v>#N/A</v>
      </c>
      <c r="O18" t="e">
        <f>+intrim2!Z21</f>
        <v>#N/A</v>
      </c>
      <c r="P18" t="e">
        <f>+intrim2!AA21</f>
        <v>#N/A</v>
      </c>
      <c r="Q18" t="e">
        <f ca="1">VLOOKUP(N18&amp;$P$3,Intrim!H:L,5,0)</f>
        <v>#N/A</v>
      </c>
      <c r="R18" t="e">
        <f>VLOOKUP(N18,Intrim!F:I,4,0)</f>
        <v>#N/A</v>
      </c>
      <c r="S18" t="e">
        <f>VLOOKUP(P18,Intrim!G:J,4,0)</f>
        <v>#N/A</v>
      </c>
      <c r="T18" t="e">
        <f>+intrim2!AB21</f>
        <v>#N/A</v>
      </c>
      <c r="U18" t="e">
        <f>VLOOKUP(P18,Intrim!$S$3:$AA$201,9,0)</f>
        <v>#N/A</v>
      </c>
      <c r="V18" t="e">
        <f>VLOOKUP(P18,Intrim!S:Y,7,0)</f>
        <v>#N/A</v>
      </c>
      <c r="W18" t="str">
        <f>intrim2!X21</f>
        <v/>
      </c>
      <c r="X18" t="str">
        <f t="shared" si="0"/>
        <v/>
      </c>
      <c r="Y18" s="35" t="str">
        <f>IFERROR(IF(O18="Unallocated",Q18-SUMIF($N$3:$N17,N18,$Y$3:Y17),IF(U18&gt;=V18,Q18*T18/U18,IF(U18&gt;=T18,T18*R18/S18,U18*Q18/S18))),"")</f>
        <v/>
      </c>
      <c r="AA18">
        <v>13</v>
      </c>
      <c r="AB18" t="str">
        <f>+intrim2!C21</f>
        <v/>
      </c>
      <c r="AC18" t="str">
        <f ca="1">+intrim2!D21</f>
        <v/>
      </c>
      <c r="AD18" t="str">
        <f t="shared" ca="1" si="3"/>
        <v/>
      </c>
      <c r="AE18" t="str">
        <f t="shared" si="2"/>
        <v/>
      </c>
      <c r="AF18" t="str">
        <f>IF(AB18="","",VLOOKUP(AD18,Intrim!U:AD,10,0))</f>
        <v/>
      </c>
    </row>
    <row r="19" spans="2:32" x14ac:dyDescent="0.25">
      <c r="B19" t="str">
        <f ca="1">IF(OR(intrim2!D22="Unallocated",intrim2!D22=""),"",intrim2!D22)</f>
        <v/>
      </c>
      <c r="C19" t="str">
        <f ca="1">IFERROR(VLOOKUP($F$3&amp;B19,Intrim!$U:$Z,6,0),"")</f>
        <v/>
      </c>
      <c r="J19" t="str">
        <f ca="1">IF(intrim2!O22="","",intrim2!O22)</f>
        <v/>
      </c>
      <c r="K19" t="str">
        <f ca="1">IFERROR(VLOOKUP(J19&amp;$F$3,Input!F:G,2,0),"")</f>
        <v/>
      </c>
      <c r="N19" t="e">
        <f>+intrim2!Y22</f>
        <v>#N/A</v>
      </c>
      <c r="O19" t="e">
        <f>+intrim2!Z22</f>
        <v>#N/A</v>
      </c>
      <c r="P19" t="e">
        <f>+intrim2!AA22</f>
        <v>#N/A</v>
      </c>
      <c r="Q19" t="e">
        <f ca="1">VLOOKUP(N19&amp;$P$3,Intrim!H:L,5,0)</f>
        <v>#N/A</v>
      </c>
      <c r="R19" t="e">
        <f>VLOOKUP(N19,Intrim!F:I,4,0)</f>
        <v>#N/A</v>
      </c>
      <c r="S19" t="e">
        <f>VLOOKUP(P19,Intrim!G:J,4,0)</f>
        <v>#N/A</v>
      </c>
      <c r="T19" t="e">
        <f>+intrim2!AB22</f>
        <v>#N/A</v>
      </c>
      <c r="U19" t="e">
        <f>VLOOKUP(P19,Intrim!$S$3:$AA$201,9,0)</f>
        <v>#N/A</v>
      </c>
      <c r="V19" t="e">
        <f>VLOOKUP(P19,Intrim!S:Y,7,0)</f>
        <v>#N/A</v>
      </c>
      <c r="W19" t="str">
        <f>intrim2!X22</f>
        <v/>
      </c>
      <c r="X19" t="str">
        <f t="shared" si="0"/>
        <v/>
      </c>
      <c r="Y19" s="35" t="str">
        <f>IFERROR(IF(O19="Unallocated",Q19-SUMIF($N$3:$N18,N19,$Y$3:Y18),IF(U19&gt;=V19,Q19*T19/U19,IF(U19&gt;=T19,T19*R19/S19,U19*Q19/S19))),"")</f>
        <v/>
      </c>
      <c r="AA19">
        <v>13</v>
      </c>
      <c r="AB19" t="str">
        <f>+intrim2!C22</f>
        <v/>
      </c>
      <c r="AC19" t="str">
        <f ca="1">+intrim2!D22</f>
        <v/>
      </c>
      <c r="AD19" t="str">
        <f t="shared" ca="1" si="3"/>
        <v/>
      </c>
      <c r="AE19" t="str">
        <f t="shared" si="2"/>
        <v/>
      </c>
      <c r="AF19" t="str">
        <f>IF(AB19="","",VLOOKUP(AD19,Intrim!U:AD,10,0))</f>
        <v/>
      </c>
    </row>
    <row r="20" spans="2:32" x14ac:dyDescent="0.25">
      <c r="B20" t="str">
        <f ca="1">IF(OR(intrim2!D23="Unallocated",intrim2!D23=""),"",intrim2!D23)</f>
        <v/>
      </c>
      <c r="C20" t="str">
        <f ca="1">IFERROR(VLOOKUP($F$3&amp;B20,Intrim!$U:$Z,6,0),"")</f>
        <v/>
      </c>
      <c r="J20" t="str">
        <f ca="1">IF(intrim2!O23="","",intrim2!O23)</f>
        <v/>
      </c>
      <c r="K20" t="str">
        <f ca="1">IFERROR(VLOOKUP(J20&amp;$F$3,Input!F:G,2,0),"")</f>
        <v/>
      </c>
      <c r="N20" t="e">
        <f>+intrim2!Y23</f>
        <v>#N/A</v>
      </c>
      <c r="O20" t="e">
        <f>+intrim2!Z23</f>
        <v>#N/A</v>
      </c>
      <c r="P20" t="e">
        <f>+intrim2!AA23</f>
        <v>#N/A</v>
      </c>
      <c r="Q20" t="e">
        <f ca="1">VLOOKUP(N20&amp;$P$3,Intrim!H:L,5,0)</f>
        <v>#N/A</v>
      </c>
      <c r="R20" t="e">
        <f>VLOOKUP(N20,Intrim!F:I,4,0)</f>
        <v>#N/A</v>
      </c>
      <c r="S20" t="e">
        <f>VLOOKUP(P20,Intrim!G:J,4,0)</f>
        <v>#N/A</v>
      </c>
      <c r="T20" t="e">
        <f>+intrim2!AB23</f>
        <v>#N/A</v>
      </c>
      <c r="U20" t="e">
        <f>VLOOKUP(P20,Intrim!$S$3:$AA$201,9,0)</f>
        <v>#N/A</v>
      </c>
      <c r="V20" t="e">
        <f>VLOOKUP(P20,Intrim!S:Y,7,0)</f>
        <v>#N/A</v>
      </c>
      <c r="W20" t="str">
        <f>intrim2!X23</f>
        <v/>
      </c>
      <c r="X20" t="str">
        <f t="shared" si="0"/>
        <v/>
      </c>
      <c r="Y20" s="35" t="str">
        <f>IFERROR(IF(O20="Unallocated",Q20-SUMIF($N$3:$N19,N20,$Y$3:Y19),IF(U20&gt;=V20,Q20*T20/U20,IF(U20&gt;=T20,T20*R20/S20,U20*Q20/S20))),"")</f>
        <v/>
      </c>
      <c r="AA20">
        <v>13</v>
      </c>
      <c r="AB20" t="str">
        <f>+intrim2!C23</f>
        <v/>
      </c>
      <c r="AC20" t="str">
        <f ca="1">+intrim2!D23</f>
        <v/>
      </c>
      <c r="AD20" t="str">
        <f t="shared" ca="1" si="3"/>
        <v/>
      </c>
      <c r="AE20" t="str">
        <f t="shared" si="2"/>
        <v/>
      </c>
      <c r="AF20" t="str">
        <f>IF(AB20="","",VLOOKUP(AD20,Intrim!U:AD,10,0))</f>
        <v/>
      </c>
    </row>
    <row r="21" spans="2:32" x14ac:dyDescent="0.25">
      <c r="B21" t="str">
        <f ca="1">IF(OR(intrim2!D24="Unallocated",intrim2!D24=""),"",intrim2!D24)</f>
        <v/>
      </c>
      <c r="C21" t="str">
        <f ca="1">IFERROR(VLOOKUP($F$3&amp;B21,Intrim!$U:$Z,6,0),"")</f>
        <v/>
      </c>
      <c r="J21" t="str">
        <f ca="1">IF(intrim2!O24="","",intrim2!O24)</f>
        <v/>
      </c>
      <c r="K21" t="str">
        <f ca="1">IFERROR(VLOOKUP(J21&amp;$F$3,Input!F:G,2,0),"")</f>
        <v/>
      </c>
      <c r="N21" t="e">
        <f>+intrim2!Y24</f>
        <v>#N/A</v>
      </c>
      <c r="O21" t="e">
        <f>+intrim2!Z24</f>
        <v>#N/A</v>
      </c>
      <c r="P21" t="e">
        <f>+intrim2!AA24</f>
        <v>#N/A</v>
      </c>
      <c r="Q21" t="e">
        <f ca="1">VLOOKUP(N21&amp;$P$3,Intrim!H:L,5,0)</f>
        <v>#N/A</v>
      </c>
      <c r="R21" t="e">
        <f>VLOOKUP(N21,Intrim!F:I,4,0)</f>
        <v>#N/A</v>
      </c>
      <c r="S21" t="e">
        <f>VLOOKUP(P21,Intrim!G:J,4,0)</f>
        <v>#N/A</v>
      </c>
      <c r="T21" t="e">
        <f>+intrim2!AB24</f>
        <v>#N/A</v>
      </c>
      <c r="U21" t="e">
        <f>VLOOKUP(P21,Intrim!$S$3:$AA$201,9,0)</f>
        <v>#N/A</v>
      </c>
      <c r="V21" t="e">
        <f>VLOOKUP(P21,Intrim!S:Y,7,0)</f>
        <v>#N/A</v>
      </c>
      <c r="W21" t="str">
        <f>intrim2!X24</f>
        <v/>
      </c>
      <c r="X21" t="str">
        <f t="shared" si="0"/>
        <v/>
      </c>
      <c r="Y21" s="35" t="str">
        <f>IFERROR(IF(O21="Unallocated",Q21-SUMIF($N$3:$N20,N21,$Y$3:Y20),IF(U21&gt;=V21,Q21*T21/U21,IF(U21&gt;=T21,T21*R21/S21,U21*Q21/S21))),"")</f>
        <v/>
      </c>
      <c r="AA21">
        <v>13</v>
      </c>
      <c r="AB21" t="str">
        <f>+intrim2!C24</f>
        <v/>
      </c>
      <c r="AC21" t="str">
        <f ca="1">+intrim2!D24</f>
        <v/>
      </c>
      <c r="AD21" t="str">
        <f t="shared" ca="1" si="3"/>
        <v/>
      </c>
      <c r="AE21" t="str">
        <f t="shared" si="2"/>
        <v/>
      </c>
      <c r="AF21" t="str">
        <f>IF(AB21="","",VLOOKUP(AD21,Intrim!U:AD,10,0))</f>
        <v/>
      </c>
    </row>
    <row r="22" spans="2:32" x14ac:dyDescent="0.25">
      <c r="B22" t="str">
        <f ca="1">IF(OR(intrim2!D25="Unallocated",intrim2!D25=""),"",intrim2!D25)</f>
        <v/>
      </c>
      <c r="C22" t="str">
        <f ca="1">IFERROR(VLOOKUP($F$3&amp;B22,Intrim!$U:$Z,6,0),"")</f>
        <v/>
      </c>
      <c r="J22" t="str">
        <f ca="1">IF(intrim2!O25="","",intrim2!O25)</f>
        <v/>
      </c>
      <c r="K22" t="str">
        <f ca="1">IFERROR(VLOOKUP(J22&amp;$F$3,Input!F:G,2,0),"")</f>
        <v/>
      </c>
      <c r="N22" t="e">
        <f>+intrim2!Y25</f>
        <v>#N/A</v>
      </c>
      <c r="O22" t="e">
        <f>+intrim2!Z25</f>
        <v>#N/A</v>
      </c>
      <c r="P22" t="e">
        <f>+intrim2!AA25</f>
        <v>#N/A</v>
      </c>
      <c r="Q22" t="e">
        <f ca="1">VLOOKUP(N22&amp;$P$3,Intrim!H:L,5,0)</f>
        <v>#N/A</v>
      </c>
      <c r="R22" t="e">
        <f>VLOOKUP(N22,Intrim!F:I,4,0)</f>
        <v>#N/A</v>
      </c>
      <c r="S22" t="e">
        <f>VLOOKUP(P22,Intrim!G:J,4,0)</f>
        <v>#N/A</v>
      </c>
      <c r="T22" t="e">
        <f>+intrim2!AB25</f>
        <v>#N/A</v>
      </c>
      <c r="U22" t="e">
        <f>VLOOKUP(P22,Intrim!$S$3:$AA$201,9,0)</f>
        <v>#N/A</v>
      </c>
      <c r="V22" t="e">
        <f>VLOOKUP(P22,Intrim!S:Y,7,0)</f>
        <v>#N/A</v>
      </c>
      <c r="W22" t="str">
        <f>intrim2!X25</f>
        <v/>
      </c>
      <c r="X22" t="str">
        <f t="shared" si="0"/>
        <v/>
      </c>
      <c r="Y22" s="35" t="str">
        <f>IFERROR(IF(O22="Unallocated",Q22-SUMIF($N$3:$N21,N22,$Y$3:Y21),IF(U22&gt;=V22,Q22*T22/U22,IF(U22&gt;=T22,T22*R22/S22,U22*Q22/S22))),"")</f>
        <v/>
      </c>
      <c r="AA22">
        <v>13</v>
      </c>
      <c r="AB22" t="str">
        <f>+intrim2!C25</f>
        <v/>
      </c>
      <c r="AC22" t="str">
        <f ca="1">+intrim2!D25</f>
        <v/>
      </c>
      <c r="AD22" t="str">
        <f t="shared" ca="1" si="3"/>
        <v/>
      </c>
      <c r="AE22" t="str">
        <f t="shared" si="2"/>
        <v/>
      </c>
      <c r="AF22" t="str">
        <f>IF(AB22="","",VLOOKUP(AD22,Intrim!U:AD,10,0))</f>
        <v/>
      </c>
    </row>
    <row r="23" spans="2:32" x14ac:dyDescent="0.25">
      <c r="B23" t="str">
        <f ca="1">IF(OR(intrim2!D26="Unallocated",intrim2!D26=""),"",intrim2!D26)</f>
        <v/>
      </c>
      <c r="C23" t="str">
        <f ca="1">IFERROR(VLOOKUP($F$3&amp;B23,Intrim!$U:$Z,6,0),"")</f>
        <v/>
      </c>
      <c r="J23" t="str">
        <f ca="1">IF(intrim2!O26="","",intrim2!O26)</f>
        <v/>
      </c>
      <c r="K23" t="str">
        <f ca="1">IFERROR(VLOOKUP(J23&amp;$F$3,Input!F:G,2,0),"")</f>
        <v/>
      </c>
      <c r="N23" t="e">
        <f>+intrim2!Y26</f>
        <v>#N/A</v>
      </c>
      <c r="O23" t="e">
        <f>+intrim2!Z26</f>
        <v>#N/A</v>
      </c>
      <c r="P23" t="e">
        <f>+intrim2!AA26</f>
        <v>#N/A</v>
      </c>
      <c r="Q23" t="e">
        <f ca="1">VLOOKUP(N23&amp;$P$3,Intrim!H:L,5,0)</f>
        <v>#N/A</v>
      </c>
      <c r="R23" t="e">
        <f>VLOOKUP(N23,Intrim!F:I,4,0)</f>
        <v>#N/A</v>
      </c>
      <c r="S23" t="e">
        <f>VLOOKUP(P23,Intrim!G:J,4,0)</f>
        <v>#N/A</v>
      </c>
      <c r="T23" t="e">
        <f>+intrim2!AB26</f>
        <v>#N/A</v>
      </c>
      <c r="U23" t="e">
        <f>VLOOKUP(P23,Intrim!$S$3:$AA$201,9,0)</f>
        <v>#N/A</v>
      </c>
      <c r="V23" t="e">
        <f>VLOOKUP(P23,Intrim!S:Y,7,0)</f>
        <v>#N/A</v>
      </c>
      <c r="W23" t="str">
        <f>intrim2!X26</f>
        <v/>
      </c>
      <c r="X23" t="str">
        <f t="shared" si="0"/>
        <v/>
      </c>
      <c r="Y23" s="35" t="str">
        <f>IFERROR(IF(O23="Unallocated",Q23-SUMIF($N$3:$N22,N23,$Y$3:Y22),IF(U23&gt;=V23,Q23*T23/U23,IF(U23&gt;=T23,T23*R23/S23,U23*Q23/S23))),"")</f>
        <v/>
      </c>
      <c r="AA23">
        <v>13</v>
      </c>
      <c r="AB23" t="str">
        <f>+intrim2!C26</f>
        <v/>
      </c>
      <c r="AC23" t="str">
        <f ca="1">+intrim2!D26</f>
        <v/>
      </c>
      <c r="AD23" t="str">
        <f t="shared" ca="1" si="3"/>
        <v/>
      </c>
      <c r="AE23" t="str">
        <f t="shared" si="2"/>
        <v/>
      </c>
      <c r="AF23" t="str">
        <f>IF(AB23="","",VLOOKUP(AD23,Intrim!U:AD,10,0))</f>
        <v/>
      </c>
    </row>
    <row r="24" spans="2:32" x14ac:dyDescent="0.25">
      <c r="B24" t="str">
        <f ca="1">IF(OR(intrim2!D27="Unallocated",intrim2!D27=""),"",intrim2!D27)</f>
        <v/>
      </c>
      <c r="C24" t="str">
        <f ca="1">IFERROR(VLOOKUP($F$3&amp;B24,Intrim!$U:$Z,6,0),"")</f>
        <v/>
      </c>
      <c r="J24" t="str">
        <f ca="1">IF(intrim2!O27="","",intrim2!O27)</f>
        <v/>
      </c>
      <c r="K24" t="str">
        <f ca="1">IFERROR(VLOOKUP(J24&amp;$F$3,Input!F:G,2,0),"")</f>
        <v/>
      </c>
      <c r="N24" t="e">
        <f>+intrim2!Y27</f>
        <v>#N/A</v>
      </c>
      <c r="O24" t="e">
        <f>+intrim2!Z27</f>
        <v>#N/A</v>
      </c>
      <c r="P24" t="e">
        <f>+intrim2!AA27</f>
        <v>#N/A</v>
      </c>
      <c r="Q24" t="e">
        <f ca="1">VLOOKUP(N24&amp;$P$3,Intrim!H:L,5,0)</f>
        <v>#N/A</v>
      </c>
      <c r="R24" t="e">
        <f>VLOOKUP(N24,Intrim!F:I,4,0)</f>
        <v>#N/A</v>
      </c>
      <c r="S24" t="e">
        <f>VLOOKUP(P24,Intrim!G:J,4,0)</f>
        <v>#N/A</v>
      </c>
      <c r="T24" t="e">
        <f>+intrim2!AB27</f>
        <v>#N/A</v>
      </c>
      <c r="U24" t="e">
        <f>VLOOKUP(P24,Intrim!$S$3:$AA$201,9,0)</f>
        <v>#N/A</v>
      </c>
      <c r="V24" t="e">
        <f>VLOOKUP(P24,Intrim!S:Y,7,0)</f>
        <v>#N/A</v>
      </c>
      <c r="W24" t="str">
        <f>intrim2!X27</f>
        <v/>
      </c>
      <c r="X24" t="str">
        <f t="shared" si="0"/>
        <v/>
      </c>
      <c r="Y24" s="35" t="str">
        <f>IFERROR(IF(O24="Unallocated",Q24-SUMIF($N$3:$N23,N24,$Y$3:Y23),IF(U24&gt;=V24,Q24*T24/U24,IF(U24&gt;=T24,T24*R24/S24,U24*Q24/S24))),"")</f>
        <v/>
      </c>
      <c r="AA24">
        <v>13</v>
      </c>
      <c r="AB24" t="str">
        <f>+intrim2!C27</f>
        <v/>
      </c>
      <c r="AC24" t="str">
        <f ca="1">+intrim2!D27</f>
        <v/>
      </c>
      <c r="AD24" t="str">
        <f t="shared" ca="1" si="3"/>
        <v/>
      </c>
      <c r="AE24" t="str">
        <f t="shared" si="2"/>
        <v/>
      </c>
      <c r="AF24" t="str">
        <f>IF(AB24="","",VLOOKUP(AD24,Intrim!U:AD,10,0))</f>
        <v/>
      </c>
    </row>
    <row r="25" spans="2:32" x14ac:dyDescent="0.25">
      <c r="B25" t="str">
        <f ca="1">IF(OR(intrim2!D28="Unallocated",intrim2!D28=""),"",intrim2!D28)</f>
        <v/>
      </c>
      <c r="C25" t="str">
        <f ca="1">IFERROR(VLOOKUP($F$3&amp;B25,Intrim!$U:$Z,6,0),"")</f>
        <v/>
      </c>
      <c r="J25" t="str">
        <f ca="1">IF(intrim2!O28="","",intrim2!O28)</f>
        <v/>
      </c>
      <c r="K25" t="str">
        <f ca="1">IFERROR(VLOOKUP(J25&amp;$F$3,Input!F:G,2,0),"")</f>
        <v/>
      </c>
      <c r="N25" t="e">
        <f>+intrim2!Y28</f>
        <v>#N/A</v>
      </c>
      <c r="O25" t="e">
        <f>+intrim2!Z28</f>
        <v>#N/A</v>
      </c>
      <c r="P25" t="e">
        <f>+intrim2!AA28</f>
        <v>#N/A</v>
      </c>
      <c r="Q25" t="e">
        <f ca="1">VLOOKUP(N25&amp;$P$3,Intrim!H:L,5,0)</f>
        <v>#N/A</v>
      </c>
      <c r="R25" t="e">
        <f>VLOOKUP(N25,Intrim!F:I,4,0)</f>
        <v>#N/A</v>
      </c>
      <c r="S25" t="e">
        <f>VLOOKUP(P25,Intrim!G:J,4,0)</f>
        <v>#N/A</v>
      </c>
      <c r="T25" t="e">
        <f>+intrim2!AB28</f>
        <v>#N/A</v>
      </c>
      <c r="U25" t="e">
        <f>VLOOKUP(P25,Intrim!$S$3:$AA$201,9,0)</f>
        <v>#N/A</v>
      </c>
      <c r="V25" t="e">
        <f>VLOOKUP(P25,Intrim!S:Y,7,0)</f>
        <v>#N/A</v>
      </c>
      <c r="W25" t="str">
        <f>intrim2!X28</f>
        <v/>
      </c>
      <c r="X25" t="str">
        <f t="shared" si="0"/>
        <v/>
      </c>
      <c r="Y25" s="35" t="str">
        <f>IFERROR(IF(O25="Unallocated",Q25-SUMIF($N$3:$N24,N25,$Y$3:Y24),IF(U25&gt;=V25,Q25*T25/U25,IF(U25&gt;=T25,T25*R25/S25,U25*Q25/S25))),"")</f>
        <v/>
      </c>
      <c r="AA25">
        <v>13</v>
      </c>
      <c r="AB25" t="str">
        <f>+intrim2!C28</f>
        <v/>
      </c>
      <c r="AC25" t="str">
        <f ca="1">+intrim2!D28</f>
        <v/>
      </c>
      <c r="AD25" t="str">
        <f t="shared" ca="1" si="3"/>
        <v/>
      </c>
      <c r="AE25" t="str">
        <f t="shared" si="2"/>
        <v/>
      </c>
      <c r="AF25" t="str">
        <f>IF(AB25="","",VLOOKUP(AD25,Intrim!U:AD,10,0))</f>
        <v/>
      </c>
    </row>
    <row r="26" spans="2:32" x14ac:dyDescent="0.25">
      <c r="B26" t="str">
        <f ca="1">IF(OR(intrim2!D29="Unallocated",intrim2!D29=""),"",intrim2!D29)</f>
        <v/>
      </c>
      <c r="C26" t="str">
        <f ca="1">IFERROR(VLOOKUP($F$3&amp;B26,Intrim!$U:$Z,6,0),"")</f>
        <v/>
      </c>
      <c r="J26" t="str">
        <f ca="1">IF(intrim2!O29="","",intrim2!O29)</f>
        <v/>
      </c>
      <c r="K26" t="str">
        <f ca="1">IFERROR(VLOOKUP(J26&amp;$F$3,Input!F:G,2,0),"")</f>
        <v/>
      </c>
      <c r="N26" t="e">
        <f>+intrim2!Y29</f>
        <v>#N/A</v>
      </c>
      <c r="O26" t="e">
        <f>+intrim2!Z29</f>
        <v>#N/A</v>
      </c>
      <c r="P26" t="e">
        <f>+intrim2!AA29</f>
        <v>#N/A</v>
      </c>
      <c r="Q26" t="e">
        <f ca="1">VLOOKUP(N26&amp;$P$3,Intrim!H:L,5,0)</f>
        <v>#N/A</v>
      </c>
      <c r="R26" t="e">
        <f>VLOOKUP(N26,Intrim!F:I,4,0)</f>
        <v>#N/A</v>
      </c>
      <c r="S26" t="e">
        <f>VLOOKUP(P26,Intrim!G:J,4,0)</f>
        <v>#N/A</v>
      </c>
      <c r="T26" t="e">
        <f>+intrim2!AB29</f>
        <v>#N/A</v>
      </c>
      <c r="U26" t="e">
        <f>VLOOKUP(P26,Intrim!$S$3:$AA$201,9,0)</f>
        <v>#N/A</v>
      </c>
      <c r="V26" t="e">
        <f>VLOOKUP(P26,Intrim!S:Y,7,0)</f>
        <v>#N/A</v>
      </c>
      <c r="W26" t="str">
        <f>intrim2!X29</f>
        <v/>
      </c>
      <c r="X26" t="str">
        <f t="shared" si="0"/>
        <v/>
      </c>
      <c r="Y26" s="35" t="str">
        <f>IFERROR(IF(O26="Unallocated",Q26-SUMIF($N$3:$N25,N26,$Y$3:Y25),IF(U26&gt;=V26,Q26*T26/U26,IF(U26&gt;=T26,T26*R26/S26,U26*Q26/S26))),"")</f>
        <v/>
      </c>
      <c r="AA26">
        <v>13</v>
      </c>
      <c r="AB26" t="str">
        <f>+intrim2!C29</f>
        <v/>
      </c>
      <c r="AC26" t="str">
        <f ca="1">+intrim2!D29</f>
        <v/>
      </c>
      <c r="AD26" t="str">
        <f t="shared" ca="1" si="3"/>
        <v/>
      </c>
      <c r="AE26" t="str">
        <f t="shared" si="2"/>
        <v/>
      </c>
      <c r="AF26" t="str">
        <f>IF(AB26="","",VLOOKUP(AD26,Intrim!U:AD,10,0))</f>
        <v/>
      </c>
    </row>
    <row r="27" spans="2:32" x14ac:dyDescent="0.25">
      <c r="B27" t="str">
        <f ca="1">IF(OR(intrim2!D30="Unallocated",intrim2!D30=""),"",intrim2!D30)</f>
        <v/>
      </c>
      <c r="C27" t="str">
        <f ca="1">IFERROR(VLOOKUP($F$3&amp;B27,Intrim!$U:$Z,6,0),"")</f>
        <v/>
      </c>
      <c r="J27" t="str">
        <f ca="1">IF(intrim2!O30="","",intrim2!O30)</f>
        <v/>
      </c>
      <c r="K27" t="str">
        <f ca="1">IFERROR(VLOOKUP(J27&amp;$F$3,Input!F:G,2,0),"")</f>
        <v/>
      </c>
      <c r="N27" t="e">
        <f>+intrim2!Y30</f>
        <v>#N/A</v>
      </c>
      <c r="O27" t="e">
        <f>+intrim2!Z30</f>
        <v>#N/A</v>
      </c>
      <c r="P27" t="e">
        <f>+intrim2!AA30</f>
        <v>#N/A</v>
      </c>
      <c r="Q27" t="e">
        <f ca="1">VLOOKUP(N27&amp;$P$3,Intrim!H:L,5,0)</f>
        <v>#N/A</v>
      </c>
      <c r="R27" t="e">
        <f>VLOOKUP(N27,Intrim!F:I,4,0)</f>
        <v>#N/A</v>
      </c>
      <c r="S27" t="e">
        <f>VLOOKUP(P27,Intrim!G:J,4,0)</f>
        <v>#N/A</v>
      </c>
      <c r="T27" t="e">
        <f>+intrim2!AB30</f>
        <v>#N/A</v>
      </c>
      <c r="U27" t="e">
        <f>VLOOKUP(P27,Intrim!$S$3:$AA$201,9,0)</f>
        <v>#N/A</v>
      </c>
      <c r="V27" t="e">
        <f>VLOOKUP(P27,Intrim!S:Y,7,0)</f>
        <v>#N/A</v>
      </c>
      <c r="W27" t="str">
        <f>intrim2!X30</f>
        <v/>
      </c>
      <c r="X27" t="str">
        <f t="shared" si="0"/>
        <v/>
      </c>
      <c r="Y27" s="35" t="str">
        <f>IFERROR(IF(O27="Unallocated",Q27-SUMIF($N$3:$N26,N27,$Y$3:Y26),IF(U27&gt;=V27,Q27*T27/U27,IF(U27&gt;=T27,T27*R27/S27,U27*Q27/S27))),"")</f>
        <v/>
      </c>
      <c r="AA27">
        <v>13</v>
      </c>
      <c r="AB27" t="str">
        <f>+intrim2!C30</f>
        <v/>
      </c>
      <c r="AC27" t="str">
        <f ca="1">+intrim2!D30</f>
        <v/>
      </c>
      <c r="AD27" t="str">
        <f t="shared" ca="1" si="3"/>
        <v/>
      </c>
      <c r="AE27" t="str">
        <f t="shared" si="2"/>
        <v/>
      </c>
      <c r="AF27" t="str">
        <f>IF(AB27="","",VLOOKUP(AD27,Intrim!U:AD,10,0))</f>
        <v/>
      </c>
    </row>
    <row r="28" spans="2:32" x14ac:dyDescent="0.25">
      <c r="B28" t="str">
        <f ca="1">IF(OR(intrim2!D31="Unallocated",intrim2!D31=""),"",intrim2!D31)</f>
        <v/>
      </c>
      <c r="C28" t="str">
        <f ca="1">IFERROR(VLOOKUP($F$3&amp;B28,Intrim!$U:$Z,6,0),"")</f>
        <v/>
      </c>
      <c r="J28" t="str">
        <f ca="1">IF(intrim2!O31="","",intrim2!O31)</f>
        <v/>
      </c>
      <c r="K28" t="str">
        <f ca="1">IFERROR(VLOOKUP(J28&amp;$F$3,Input!F:G,2,0),"")</f>
        <v/>
      </c>
      <c r="N28" t="e">
        <f>+intrim2!Y31</f>
        <v>#N/A</v>
      </c>
      <c r="O28" t="e">
        <f>+intrim2!Z31</f>
        <v>#N/A</v>
      </c>
      <c r="P28" t="e">
        <f>+intrim2!AA31</f>
        <v>#N/A</v>
      </c>
      <c r="Q28" t="e">
        <f ca="1">VLOOKUP(N28&amp;$P$3,Intrim!H:L,5,0)</f>
        <v>#N/A</v>
      </c>
      <c r="R28" t="e">
        <f>VLOOKUP(N28,Intrim!F:I,4,0)</f>
        <v>#N/A</v>
      </c>
      <c r="S28" t="e">
        <f>VLOOKUP(P28,Intrim!G:J,4,0)</f>
        <v>#N/A</v>
      </c>
      <c r="T28" t="e">
        <f>+intrim2!AB31</f>
        <v>#N/A</v>
      </c>
      <c r="U28" t="e">
        <f>VLOOKUP(P28,Intrim!$S$3:$AA$201,9,0)</f>
        <v>#N/A</v>
      </c>
      <c r="V28" t="e">
        <f>VLOOKUP(P28,Intrim!S:Y,7,0)</f>
        <v>#N/A</v>
      </c>
      <c r="W28" t="str">
        <f>intrim2!X31</f>
        <v/>
      </c>
      <c r="X28" t="str">
        <f t="shared" si="0"/>
        <v/>
      </c>
      <c r="Y28" s="35" t="str">
        <f>IFERROR(IF(O28="Unallocated",Q28-SUMIF($N$3:$N27,N28,$Y$3:Y27),IF(U28&gt;=V28,Q28*T28/U28,IF(U28&gt;=T28,T28*R28/S28,U28*Q28/S28))),"")</f>
        <v/>
      </c>
      <c r="AA28">
        <v>13</v>
      </c>
      <c r="AB28" t="str">
        <f>+intrim2!C31</f>
        <v/>
      </c>
      <c r="AC28" t="str">
        <f ca="1">+intrim2!D31</f>
        <v/>
      </c>
      <c r="AD28" t="str">
        <f t="shared" ca="1" si="3"/>
        <v/>
      </c>
      <c r="AE28" t="str">
        <f t="shared" si="2"/>
        <v/>
      </c>
      <c r="AF28" t="str">
        <f>IF(AB28="","",VLOOKUP(AD28,Intrim!U:AD,10,0))</f>
        <v/>
      </c>
    </row>
    <row r="29" spans="2:32" x14ac:dyDescent="0.25">
      <c r="B29" t="str">
        <f ca="1">IF(OR(intrim2!D32="Unallocated",intrim2!D32=""),"",intrim2!D32)</f>
        <v/>
      </c>
      <c r="C29" t="str">
        <f ca="1">IFERROR(VLOOKUP($F$3&amp;B29,Intrim!$U:$Z,6,0),"")</f>
        <v/>
      </c>
      <c r="J29" t="str">
        <f ca="1">IF(intrim2!O32="","",intrim2!O32)</f>
        <v/>
      </c>
      <c r="K29" t="str">
        <f ca="1">IFERROR(VLOOKUP(J29&amp;$F$3,Input!F:G,2,0),"")</f>
        <v/>
      </c>
      <c r="N29" t="e">
        <f>+intrim2!Y32</f>
        <v>#N/A</v>
      </c>
      <c r="O29" t="e">
        <f>+intrim2!Z32</f>
        <v>#N/A</v>
      </c>
      <c r="P29" t="e">
        <f>+intrim2!AA32</f>
        <v>#N/A</v>
      </c>
      <c r="Q29" t="e">
        <f ca="1">VLOOKUP(N29&amp;$P$3,Intrim!H:L,5,0)</f>
        <v>#N/A</v>
      </c>
      <c r="R29" t="e">
        <f>VLOOKUP(N29,Intrim!F:I,4,0)</f>
        <v>#N/A</v>
      </c>
      <c r="S29" t="e">
        <f>VLOOKUP(P29,Intrim!G:J,4,0)</f>
        <v>#N/A</v>
      </c>
      <c r="T29" t="e">
        <f>+intrim2!AB32</f>
        <v>#N/A</v>
      </c>
      <c r="U29" t="e">
        <f>VLOOKUP(P29,Intrim!$S$3:$AA$201,9,0)</f>
        <v>#N/A</v>
      </c>
      <c r="V29" t="e">
        <f>VLOOKUP(P29,Intrim!S:Y,7,0)</f>
        <v>#N/A</v>
      </c>
      <c r="W29" t="str">
        <f>intrim2!X32</f>
        <v/>
      </c>
      <c r="X29" t="str">
        <f t="shared" si="0"/>
        <v/>
      </c>
      <c r="Y29" s="35" t="str">
        <f>IFERROR(IF(O29="Unallocated",Q29-SUMIF($N$3:$N28,N29,$Y$3:Y28),IF(U29&gt;=V29,Q29*T29/U29,IF(U29&gt;=T29,T29*R29/S29,U29*Q29/S29))),"")</f>
        <v/>
      </c>
      <c r="AA29">
        <v>13</v>
      </c>
      <c r="AB29" t="str">
        <f>+intrim2!C32</f>
        <v/>
      </c>
      <c r="AC29" t="str">
        <f ca="1">+intrim2!D32</f>
        <v/>
      </c>
      <c r="AD29" t="str">
        <f t="shared" ca="1" si="3"/>
        <v/>
      </c>
      <c r="AE29" t="str">
        <f t="shared" si="2"/>
        <v/>
      </c>
      <c r="AF29" t="str">
        <f>IF(AB29="","",VLOOKUP(AD29,Intrim!U:AD,10,0))</f>
        <v/>
      </c>
    </row>
    <row r="30" spans="2:32" x14ac:dyDescent="0.25">
      <c r="B30" t="str">
        <f ca="1">IF(OR(intrim2!D33="Unallocated",intrim2!D33=""),"",intrim2!D33)</f>
        <v/>
      </c>
      <c r="C30" t="str">
        <f ca="1">IFERROR(VLOOKUP($F$3&amp;B30,Intrim!$U:$Z,6,0),"")</f>
        <v/>
      </c>
      <c r="J30" t="str">
        <f ca="1">IF(intrim2!O33="","",intrim2!O33)</f>
        <v/>
      </c>
      <c r="K30" t="str">
        <f ca="1">IFERROR(VLOOKUP(J30&amp;$F$3,Input!F:G,2,0),"")</f>
        <v/>
      </c>
      <c r="N30" t="e">
        <f>+intrim2!Y33</f>
        <v>#N/A</v>
      </c>
      <c r="O30" t="e">
        <f>+intrim2!Z33</f>
        <v>#N/A</v>
      </c>
      <c r="P30" t="e">
        <f>+intrim2!AA33</f>
        <v>#N/A</v>
      </c>
      <c r="Q30" t="e">
        <f ca="1">VLOOKUP(N30&amp;$P$3,Intrim!H:L,5,0)</f>
        <v>#N/A</v>
      </c>
      <c r="R30" t="e">
        <f>VLOOKUP(N30,Intrim!F:I,4,0)</f>
        <v>#N/A</v>
      </c>
      <c r="S30" t="e">
        <f>VLOOKUP(P30,Intrim!G:J,4,0)</f>
        <v>#N/A</v>
      </c>
      <c r="T30" t="e">
        <f>+intrim2!AB33</f>
        <v>#N/A</v>
      </c>
      <c r="U30" t="e">
        <f>VLOOKUP(P30,Intrim!$S$3:$AA$201,9,0)</f>
        <v>#N/A</v>
      </c>
      <c r="V30" t="e">
        <f>VLOOKUP(P30,Intrim!S:Y,7,0)</f>
        <v>#N/A</v>
      </c>
      <c r="W30" t="str">
        <f>intrim2!X33</f>
        <v/>
      </c>
      <c r="X30" t="str">
        <f t="shared" si="0"/>
        <v/>
      </c>
      <c r="Y30" s="35" t="str">
        <f>IFERROR(IF(O30="Unallocated",Q30-SUMIF($N$3:$N29,N30,$Y$3:Y29),IF(U30&gt;=V30,Q30*T30/U30,IF(U30&gt;=T30,T30*R30/S30,U30*Q30/S30))),"")</f>
        <v/>
      </c>
      <c r="AA30">
        <v>13</v>
      </c>
      <c r="AB30" t="str">
        <f>+intrim2!C33</f>
        <v/>
      </c>
      <c r="AC30" t="str">
        <f ca="1">+intrim2!D33</f>
        <v/>
      </c>
      <c r="AD30" t="str">
        <f t="shared" ca="1" si="3"/>
        <v/>
      </c>
      <c r="AE30" t="str">
        <f t="shared" si="2"/>
        <v/>
      </c>
      <c r="AF30" t="str">
        <f>IF(AB30="","",VLOOKUP(AD30,Intrim!U:AD,10,0))</f>
        <v/>
      </c>
    </row>
    <row r="31" spans="2:32" x14ac:dyDescent="0.25">
      <c r="B31" t="str">
        <f ca="1">IF(OR(intrim2!D34="Unallocated",intrim2!D34=""),"",intrim2!D34)</f>
        <v/>
      </c>
      <c r="C31" t="str">
        <f ca="1">IFERROR(VLOOKUP($F$3&amp;B31,Intrim!$U:$Z,6,0),"")</f>
        <v/>
      </c>
      <c r="J31" t="str">
        <f ca="1">IF(intrim2!O34="","",intrim2!O34)</f>
        <v/>
      </c>
      <c r="K31" t="str">
        <f ca="1">IFERROR(VLOOKUP(J31&amp;$F$3,Input!F:G,2,0),"")</f>
        <v/>
      </c>
      <c r="N31" t="e">
        <f>+intrim2!Y34</f>
        <v>#N/A</v>
      </c>
      <c r="O31" t="e">
        <f>+intrim2!Z34</f>
        <v>#N/A</v>
      </c>
      <c r="P31" t="e">
        <f>+intrim2!AA34</f>
        <v>#N/A</v>
      </c>
      <c r="Q31" t="e">
        <f ca="1">VLOOKUP(N31&amp;$P$3,Intrim!H:L,5,0)</f>
        <v>#N/A</v>
      </c>
      <c r="R31" t="e">
        <f>VLOOKUP(N31,Intrim!F:I,4,0)</f>
        <v>#N/A</v>
      </c>
      <c r="S31" t="e">
        <f>VLOOKUP(P31,Intrim!G:J,4,0)</f>
        <v>#N/A</v>
      </c>
      <c r="T31" t="e">
        <f>+intrim2!AB34</f>
        <v>#N/A</v>
      </c>
      <c r="U31" t="e">
        <f>VLOOKUP(P31,Intrim!$S$3:$AA$201,9,0)</f>
        <v>#N/A</v>
      </c>
      <c r="V31" t="e">
        <f>VLOOKUP(P31,Intrim!S:Y,7,0)</f>
        <v>#N/A</v>
      </c>
      <c r="W31" t="str">
        <f>intrim2!X34</f>
        <v/>
      </c>
      <c r="X31" t="str">
        <f t="shared" si="0"/>
        <v/>
      </c>
      <c r="Y31" s="35" t="str">
        <f>IFERROR(IF(O31="Unallocated",Q31-SUMIF($N$3:$N30,N31,$Y$3:Y30),IF(U31&gt;=V31,Q31*T31/U31,IF(U31&gt;=T31,T31*R31/S31,U31*Q31/S31))),"")</f>
        <v/>
      </c>
      <c r="AA31">
        <v>13</v>
      </c>
      <c r="AB31" t="str">
        <f>+intrim2!C34</f>
        <v/>
      </c>
      <c r="AC31" t="str">
        <f ca="1">+intrim2!D34</f>
        <v/>
      </c>
      <c r="AD31" t="str">
        <f t="shared" ca="1" si="3"/>
        <v/>
      </c>
      <c r="AE31" t="str">
        <f t="shared" si="2"/>
        <v/>
      </c>
      <c r="AF31" t="str">
        <f>IF(AB31="","",VLOOKUP(AD31,Intrim!U:AD,10,0))</f>
        <v/>
      </c>
    </row>
    <row r="32" spans="2:32" x14ac:dyDescent="0.25">
      <c r="B32" t="str">
        <f ca="1">IF(OR(intrim2!D35="Unallocated",intrim2!D35=""),"",intrim2!D35)</f>
        <v/>
      </c>
      <c r="C32" t="str">
        <f ca="1">IFERROR(VLOOKUP($F$3&amp;B32,Intrim!$U:$Z,6,0),"")</f>
        <v/>
      </c>
      <c r="J32" t="str">
        <f ca="1">IF(intrim2!O35="","",intrim2!O35)</f>
        <v/>
      </c>
      <c r="K32" t="str">
        <f ca="1">IFERROR(VLOOKUP(J32&amp;$F$3,Input!F:G,2,0),"")</f>
        <v/>
      </c>
      <c r="N32" t="e">
        <f>+intrim2!Y35</f>
        <v>#N/A</v>
      </c>
      <c r="O32" t="e">
        <f>+intrim2!Z35</f>
        <v>#N/A</v>
      </c>
      <c r="P32" t="e">
        <f>+intrim2!AA35</f>
        <v>#N/A</v>
      </c>
      <c r="Q32" t="e">
        <f ca="1">VLOOKUP(N32&amp;$P$3,Intrim!H:L,5,0)</f>
        <v>#N/A</v>
      </c>
      <c r="R32" t="e">
        <f>VLOOKUP(N32,Intrim!F:I,4,0)</f>
        <v>#N/A</v>
      </c>
      <c r="S32" t="e">
        <f>VLOOKUP(P32,Intrim!G:J,4,0)</f>
        <v>#N/A</v>
      </c>
      <c r="T32" t="e">
        <f>+intrim2!AB35</f>
        <v>#N/A</v>
      </c>
      <c r="U32" t="e">
        <f>VLOOKUP(P32,Intrim!$S$3:$AA$201,9,0)</f>
        <v>#N/A</v>
      </c>
      <c r="V32" t="e">
        <f>VLOOKUP(P32,Intrim!S:Y,7,0)</f>
        <v>#N/A</v>
      </c>
      <c r="W32" t="str">
        <f>intrim2!X35</f>
        <v/>
      </c>
      <c r="X32" t="str">
        <f t="shared" si="0"/>
        <v/>
      </c>
      <c r="Y32" s="35" t="str">
        <f>IFERROR(IF(O32="Unallocated",Q32-SUMIF($N$3:$N31,N32,$Y$3:Y31),IF(U32&gt;=V32,Q32*T32/U32,IF(U32&gt;=T32,T32*R32/S32,U32*Q32/S32))),"")</f>
        <v/>
      </c>
      <c r="AA32">
        <v>13</v>
      </c>
      <c r="AB32" t="str">
        <f>+intrim2!C35</f>
        <v/>
      </c>
      <c r="AC32" t="str">
        <f ca="1">+intrim2!D35</f>
        <v/>
      </c>
      <c r="AD32" t="str">
        <f t="shared" ca="1" si="3"/>
        <v/>
      </c>
      <c r="AE32" t="str">
        <f t="shared" si="2"/>
        <v/>
      </c>
      <c r="AF32" t="str">
        <f>IF(AB32="","",VLOOKUP(AD32,Intrim!U:AD,10,0))</f>
        <v/>
      </c>
    </row>
    <row r="33" spans="2:32" x14ac:dyDescent="0.25">
      <c r="B33" t="str">
        <f ca="1">IF(OR(intrim2!D36="Unallocated",intrim2!D36=""),"",intrim2!D36)</f>
        <v/>
      </c>
      <c r="C33" t="str">
        <f ca="1">IFERROR(VLOOKUP($F$3&amp;B33,Intrim!$U:$Z,6,0),"")</f>
        <v/>
      </c>
      <c r="J33" t="str">
        <f ca="1">IF(intrim2!O36="","",intrim2!O36)</f>
        <v/>
      </c>
      <c r="K33" t="str">
        <f ca="1">IFERROR(VLOOKUP(J33&amp;$F$3,Input!F:G,2,0),"")</f>
        <v/>
      </c>
      <c r="N33" t="e">
        <f>+intrim2!Y36</f>
        <v>#N/A</v>
      </c>
      <c r="O33" t="e">
        <f>+intrim2!Z36</f>
        <v>#N/A</v>
      </c>
      <c r="P33" t="e">
        <f>+intrim2!AA36</f>
        <v>#N/A</v>
      </c>
      <c r="Q33" t="e">
        <f ca="1">VLOOKUP(N33&amp;$P$3,Intrim!H:L,5,0)</f>
        <v>#N/A</v>
      </c>
      <c r="R33" t="e">
        <f>VLOOKUP(N33,Intrim!F:I,4,0)</f>
        <v>#N/A</v>
      </c>
      <c r="S33" t="e">
        <f>VLOOKUP(P33,Intrim!G:J,4,0)</f>
        <v>#N/A</v>
      </c>
      <c r="T33" t="e">
        <f>+intrim2!AB36</f>
        <v>#N/A</v>
      </c>
      <c r="U33" t="e">
        <f>VLOOKUP(P33,Intrim!$S$3:$AA$201,9,0)</f>
        <v>#N/A</v>
      </c>
      <c r="V33" t="e">
        <f>VLOOKUP(P33,Intrim!S:Y,7,0)</f>
        <v>#N/A</v>
      </c>
      <c r="W33" t="str">
        <f>intrim2!X36</f>
        <v/>
      </c>
      <c r="X33" t="str">
        <f t="shared" si="0"/>
        <v/>
      </c>
      <c r="Y33" s="35" t="str">
        <f>IFERROR(IF(O33="Unallocated",Q33-SUMIF($N$3:$N32,N33,$Y$3:Y32),IF(U33&gt;=V33,Q33*T33/U33,IF(U33&gt;=T33,T33*R33/S33,U33*Q33/S33))),"")</f>
        <v/>
      </c>
      <c r="AA33">
        <v>13</v>
      </c>
      <c r="AB33" t="str">
        <f>+intrim2!C36</f>
        <v/>
      </c>
      <c r="AC33" t="str">
        <f ca="1">+intrim2!D36</f>
        <v/>
      </c>
      <c r="AD33" t="str">
        <f t="shared" ca="1" si="3"/>
        <v/>
      </c>
      <c r="AE33" t="str">
        <f t="shared" si="2"/>
        <v/>
      </c>
      <c r="AF33" t="str">
        <f>IF(AB33="","",VLOOKUP(AD33,Intrim!U:AD,10,0))</f>
        <v/>
      </c>
    </row>
    <row r="34" spans="2:32" x14ac:dyDescent="0.25">
      <c r="B34" t="str">
        <f ca="1">IF(OR(intrim2!D37="Unallocated",intrim2!D37=""),"",intrim2!D37)</f>
        <v/>
      </c>
      <c r="C34" t="str">
        <f ca="1">IFERROR(VLOOKUP($F$3&amp;B34,Intrim!$U:$Z,6,0),"")</f>
        <v/>
      </c>
      <c r="J34" t="str">
        <f ca="1">IF(intrim2!O37="","",intrim2!O37)</f>
        <v/>
      </c>
      <c r="K34" t="str">
        <f ca="1">IFERROR(VLOOKUP(J34&amp;$F$3,Input!F:G,2,0),"")</f>
        <v/>
      </c>
      <c r="N34" t="e">
        <f>+intrim2!Y37</f>
        <v>#N/A</v>
      </c>
      <c r="O34" t="e">
        <f>+intrim2!Z37</f>
        <v>#N/A</v>
      </c>
      <c r="P34" t="e">
        <f>+intrim2!AA37</f>
        <v>#N/A</v>
      </c>
      <c r="Q34" t="e">
        <f ca="1">VLOOKUP(N34&amp;$P$3,Intrim!H:L,5,0)</f>
        <v>#N/A</v>
      </c>
      <c r="R34" t="e">
        <f>VLOOKUP(N34,Intrim!F:I,4,0)</f>
        <v>#N/A</v>
      </c>
      <c r="S34" t="e">
        <f>VLOOKUP(P34,Intrim!G:J,4,0)</f>
        <v>#N/A</v>
      </c>
      <c r="T34" t="e">
        <f>+intrim2!AB37</f>
        <v>#N/A</v>
      </c>
      <c r="U34" t="e">
        <f>VLOOKUP(P34,Intrim!$S$3:$AA$201,9,0)</f>
        <v>#N/A</v>
      </c>
      <c r="V34" t="e">
        <f>VLOOKUP(P34,Intrim!S:Y,7,0)</f>
        <v>#N/A</v>
      </c>
      <c r="W34" t="str">
        <f>intrim2!X37</f>
        <v/>
      </c>
      <c r="X34" t="str">
        <f t="shared" si="0"/>
        <v/>
      </c>
      <c r="Y34" s="35" t="str">
        <f>IFERROR(IF(O34="Unallocated",Q34-SUMIF($N$3:$N33,N34,$Y$3:Y33),IF(U34&gt;=V34,Q34*T34/U34,IF(U34&gt;=T34,T34*R34/S34,U34*Q34/S34))),"")</f>
        <v/>
      </c>
      <c r="AA34">
        <v>13</v>
      </c>
      <c r="AB34" t="str">
        <f>+intrim2!C37</f>
        <v/>
      </c>
      <c r="AC34" t="str">
        <f ca="1">+intrim2!D37</f>
        <v/>
      </c>
      <c r="AD34" t="str">
        <f t="shared" ca="1" si="3"/>
        <v/>
      </c>
      <c r="AE34" t="str">
        <f t="shared" si="2"/>
        <v/>
      </c>
      <c r="AF34" t="str">
        <f>IF(AB34="","",VLOOKUP(AD34,Intrim!U:AD,10,0))</f>
        <v/>
      </c>
    </row>
    <row r="35" spans="2:32" x14ac:dyDescent="0.25">
      <c r="B35" t="str">
        <f ca="1">IF(OR(intrim2!D38="Unallocated",intrim2!D38=""),"",intrim2!D38)</f>
        <v/>
      </c>
      <c r="C35" t="str">
        <f ca="1">IFERROR(VLOOKUP($F$3&amp;B35,Intrim!$U:$Z,6,0),"")</f>
        <v/>
      </c>
      <c r="J35" t="str">
        <f ca="1">IF(intrim2!O38="","",intrim2!O38)</f>
        <v/>
      </c>
      <c r="K35" t="str">
        <f ca="1">IFERROR(VLOOKUP(J35&amp;$F$3,Input!F:G,2,0),"")</f>
        <v/>
      </c>
      <c r="N35" t="e">
        <f>+intrim2!Y38</f>
        <v>#N/A</v>
      </c>
      <c r="O35" t="e">
        <f>+intrim2!Z38</f>
        <v>#N/A</v>
      </c>
      <c r="P35" t="e">
        <f>+intrim2!AA38</f>
        <v>#N/A</v>
      </c>
      <c r="Q35" t="e">
        <f ca="1">VLOOKUP(N35&amp;$P$3,Intrim!H:L,5,0)</f>
        <v>#N/A</v>
      </c>
      <c r="R35" t="e">
        <f>VLOOKUP(N35,Intrim!F:I,4,0)</f>
        <v>#N/A</v>
      </c>
      <c r="S35" t="e">
        <f>VLOOKUP(P35,Intrim!G:J,4,0)</f>
        <v>#N/A</v>
      </c>
      <c r="T35" t="e">
        <f>+intrim2!AB38</f>
        <v>#N/A</v>
      </c>
      <c r="U35" t="e">
        <f>VLOOKUP(P35,Intrim!$S$3:$AA$201,9,0)</f>
        <v>#N/A</v>
      </c>
      <c r="V35" t="e">
        <f>VLOOKUP(P35,Intrim!S:Y,7,0)</f>
        <v>#N/A</v>
      </c>
      <c r="W35" t="str">
        <f>intrim2!X38</f>
        <v/>
      </c>
      <c r="X35" t="str">
        <f t="shared" ref="X35:X66" si="4">IFERROR(N35&amp;" Tranche"&amp;W35&amp;" ("&amp;O35&amp;")","")</f>
        <v/>
      </c>
      <c r="Y35" s="35" t="str">
        <f>IFERROR(IF(O35="Unallocated",Q35-SUMIF($N$3:$N34,N35,$Y$3:Y34),IF(U35&gt;=V35,Q35*T35/U35,IF(U35&gt;=T35,T35*R35/S35,U35*Q35/S35))),"")</f>
        <v/>
      </c>
      <c r="AA35">
        <v>13</v>
      </c>
      <c r="AB35" t="str">
        <f>+intrim2!C38</f>
        <v/>
      </c>
      <c r="AC35" t="str">
        <f ca="1">+intrim2!D38</f>
        <v/>
      </c>
      <c r="AD35" t="str">
        <f t="shared" ca="1" si="3"/>
        <v/>
      </c>
      <c r="AE35" t="str">
        <f t="shared" si="2"/>
        <v/>
      </c>
      <c r="AF35" t="str">
        <f>IF(AB35="","",VLOOKUP(AD35,Intrim!U:AD,10,0))</f>
        <v/>
      </c>
    </row>
    <row r="36" spans="2:32" x14ac:dyDescent="0.25">
      <c r="B36" t="str">
        <f ca="1">IF(OR(intrim2!D39="Unallocated",intrim2!D39=""),"",intrim2!D39)</f>
        <v/>
      </c>
      <c r="C36" t="str">
        <f ca="1">IFERROR(VLOOKUP($F$3&amp;B36,Intrim!$U:$Z,6,0),"")</f>
        <v/>
      </c>
      <c r="J36" t="str">
        <f ca="1">IF(intrim2!O39="","",intrim2!O39)</f>
        <v/>
      </c>
      <c r="K36" t="str">
        <f ca="1">IFERROR(VLOOKUP(J36&amp;$F$3,Input!F:G,2,0),"")</f>
        <v/>
      </c>
      <c r="N36" t="e">
        <f>+intrim2!Y39</f>
        <v>#N/A</v>
      </c>
      <c r="O36" t="e">
        <f>+intrim2!Z39</f>
        <v>#N/A</v>
      </c>
      <c r="P36" t="e">
        <f>+intrim2!AA39</f>
        <v>#N/A</v>
      </c>
      <c r="Q36" t="e">
        <f ca="1">VLOOKUP(N36&amp;$P$3,Intrim!H:L,5,0)</f>
        <v>#N/A</v>
      </c>
      <c r="R36" t="e">
        <f>VLOOKUP(N36,Intrim!F:I,4,0)</f>
        <v>#N/A</v>
      </c>
      <c r="S36" t="e">
        <f>VLOOKUP(P36,Intrim!G:J,4,0)</f>
        <v>#N/A</v>
      </c>
      <c r="T36" t="e">
        <f>+intrim2!AB39</f>
        <v>#N/A</v>
      </c>
      <c r="U36" t="e">
        <f>VLOOKUP(P36,Intrim!$S$3:$AA$201,9,0)</f>
        <v>#N/A</v>
      </c>
      <c r="V36" t="e">
        <f>VLOOKUP(P36,Intrim!S:Y,7,0)</f>
        <v>#N/A</v>
      </c>
      <c r="W36" t="str">
        <f>intrim2!X39</f>
        <v/>
      </c>
      <c r="X36" t="str">
        <f t="shared" si="4"/>
        <v/>
      </c>
      <c r="Y36" s="35" t="str">
        <f>IFERROR(IF(O36="Unallocated",Q36-SUMIF($N$3:$N35,N36,$Y$3:Y35),IF(U36&gt;=V36,Q36*T36/U36,IF(U36&gt;=T36,T36*R36/S36,U36*Q36/S36))),"")</f>
        <v/>
      </c>
      <c r="AA36">
        <v>13</v>
      </c>
      <c r="AB36" t="str">
        <f>+intrim2!C39</f>
        <v/>
      </c>
      <c r="AC36" t="str">
        <f ca="1">+intrim2!D39</f>
        <v/>
      </c>
      <c r="AD36" t="str">
        <f t="shared" ca="1" si="3"/>
        <v/>
      </c>
      <c r="AE36" t="str">
        <f t="shared" si="2"/>
        <v/>
      </c>
      <c r="AF36" t="str">
        <f>IF(AB36="","",VLOOKUP(AD36,Intrim!U:AD,10,0))</f>
        <v/>
      </c>
    </row>
    <row r="37" spans="2:32" x14ac:dyDescent="0.25">
      <c r="B37" t="str">
        <f ca="1">IF(OR(intrim2!D40="Unallocated",intrim2!D40=""),"",intrim2!D40)</f>
        <v/>
      </c>
      <c r="C37" t="str">
        <f ca="1">IFERROR(VLOOKUP($F$3&amp;B37,Intrim!$U:$Z,6,0),"")</f>
        <v/>
      </c>
      <c r="J37" t="str">
        <f ca="1">IF(intrim2!O40="","",intrim2!O40)</f>
        <v/>
      </c>
      <c r="K37" t="str">
        <f ca="1">IFERROR(VLOOKUP(J37&amp;$F$3,Input!F:G,2,0),"")</f>
        <v/>
      </c>
      <c r="N37" t="e">
        <f>+intrim2!Y40</f>
        <v>#N/A</v>
      </c>
      <c r="O37" t="e">
        <f>+intrim2!Z40</f>
        <v>#N/A</v>
      </c>
      <c r="P37" t="e">
        <f>+intrim2!AA40</f>
        <v>#N/A</v>
      </c>
      <c r="Q37" t="e">
        <f ca="1">VLOOKUP(N37&amp;$P$3,Intrim!H:L,5,0)</f>
        <v>#N/A</v>
      </c>
      <c r="R37" t="e">
        <f>VLOOKUP(N37,Intrim!F:I,4,0)</f>
        <v>#N/A</v>
      </c>
      <c r="S37" t="e">
        <f>VLOOKUP(P37,Intrim!G:J,4,0)</f>
        <v>#N/A</v>
      </c>
      <c r="T37" t="e">
        <f>+intrim2!AB40</f>
        <v>#N/A</v>
      </c>
      <c r="U37" t="e">
        <f>VLOOKUP(P37,Intrim!$S$3:$AA$201,9,0)</f>
        <v>#N/A</v>
      </c>
      <c r="V37" t="e">
        <f>VLOOKUP(P37,Intrim!S:Y,7,0)</f>
        <v>#N/A</v>
      </c>
      <c r="W37" t="str">
        <f>intrim2!X40</f>
        <v/>
      </c>
      <c r="X37" t="str">
        <f t="shared" si="4"/>
        <v/>
      </c>
      <c r="Y37" s="35" t="str">
        <f>IFERROR(IF(O37="Unallocated",Q37-SUMIF($N$3:$N36,N37,$Y$3:Y36),IF(U37&gt;=V37,Q37*T37/U37,IF(U37&gt;=T37,T37*R37/S37,U37*Q37/S37))),"")</f>
        <v/>
      </c>
      <c r="AA37">
        <v>13</v>
      </c>
      <c r="AB37" t="str">
        <f>+intrim2!C40</f>
        <v/>
      </c>
      <c r="AC37" t="str">
        <f ca="1">+intrim2!D40</f>
        <v/>
      </c>
      <c r="AD37" t="str">
        <f t="shared" ca="1" si="3"/>
        <v/>
      </c>
      <c r="AE37" t="str">
        <f t="shared" si="2"/>
        <v/>
      </c>
      <c r="AF37" t="str">
        <f>IF(AB37="","",VLOOKUP(AD37,Intrim!U:AD,10,0))</f>
        <v/>
      </c>
    </row>
    <row r="38" spans="2:32" x14ac:dyDescent="0.25">
      <c r="B38" t="str">
        <f ca="1">IF(OR(intrim2!D41="Unallocated",intrim2!D41=""),"",intrim2!D41)</f>
        <v/>
      </c>
      <c r="C38" t="str">
        <f ca="1">IFERROR(VLOOKUP($F$3&amp;B38,Intrim!$U:$Z,6,0),"")</f>
        <v/>
      </c>
      <c r="J38" t="str">
        <f ca="1">IF(intrim2!O41="","",intrim2!O41)</f>
        <v/>
      </c>
      <c r="K38" t="str">
        <f ca="1">IFERROR(VLOOKUP(J38&amp;$F$3,Input!F:G,2,0),"")</f>
        <v/>
      </c>
      <c r="N38" t="e">
        <f>+intrim2!Y41</f>
        <v>#N/A</v>
      </c>
      <c r="O38" t="e">
        <f>+intrim2!Z41</f>
        <v>#N/A</v>
      </c>
      <c r="P38" t="e">
        <f>+intrim2!AA41</f>
        <v>#N/A</v>
      </c>
      <c r="Q38" t="e">
        <f ca="1">VLOOKUP(N38&amp;$P$3,Intrim!H:L,5,0)</f>
        <v>#N/A</v>
      </c>
      <c r="R38" t="e">
        <f>VLOOKUP(N38,Intrim!F:I,4,0)</f>
        <v>#N/A</v>
      </c>
      <c r="S38" t="e">
        <f>VLOOKUP(P38,Intrim!G:J,4,0)</f>
        <v>#N/A</v>
      </c>
      <c r="T38" t="e">
        <f>+intrim2!AB41</f>
        <v>#N/A</v>
      </c>
      <c r="U38" t="e">
        <f>VLOOKUP(P38,Intrim!$S$3:$AA$201,9,0)</f>
        <v>#N/A</v>
      </c>
      <c r="V38" t="e">
        <f>VLOOKUP(P38,Intrim!S:Y,7,0)</f>
        <v>#N/A</v>
      </c>
      <c r="W38" t="str">
        <f>intrim2!X41</f>
        <v/>
      </c>
      <c r="X38" t="str">
        <f t="shared" si="4"/>
        <v/>
      </c>
      <c r="Y38" s="35" t="str">
        <f>IFERROR(IF(O38="Unallocated",Q38-SUMIF($N$3:$N37,N38,$Y$3:Y37),IF(U38&gt;=V38,Q38*T38/U38,IF(U38&gt;=T38,T38*R38/S38,U38*Q38/S38))),"")</f>
        <v/>
      </c>
      <c r="AA38">
        <v>13</v>
      </c>
      <c r="AB38" t="str">
        <f>+intrim2!C41</f>
        <v/>
      </c>
      <c r="AC38" t="str">
        <f ca="1">+intrim2!D41</f>
        <v/>
      </c>
      <c r="AD38" t="str">
        <f t="shared" ca="1" si="3"/>
        <v/>
      </c>
      <c r="AE38" t="str">
        <f t="shared" si="2"/>
        <v/>
      </c>
      <c r="AF38" t="str">
        <f>IF(AB38="","",VLOOKUP(AD38,Intrim!U:AD,10,0))</f>
        <v/>
      </c>
    </row>
    <row r="39" spans="2:32" x14ac:dyDescent="0.25">
      <c r="B39" t="str">
        <f ca="1">IF(OR(intrim2!D42="Unallocated",intrim2!D42=""),"",intrim2!D42)</f>
        <v/>
      </c>
      <c r="C39" t="str">
        <f ca="1">IFERROR(VLOOKUP($F$3&amp;B39,Intrim!$U:$Z,6,0),"")</f>
        <v/>
      </c>
      <c r="J39" t="str">
        <f ca="1">IF(intrim2!O42="","",intrim2!O42)</f>
        <v/>
      </c>
      <c r="K39" t="str">
        <f ca="1">IFERROR(VLOOKUP(J39&amp;$F$3,Input!F:G,2,0),"")</f>
        <v/>
      </c>
      <c r="N39" t="e">
        <f>+intrim2!Y42</f>
        <v>#N/A</v>
      </c>
      <c r="O39" t="e">
        <f>+intrim2!Z42</f>
        <v>#N/A</v>
      </c>
      <c r="P39" t="e">
        <f>+intrim2!AA42</f>
        <v>#N/A</v>
      </c>
      <c r="Q39" t="e">
        <f ca="1">VLOOKUP(N39&amp;$P$3,Intrim!H:L,5,0)</f>
        <v>#N/A</v>
      </c>
      <c r="R39" t="e">
        <f>VLOOKUP(N39,Intrim!F:I,4,0)</f>
        <v>#N/A</v>
      </c>
      <c r="S39" t="e">
        <f>VLOOKUP(P39,Intrim!G:J,4,0)</f>
        <v>#N/A</v>
      </c>
      <c r="T39" t="e">
        <f>+intrim2!AB42</f>
        <v>#N/A</v>
      </c>
      <c r="U39" t="e">
        <f>VLOOKUP(P39,Intrim!$S$3:$AA$201,9,0)</f>
        <v>#N/A</v>
      </c>
      <c r="V39" t="e">
        <f>VLOOKUP(P39,Intrim!S:Y,7,0)</f>
        <v>#N/A</v>
      </c>
      <c r="W39" t="str">
        <f>intrim2!X42</f>
        <v/>
      </c>
      <c r="X39" t="str">
        <f t="shared" si="4"/>
        <v/>
      </c>
      <c r="Y39" s="35" t="str">
        <f>IFERROR(IF(O39="Unallocated",Q39-SUMIF($N$3:$N38,N39,$Y$3:Y38),IF(U39&gt;=V39,Q39*T39/U39,IF(U39&gt;=T39,T39*R39/S39,U39*Q39/S39))),"")</f>
        <v/>
      </c>
      <c r="AA39">
        <v>13</v>
      </c>
      <c r="AB39" t="str">
        <f>+intrim2!C42</f>
        <v/>
      </c>
      <c r="AC39" t="str">
        <f ca="1">+intrim2!D42</f>
        <v/>
      </c>
      <c r="AD39" t="str">
        <f t="shared" ca="1" si="3"/>
        <v/>
      </c>
      <c r="AE39" t="str">
        <f t="shared" si="2"/>
        <v/>
      </c>
      <c r="AF39" t="str">
        <f>IF(AB39="","",VLOOKUP(AD39,Intrim!U:AD,10,0))</f>
        <v/>
      </c>
    </row>
    <row r="40" spans="2:32" x14ac:dyDescent="0.25">
      <c r="B40" t="str">
        <f ca="1">IF(OR(intrim2!D43="Unallocated",intrim2!D43=""),"",intrim2!D43)</f>
        <v/>
      </c>
      <c r="C40" t="str">
        <f ca="1">IFERROR(VLOOKUP($F$3&amp;B40,Intrim!$U:$Z,6,0),"")</f>
        <v/>
      </c>
      <c r="J40" t="str">
        <f ca="1">IF(intrim2!O43="","",intrim2!O43)</f>
        <v/>
      </c>
      <c r="K40" t="str">
        <f ca="1">IFERROR(VLOOKUP(J40&amp;$F$3,Input!F:G,2,0),"")</f>
        <v/>
      </c>
      <c r="N40" t="e">
        <f>+intrim2!Y43</f>
        <v>#N/A</v>
      </c>
      <c r="O40" t="e">
        <f>+intrim2!Z43</f>
        <v>#N/A</v>
      </c>
      <c r="P40" t="e">
        <f>+intrim2!AA43</f>
        <v>#N/A</v>
      </c>
      <c r="Q40" t="e">
        <f ca="1">VLOOKUP(N40&amp;$P$3,Intrim!H:L,5,0)</f>
        <v>#N/A</v>
      </c>
      <c r="R40" t="e">
        <f>VLOOKUP(N40,Intrim!F:I,4,0)</f>
        <v>#N/A</v>
      </c>
      <c r="S40" t="e">
        <f>VLOOKUP(P40,Intrim!G:J,4,0)</f>
        <v>#N/A</v>
      </c>
      <c r="T40" t="e">
        <f>+intrim2!AB43</f>
        <v>#N/A</v>
      </c>
      <c r="U40" t="e">
        <f>VLOOKUP(P40,Intrim!$S$3:$AA$201,9,0)</f>
        <v>#N/A</v>
      </c>
      <c r="V40" t="e">
        <f>VLOOKUP(P40,Intrim!S:Y,7,0)</f>
        <v>#N/A</v>
      </c>
      <c r="W40" t="str">
        <f>intrim2!X43</f>
        <v/>
      </c>
      <c r="X40" t="str">
        <f t="shared" si="4"/>
        <v/>
      </c>
      <c r="Y40" s="35" t="str">
        <f>IFERROR(IF(O40="Unallocated",Q40-SUMIF($N$3:$N39,N40,$Y$3:Y39),IF(U40&gt;=V40,Q40*T40/U40,IF(U40&gt;=T40,T40*R40/S40,U40*Q40/S40))),"")</f>
        <v/>
      </c>
      <c r="AA40">
        <v>13</v>
      </c>
      <c r="AB40" t="str">
        <f>+intrim2!C43</f>
        <v/>
      </c>
      <c r="AC40" t="str">
        <f ca="1">+intrim2!D43</f>
        <v/>
      </c>
      <c r="AD40" t="str">
        <f t="shared" ca="1" si="3"/>
        <v/>
      </c>
      <c r="AE40" t="str">
        <f t="shared" si="2"/>
        <v/>
      </c>
      <c r="AF40" t="str">
        <f>IF(AB40="","",VLOOKUP(AD40,Intrim!U:AD,10,0))</f>
        <v/>
      </c>
    </row>
    <row r="41" spans="2:32" x14ac:dyDescent="0.25">
      <c r="B41" t="str">
        <f ca="1">IF(OR(intrim2!D44="Unallocated",intrim2!D44=""),"",intrim2!D44)</f>
        <v/>
      </c>
      <c r="C41" t="str">
        <f ca="1">IFERROR(VLOOKUP($F$3&amp;B41,Intrim!$U:$Z,6,0),"")</f>
        <v/>
      </c>
      <c r="J41" t="str">
        <f ca="1">IF(intrim2!O44="","",intrim2!O44)</f>
        <v/>
      </c>
      <c r="K41" t="str">
        <f ca="1">IFERROR(VLOOKUP(J41&amp;$F$3,Input!F:G,2,0),"")</f>
        <v/>
      </c>
      <c r="N41" t="e">
        <f>+intrim2!Y44</f>
        <v>#N/A</v>
      </c>
      <c r="O41" t="e">
        <f>+intrim2!Z44</f>
        <v>#N/A</v>
      </c>
      <c r="P41" t="e">
        <f>+intrim2!AA44</f>
        <v>#N/A</v>
      </c>
      <c r="Q41" t="e">
        <f ca="1">VLOOKUP(N41&amp;$P$3,Intrim!H:L,5,0)</f>
        <v>#N/A</v>
      </c>
      <c r="R41" t="e">
        <f>VLOOKUP(N41,Intrim!F:I,4,0)</f>
        <v>#N/A</v>
      </c>
      <c r="S41" t="e">
        <f>VLOOKUP(P41,Intrim!G:J,4,0)</f>
        <v>#N/A</v>
      </c>
      <c r="T41" t="e">
        <f>+intrim2!AB44</f>
        <v>#N/A</v>
      </c>
      <c r="U41" t="e">
        <f>VLOOKUP(P41,Intrim!$S$3:$AA$201,9,0)</f>
        <v>#N/A</v>
      </c>
      <c r="V41" t="e">
        <f>VLOOKUP(P41,Intrim!S:Y,7,0)</f>
        <v>#N/A</v>
      </c>
      <c r="W41" t="str">
        <f>intrim2!X44</f>
        <v/>
      </c>
      <c r="X41" t="str">
        <f t="shared" si="4"/>
        <v/>
      </c>
      <c r="Y41" s="35" t="str">
        <f>IFERROR(IF(O41="Unallocated",Q41-SUMIF($N$3:$N40,N41,$Y$3:Y40),IF(U41&gt;=V41,Q41*T41/U41,IF(U41&gt;=T41,T41*R41/S41,U41*Q41/S41))),"")</f>
        <v/>
      </c>
      <c r="AA41">
        <v>13</v>
      </c>
      <c r="AB41" t="str">
        <f>+intrim2!C44</f>
        <v/>
      </c>
      <c r="AC41" t="str">
        <f ca="1">+intrim2!D44</f>
        <v/>
      </c>
      <c r="AD41" t="str">
        <f t="shared" ca="1" si="3"/>
        <v/>
      </c>
      <c r="AE41" t="str">
        <f t="shared" si="2"/>
        <v/>
      </c>
      <c r="AF41" t="str">
        <f>IF(AB41="","",VLOOKUP(AD41,Intrim!U:AD,10,0))</f>
        <v/>
      </c>
    </row>
    <row r="42" spans="2:32" x14ac:dyDescent="0.25">
      <c r="B42" t="str">
        <f ca="1">IF(OR(intrim2!D45="Unallocated",intrim2!D45=""),"",intrim2!D45)</f>
        <v/>
      </c>
      <c r="C42" t="str">
        <f ca="1">IFERROR(VLOOKUP($F$3&amp;B42,Intrim!$U:$Z,6,0),"")</f>
        <v/>
      </c>
      <c r="J42" t="str">
        <f ca="1">IF(intrim2!O45="","",intrim2!O45)</f>
        <v/>
      </c>
      <c r="K42" t="str">
        <f ca="1">IFERROR(VLOOKUP(J42&amp;$F$3,Input!F:G,2,0),"")</f>
        <v/>
      </c>
      <c r="N42" t="e">
        <f>+intrim2!Y45</f>
        <v>#N/A</v>
      </c>
      <c r="O42" t="e">
        <f>+intrim2!Z45</f>
        <v>#N/A</v>
      </c>
      <c r="P42" t="e">
        <f>+intrim2!AA45</f>
        <v>#N/A</v>
      </c>
      <c r="Q42" t="e">
        <f ca="1">VLOOKUP(N42&amp;$P$3,Intrim!H:L,5,0)</f>
        <v>#N/A</v>
      </c>
      <c r="R42" t="e">
        <f>VLOOKUP(N42,Intrim!F:I,4,0)</f>
        <v>#N/A</v>
      </c>
      <c r="S42" t="e">
        <f>VLOOKUP(P42,Intrim!G:J,4,0)</f>
        <v>#N/A</v>
      </c>
      <c r="T42" t="e">
        <f>+intrim2!AB45</f>
        <v>#N/A</v>
      </c>
      <c r="U42" t="e">
        <f>VLOOKUP(P42,Intrim!$S$3:$AA$201,9,0)</f>
        <v>#N/A</v>
      </c>
      <c r="V42" t="e">
        <f>VLOOKUP(P42,Intrim!S:Y,7,0)</f>
        <v>#N/A</v>
      </c>
      <c r="W42" t="str">
        <f>intrim2!X45</f>
        <v/>
      </c>
      <c r="X42" t="str">
        <f t="shared" si="4"/>
        <v/>
      </c>
      <c r="Y42" s="35" t="str">
        <f>IFERROR(IF(O42="Unallocated",Q42-SUMIF($N$3:$N41,N42,$Y$3:Y41),IF(U42&gt;=V42,Q42*T42/U42,IF(U42&gt;=T42,T42*R42/S42,U42*Q42/S42))),"")</f>
        <v/>
      </c>
      <c r="AA42">
        <v>13</v>
      </c>
      <c r="AB42" t="str">
        <f>+intrim2!C45</f>
        <v/>
      </c>
      <c r="AC42" t="str">
        <f ca="1">+intrim2!D45</f>
        <v/>
      </c>
      <c r="AD42" t="str">
        <f t="shared" ca="1" si="3"/>
        <v/>
      </c>
      <c r="AE42" t="str">
        <f t="shared" si="2"/>
        <v/>
      </c>
      <c r="AF42" t="str">
        <f>IF(AB42="","",VLOOKUP(AD42,Intrim!U:AD,10,0))</f>
        <v/>
      </c>
    </row>
    <row r="43" spans="2:32" x14ac:dyDescent="0.25">
      <c r="B43" t="str">
        <f ca="1">IF(OR(intrim2!D46="Unallocated",intrim2!D46=""),"",intrim2!D46)</f>
        <v/>
      </c>
      <c r="C43" t="str">
        <f ca="1">IFERROR(VLOOKUP($F$3&amp;B43,Intrim!$U:$Z,6,0),"")</f>
        <v/>
      </c>
      <c r="J43" t="str">
        <f ca="1">IF(intrim2!O46="","",intrim2!O46)</f>
        <v/>
      </c>
      <c r="K43" t="str">
        <f ca="1">IFERROR(VLOOKUP(J43&amp;$F$3,Input!F:G,2,0),"")</f>
        <v/>
      </c>
      <c r="N43" t="e">
        <f>+intrim2!Y46</f>
        <v>#N/A</v>
      </c>
      <c r="O43" t="e">
        <f>+intrim2!Z46</f>
        <v>#N/A</v>
      </c>
      <c r="P43" t="e">
        <f>+intrim2!AA46</f>
        <v>#N/A</v>
      </c>
      <c r="Q43" t="e">
        <f ca="1">VLOOKUP(N43&amp;$P$3,Intrim!H:L,5,0)</f>
        <v>#N/A</v>
      </c>
      <c r="R43" t="e">
        <f>VLOOKUP(N43,Intrim!F:I,4,0)</f>
        <v>#N/A</v>
      </c>
      <c r="S43" t="e">
        <f>VLOOKUP(P43,Intrim!G:J,4,0)</f>
        <v>#N/A</v>
      </c>
      <c r="T43" t="e">
        <f>+intrim2!AB46</f>
        <v>#N/A</v>
      </c>
      <c r="U43" t="e">
        <f>VLOOKUP(P43,Intrim!$S$3:$AA$201,9,0)</f>
        <v>#N/A</v>
      </c>
      <c r="V43" t="e">
        <f>VLOOKUP(P43,Intrim!S:Y,7,0)</f>
        <v>#N/A</v>
      </c>
      <c r="W43" t="str">
        <f>intrim2!X46</f>
        <v/>
      </c>
      <c r="X43" t="str">
        <f t="shared" si="4"/>
        <v/>
      </c>
      <c r="Y43" s="35" t="str">
        <f>IFERROR(IF(O43="Unallocated",Q43-SUMIF($N$3:$N42,N43,$Y$3:Y42),IF(U43&gt;=V43,Q43*T43/U43,IF(U43&gt;=T43,T43*R43/S43,U43*Q43/S43))),"")</f>
        <v/>
      </c>
      <c r="AA43">
        <v>13</v>
      </c>
      <c r="AB43" t="str">
        <f>+intrim2!C46</f>
        <v/>
      </c>
      <c r="AC43" t="str">
        <f ca="1">+intrim2!D46</f>
        <v/>
      </c>
      <c r="AD43" t="str">
        <f t="shared" ca="1" si="3"/>
        <v/>
      </c>
      <c r="AE43" t="str">
        <f t="shared" si="2"/>
        <v/>
      </c>
      <c r="AF43" t="str">
        <f>IF(AB43="","",VLOOKUP(AD43,Intrim!U:AD,10,0))</f>
        <v/>
      </c>
    </row>
    <row r="44" spans="2:32" x14ac:dyDescent="0.25">
      <c r="B44" t="str">
        <f ca="1">IF(OR(intrim2!D47="Unallocated",intrim2!D47=""),"",intrim2!D47)</f>
        <v/>
      </c>
      <c r="C44" t="str">
        <f ca="1">IFERROR(VLOOKUP($F$3&amp;B44,Intrim!$U:$Z,6,0),"")</f>
        <v/>
      </c>
      <c r="J44" t="str">
        <f ca="1">IF(intrim2!O47="","",intrim2!O47)</f>
        <v/>
      </c>
      <c r="K44" t="str">
        <f ca="1">IFERROR(VLOOKUP(J44&amp;$F$3,Input!F:G,2,0),"")</f>
        <v/>
      </c>
      <c r="N44" t="e">
        <f>+intrim2!Y47</f>
        <v>#N/A</v>
      </c>
      <c r="O44" t="e">
        <f>+intrim2!Z47</f>
        <v>#N/A</v>
      </c>
      <c r="P44" t="e">
        <f>+intrim2!AA47</f>
        <v>#N/A</v>
      </c>
      <c r="Q44" t="e">
        <f ca="1">VLOOKUP(N44&amp;$P$3,Intrim!H:L,5,0)</f>
        <v>#N/A</v>
      </c>
      <c r="R44" t="e">
        <f>VLOOKUP(N44,Intrim!F:I,4,0)</f>
        <v>#N/A</v>
      </c>
      <c r="S44" t="e">
        <f>VLOOKUP(P44,Intrim!G:J,4,0)</f>
        <v>#N/A</v>
      </c>
      <c r="T44" t="e">
        <f>+intrim2!AB47</f>
        <v>#N/A</v>
      </c>
      <c r="U44" t="e">
        <f>VLOOKUP(P44,Intrim!$S$3:$AA$201,9,0)</f>
        <v>#N/A</v>
      </c>
      <c r="V44" t="e">
        <f>VLOOKUP(P44,Intrim!S:Y,7,0)</f>
        <v>#N/A</v>
      </c>
      <c r="W44" t="str">
        <f>intrim2!X47</f>
        <v/>
      </c>
      <c r="X44" t="str">
        <f t="shared" si="4"/>
        <v/>
      </c>
      <c r="Y44" s="35" t="str">
        <f>IFERROR(IF(O44="Unallocated",Q44-SUMIF($N$3:$N43,N44,$Y$3:Y43),IF(U44&gt;=V44,Q44*T44/U44,IF(U44&gt;=T44,T44*R44/S44,U44*Q44/S44))),"")</f>
        <v/>
      </c>
      <c r="AA44">
        <v>13</v>
      </c>
      <c r="AB44" t="str">
        <f>+intrim2!C47</f>
        <v/>
      </c>
      <c r="AC44" t="str">
        <f ca="1">+intrim2!D47</f>
        <v/>
      </c>
      <c r="AD44" t="str">
        <f t="shared" ca="1" si="3"/>
        <v/>
      </c>
      <c r="AE44" t="str">
        <f t="shared" si="2"/>
        <v/>
      </c>
      <c r="AF44" t="str">
        <f>IF(AB44="","",VLOOKUP(AD44,Intrim!U:AD,10,0))</f>
        <v/>
      </c>
    </row>
    <row r="45" spans="2:32" x14ac:dyDescent="0.25">
      <c r="B45" t="str">
        <f ca="1">IF(OR(intrim2!D48="Unallocated",intrim2!D48=""),"",intrim2!D48)</f>
        <v/>
      </c>
      <c r="C45" t="str">
        <f ca="1">IFERROR(VLOOKUP($F$3&amp;B45,Intrim!$U:$Z,6,0),"")</f>
        <v/>
      </c>
      <c r="J45" t="str">
        <f ca="1">IF(intrim2!O48="","",intrim2!O48)</f>
        <v/>
      </c>
      <c r="K45" t="str">
        <f ca="1">IFERROR(VLOOKUP(J45&amp;$F$3,Input!F:G,2,0),"")</f>
        <v/>
      </c>
      <c r="N45" t="e">
        <f>+intrim2!Y48</f>
        <v>#N/A</v>
      </c>
      <c r="O45" t="e">
        <f>+intrim2!Z48</f>
        <v>#N/A</v>
      </c>
      <c r="P45" t="e">
        <f>+intrim2!AA48</f>
        <v>#N/A</v>
      </c>
      <c r="Q45" t="e">
        <f ca="1">VLOOKUP(N45&amp;$P$3,Intrim!H:L,5,0)</f>
        <v>#N/A</v>
      </c>
      <c r="R45" t="e">
        <f>VLOOKUP(N45,Intrim!F:I,4,0)</f>
        <v>#N/A</v>
      </c>
      <c r="S45" t="e">
        <f>VLOOKUP(P45,Intrim!G:J,4,0)</f>
        <v>#N/A</v>
      </c>
      <c r="T45" t="e">
        <f>+intrim2!AB48</f>
        <v>#N/A</v>
      </c>
      <c r="U45" t="e">
        <f>VLOOKUP(P45,Intrim!$S$3:$AA$201,9,0)</f>
        <v>#N/A</v>
      </c>
      <c r="V45" t="e">
        <f>VLOOKUP(P45,Intrim!S:Y,7,0)</f>
        <v>#N/A</v>
      </c>
      <c r="W45" t="str">
        <f>intrim2!X48</f>
        <v/>
      </c>
      <c r="X45" t="str">
        <f t="shared" si="4"/>
        <v/>
      </c>
      <c r="Y45" s="35" t="str">
        <f>IFERROR(IF(O45="Unallocated",Q45-SUMIF($N$3:$N44,N45,$Y$3:Y44),IF(U45&gt;=V45,Q45*T45/U45,IF(U45&gt;=T45,T45*R45/S45,U45*Q45/S45))),"")</f>
        <v/>
      </c>
      <c r="AA45">
        <v>13</v>
      </c>
      <c r="AB45" t="str">
        <f>+intrim2!C48</f>
        <v/>
      </c>
      <c r="AC45" t="str">
        <f ca="1">+intrim2!D48</f>
        <v/>
      </c>
      <c r="AD45" t="str">
        <f t="shared" ca="1" si="3"/>
        <v/>
      </c>
      <c r="AE45" t="str">
        <f t="shared" si="2"/>
        <v/>
      </c>
      <c r="AF45" t="str">
        <f>IF(AB45="","",VLOOKUP(AD45,Intrim!U:AD,10,0))</f>
        <v/>
      </c>
    </row>
    <row r="46" spans="2:32" x14ac:dyDescent="0.25">
      <c r="B46" t="str">
        <f ca="1">IF(OR(intrim2!D49="Unallocated",intrim2!D49=""),"",intrim2!D49)</f>
        <v/>
      </c>
      <c r="C46" t="str">
        <f ca="1">IFERROR(VLOOKUP($F$3&amp;B46,Intrim!$U:$Z,6,0),"")</f>
        <v/>
      </c>
      <c r="J46" t="str">
        <f ca="1">IF(intrim2!O49="","",intrim2!O49)</f>
        <v/>
      </c>
      <c r="K46" t="str">
        <f ca="1">IFERROR(VLOOKUP(J46&amp;$F$3,Input!F:G,2,0),"")</f>
        <v/>
      </c>
      <c r="N46" t="e">
        <f>+intrim2!Y49</f>
        <v>#N/A</v>
      </c>
      <c r="O46" t="e">
        <f>+intrim2!Z49</f>
        <v>#N/A</v>
      </c>
      <c r="P46" t="e">
        <f>+intrim2!AA49</f>
        <v>#N/A</v>
      </c>
      <c r="Q46" t="e">
        <f ca="1">VLOOKUP(N46&amp;$P$3,Intrim!H:L,5,0)</f>
        <v>#N/A</v>
      </c>
      <c r="R46" t="e">
        <f>VLOOKUP(N46,Intrim!F:I,4,0)</f>
        <v>#N/A</v>
      </c>
      <c r="S46" t="e">
        <f>VLOOKUP(P46,Intrim!G:J,4,0)</f>
        <v>#N/A</v>
      </c>
      <c r="T46" t="e">
        <f>+intrim2!AB49</f>
        <v>#N/A</v>
      </c>
      <c r="U46" t="e">
        <f>VLOOKUP(P46,Intrim!$S$3:$AA$201,9,0)</f>
        <v>#N/A</v>
      </c>
      <c r="V46" t="e">
        <f>VLOOKUP(P46,Intrim!S:Y,7,0)</f>
        <v>#N/A</v>
      </c>
      <c r="W46" t="str">
        <f>intrim2!X49</f>
        <v/>
      </c>
      <c r="X46" t="str">
        <f t="shared" si="4"/>
        <v/>
      </c>
      <c r="Y46" s="35" t="str">
        <f>IFERROR(IF(O46="Unallocated",Q46-SUMIF($N$3:$N45,N46,$Y$3:Y45),IF(U46&gt;=V46,Q46*T46/U46,IF(U46&gt;=T46,T46*R46/S46,U46*Q46/S46))),"")</f>
        <v/>
      </c>
      <c r="AA46">
        <v>13</v>
      </c>
      <c r="AB46" t="str">
        <f>+intrim2!C49</f>
        <v/>
      </c>
      <c r="AC46" t="str">
        <f ca="1">+intrim2!D49</f>
        <v/>
      </c>
      <c r="AD46" t="str">
        <f t="shared" ca="1" si="3"/>
        <v/>
      </c>
      <c r="AE46" t="str">
        <f t="shared" si="2"/>
        <v/>
      </c>
      <c r="AF46" t="str">
        <f>IF(AB46="","",VLOOKUP(AD46,Intrim!U:AD,10,0))</f>
        <v/>
      </c>
    </row>
    <row r="47" spans="2:32" x14ac:dyDescent="0.25">
      <c r="B47" t="str">
        <f ca="1">IF(OR(intrim2!D50="Unallocated",intrim2!D50=""),"",intrim2!D50)</f>
        <v/>
      </c>
      <c r="C47" t="str">
        <f ca="1">IFERROR(VLOOKUP($F$3&amp;B47,Intrim!$U:$Z,6,0),"")</f>
        <v/>
      </c>
      <c r="J47" t="str">
        <f ca="1">IF(intrim2!O50="","",intrim2!O50)</f>
        <v/>
      </c>
      <c r="K47" t="str">
        <f ca="1">IFERROR(VLOOKUP(J47&amp;$F$3,Input!F:G,2,0),"")</f>
        <v/>
      </c>
      <c r="N47" t="e">
        <f>+intrim2!Y50</f>
        <v>#N/A</v>
      </c>
      <c r="O47" t="e">
        <f>+intrim2!Z50</f>
        <v>#N/A</v>
      </c>
      <c r="P47" t="e">
        <f>+intrim2!AA50</f>
        <v>#N/A</v>
      </c>
      <c r="Q47" t="e">
        <f ca="1">VLOOKUP(N47&amp;$P$3,Intrim!H:L,5,0)</f>
        <v>#N/A</v>
      </c>
      <c r="R47" t="e">
        <f>VLOOKUP(N47,Intrim!F:I,4,0)</f>
        <v>#N/A</v>
      </c>
      <c r="S47" t="e">
        <f>VLOOKUP(P47,Intrim!G:J,4,0)</f>
        <v>#N/A</v>
      </c>
      <c r="T47" t="e">
        <f>+intrim2!AB50</f>
        <v>#N/A</v>
      </c>
      <c r="U47" t="e">
        <f>VLOOKUP(P47,Intrim!$S$3:$AA$201,9,0)</f>
        <v>#N/A</v>
      </c>
      <c r="V47" t="e">
        <f>VLOOKUP(P47,Intrim!S:Y,7,0)</f>
        <v>#N/A</v>
      </c>
      <c r="W47" t="str">
        <f>intrim2!X50</f>
        <v/>
      </c>
      <c r="X47" t="str">
        <f t="shared" si="4"/>
        <v/>
      </c>
      <c r="Y47" s="35" t="str">
        <f>IFERROR(IF(O47="Unallocated",Q47-SUMIF($N$3:$N46,N47,$Y$3:Y46),IF(U47&gt;=V47,Q47*T47/U47,IF(U47&gt;=T47,T47*R47/S47,U47*Q47/S47))),"")</f>
        <v/>
      </c>
      <c r="AA47">
        <v>13</v>
      </c>
      <c r="AB47" t="str">
        <f>+intrim2!C50</f>
        <v/>
      </c>
      <c r="AC47" t="str">
        <f ca="1">+intrim2!D50</f>
        <v/>
      </c>
      <c r="AD47" t="str">
        <f t="shared" ca="1" si="3"/>
        <v/>
      </c>
      <c r="AE47" t="str">
        <f t="shared" si="2"/>
        <v/>
      </c>
      <c r="AF47" t="str">
        <f>IF(AB47="","",VLOOKUP(AD47,Intrim!U:AD,10,0))</f>
        <v/>
      </c>
    </row>
    <row r="48" spans="2:32" x14ac:dyDescent="0.25">
      <c r="B48" t="str">
        <f ca="1">IF(OR(intrim2!D51="Unallocated",intrim2!D51=""),"",intrim2!D51)</f>
        <v/>
      </c>
      <c r="C48" t="str">
        <f ca="1">IFERROR(VLOOKUP($F$3&amp;B48,Intrim!$U:$Z,6,0),"")</f>
        <v/>
      </c>
      <c r="J48" t="str">
        <f ca="1">IF(intrim2!O51="","",intrim2!O51)</f>
        <v/>
      </c>
      <c r="K48" t="str">
        <f ca="1">IFERROR(VLOOKUP(J48&amp;$F$3,Input!F:G,2,0),"")</f>
        <v/>
      </c>
      <c r="N48" t="e">
        <f>+intrim2!Y51</f>
        <v>#N/A</v>
      </c>
      <c r="O48" t="e">
        <f>+intrim2!Z51</f>
        <v>#N/A</v>
      </c>
      <c r="P48" t="e">
        <f>+intrim2!AA51</f>
        <v>#N/A</v>
      </c>
      <c r="Q48" t="e">
        <f ca="1">VLOOKUP(N48&amp;$P$3,Intrim!H:L,5,0)</f>
        <v>#N/A</v>
      </c>
      <c r="R48" t="e">
        <f>VLOOKUP(N48,Intrim!F:I,4,0)</f>
        <v>#N/A</v>
      </c>
      <c r="S48" t="e">
        <f>VLOOKUP(P48,Intrim!G:J,4,0)</f>
        <v>#N/A</v>
      </c>
      <c r="T48" t="e">
        <f>+intrim2!AB51</f>
        <v>#N/A</v>
      </c>
      <c r="U48" t="e">
        <f>VLOOKUP(P48,Intrim!$S$3:$AA$201,9,0)</f>
        <v>#N/A</v>
      </c>
      <c r="V48" t="e">
        <f>VLOOKUP(P48,Intrim!S:Y,7,0)</f>
        <v>#N/A</v>
      </c>
      <c r="W48" t="str">
        <f>intrim2!X51</f>
        <v/>
      </c>
      <c r="X48" t="str">
        <f t="shared" si="4"/>
        <v/>
      </c>
      <c r="Y48" s="35" t="str">
        <f>IFERROR(IF(O48="Unallocated",Q48-SUMIF($N$3:$N47,N48,$Y$3:Y47),IF(U48&gt;=V48,Q48*T48/U48,IF(U48&gt;=T48,T48*R48/S48,U48*Q48/S48))),"")</f>
        <v/>
      </c>
      <c r="AA48">
        <v>13</v>
      </c>
      <c r="AB48" t="str">
        <f>+intrim2!C51</f>
        <v/>
      </c>
      <c r="AC48" t="str">
        <f ca="1">+intrim2!D51</f>
        <v/>
      </c>
      <c r="AD48" t="str">
        <f t="shared" ca="1" si="3"/>
        <v/>
      </c>
      <c r="AE48" t="str">
        <f t="shared" si="2"/>
        <v/>
      </c>
      <c r="AF48" t="str">
        <f>IF(AB48="","",VLOOKUP(AD48,Intrim!U:AD,10,0))</f>
        <v/>
      </c>
    </row>
    <row r="49" spans="2:32" x14ac:dyDescent="0.25">
      <c r="B49" t="str">
        <f ca="1">IF(OR(intrim2!D52="Unallocated",intrim2!D52=""),"",intrim2!D52)</f>
        <v/>
      </c>
      <c r="C49" t="str">
        <f ca="1">IFERROR(VLOOKUP($F$3&amp;B49,Intrim!$U:$Z,6,0),"")</f>
        <v/>
      </c>
      <c r="J49" t="str">
        <f ca="1">IF(intrim2!O52="","",intrim2!O52)</f>
        <v/>
      </c>
      <c r="K49" t="str">
        <f ca="1">IFERROR(VLOOKUP(J49&amp;$F$3,Input!F:G,2,0),"")</f>
        <v/>
      </c>
      <c r="N49" t="e">
        <f>+intrim2!Y52</f>
        <v>#N/A</v>
      </c>
      <c r="O49" t="e">
        <f>+intrim2!Z52</f>
        <v>#N/A</v>
      </c>
      <c r="P49" t="e">
        <f>+intrim2!AA52</f>
        <v>#N/A</v>
      </c>
      <c r="Q49" t="e">
        <f ca="1">VLOOKUP(N49&amp;$P$3,Intrim!H:L,5,0)</f>
        <v>#N/A</v>
      </c>
      <c r="R49" t="e">
        <f>VLOOKUP(N49,Intrim!F:I,4,0)</f>
        <v>#N/A</v>
      </c>
      <c r="S49" t="e">
        <f>VLOOKUP(P49,Intrim!G:J,4,0)</f>
        <v>#N/A</v>
      </c>
      <c r="T49" t="e">
        <f>+intrim2!AB52</f>
        <v>#N/A</v>
      </c>
      <c r="U49" t="e">
        <f>VLOOKUP(P49,Intrim!$S$3:$AA$201,9,0)</f>
        <v>#N/A</v>
      </c>
      <c r="V49" t="e">
        <f>VLOOKUP(P49,Intrim!S:Y,7,0)</f>
        <v>#N/A</v>
      </c>
      <c r="W49" t="str">
        <f>intrim2!X52</f>
        <v/>
      </c>
      <c r="X49" t="str">
        <f t="shared" si="4"/>
        <v/>
      </c>
      <c r="Y49" s="35" t="str">
        <f>IFERROR(IF(O49="Unallocated",Q49-SUMIF($N$3:$N48,N49,$Y$3:Y48),IF(U49&gt;=V49,Q49*T49/U49,IF(U49&gt;=T49,T49*R49/S49,U49*Q49/S49))),"")</f>
        <v/>
      </c>
      <c r="AA49">
        <v>13</v>
      </c>
      <c r="AB49" t="str">
        <f>+intrim2!C52</f>
        <v/>
      </c>
      <c r="AC49" t="str">
        <f ca="1">+intrim2!D52</f>
        <v/>
      </c>
      <c r="AD49" t="str">
        <f t="shared" ca="1" si="3"/>
        <v/>
      </c>
      <c r="AE49" t="str">
        <f t="shared" si="2"/>
        <v/>
      </c>
      <c r="AF49" t="str">
        <f>IF(AB49="","",VLOOKUP(AD49,Intrim!U:AD,10,0))</f>
        <v/>
      </c>
    </row>
    <row r="50" spans="2:32" x14ac:dyDescent="0.25">
      <c r="B50" t="str">
        <f ca="1">IF(OR(intrim2!D53="Unallocated",intrim2!D53=""),"",intrim2!D53)</f>
        <v/>
      </c>
      <c r="C50" t="str">
        <f ca="1">IFERROR(VLOOKUP($F$3&amp;B50,Intrim!$U:$Z,6,0),"")</f>
        <v/>
      </c>
      <c r="J50" t="str">
        <f ca="1">IF(intrim2!O53="","",intrim2!O53)</f>
        <v/>
      </c>
      <c r="K50" t="str">
        <f ca="1">IFERROR(VLOOKUP(J50&amp;$F$3,Input!F:G,2,0),"")</f>
        <v/>
      </c>
      <c r="N50" t="e">
        <f>+intrim2!Y53</f>
        <v>#N/A</v>
      </c>
      <c r="O50" t="e">
        <f>+intrim2!Z53</f>
        <v>#N/A</v>
      </c>
      <c r="P50" t="e">
        <f>+intrim2!AA53</f>
        <v>#N/A</v>
      </c>
      <c r="Q50" t="e">
        <f ca="1">VLOOKUP(N50&amp;$P$3,Intrim!H:L,5,0)</f>
        <v>#N/A</v>
      </c>
      <c r="R50" t="e">
        <f>VLOOKUP(N50,Intrim!F:I,4,0)</f>
        <v>#N/A</v>
      </c>
      <c r="S50" t="e">
        <f>VLOOKUP(P50,Intrim!G:J,4,0)</f>
        <v>#N/A</v>
      </c>
      <c r="T50" t="e">
        <f>+intrim2!AB53</f>
        <v>#N/A</v>
      </c>
      <c r="U50" t="e">
        <f>VLOOKUP(P50,Intrim!$S$3:$AA$201,9,0)</f>
        <v>#N/A</v>
      </c>
      <c r="V50" t="e">
        <f>VLOOKUP(P50,Intrim!S:Y,7,0)</f>
        <v>#N/A</v>
      </c>
      <c r="W50" t="str">
        <f>intrim2!X53</f>
        <v/>
      </c>
      <c r="X50" t="str">
        <f t="shared" si="4"/>
        <v/>
      </c>
      <c r="Y50" s="35" t="str">
        <f>IFERROR(IF(O50="Unallocated",Q50-SUMIF($N$3:$N49,N50,$Y$3:Y49),IF(U50&gt;=V50,Q50*T50/U50,IF(U50&gt;=T50,T50*R50/S50,U50*Q50/S50))),"")</f>
        <v/>
      </c>
      <c r="AA50">
        <v>13</v>
      </c>
      <c r="AB50" t="str">
        <f>+intrim2!C53</f>
        <v/>
      </c>
      <c r="AC50" t="str">
        <f ca="1">+intrim2!D53</f>
        <v/>
      </c>
      <c r="AD50" t="str">
        <f t="shared" ca="1" si="3"/>
        <v/>
      </c>
      <c r="AE50" t="str">
        <f t="shared" si="2"/>
        <v/>
      </c>
      <c r="AF50" t="str">
        <f>IF(AB50="","",VLOOKUP(AD50,Intrim!U:AD,10,0))</f>
        <v/>
      </c>
    </row>
    <row r="51" spans="2:32" x14ac:dyDescent="0.25">
      <c r="B51" t="str">
        <f ca="1">IF(OR(intrim2!D54="Unallocated",intrim2!D54=""),"",intrim2!D54)</f>
        <v/>
      </c>
      <c r="C51" t="str">
        <f ca="1">IFERROR(VLOOKUP($F$3&amp;B51,Intrim!$U:$Z,6,0),"")</f>
        <v/>
      </c>
      <c r="J51" t="str">
        <f ca="1">IF(intrim2!O54="","",intrim2!O54)</f>
        <v/>
      </c>
      <c r="K51" t="str">
        <f ca="1">IFERROR(VLOOKUP(J51&amp;$F$3,Input!F:G,2,0),"")</f>
        <v/>
      </c>
      <c r="N51" t="e">
        <f>+intrim2!Y54</f>
        <v>#N/A</v>
      </c>
      <c r="O51" t="e">
        <f>+intrim2!Z54</f>
        <v>#N/A</v>
      </c>
      <c r="P51" t="e">
        <f>+intrim2!AA54</f>
        <v>#N/A</v>
      </c>
      <c r="Q51" t="e">
        <f ca="1">VLOOKUP(N51&amp;$P$3,Intrim!H:L,5,0)</f>
        <v>#N/A</v>
      </c>
      <c r="R51" t="e">
        <f>VLOOKUP(N51,Intrim!F:I,4,0)</f>
        <v>#N/A</v>
      </c>
      <c r="S51" t="e">
        <f>VLOOKUP(P51,Intrim!G:J,4,0)</f>
        <v>#N/A</v>
      </c>
      <c r="T51" t="e">
        <f>+intrim2!AB54</f>
        <v>#N/A</v>
      </c>
      <c r="U51" t="e">
        <f>VLOOKUP(P51,Intrim!$S$3:$AA$201,9,0)</f>
        <v>#N/A</v>
      </c>
      <c r="V51" t="e">
        <f>VLOOKUP(P51,Intrim!S:Y,7,0)</f>
        <v>#N/A</v>
      </c>
      <c r="W51" t="str">
        <f>intrim2!X54</f>
        <v/>
      </c>
      <c r="X51" t="str">
        <f t="shared" si="4"/>
        <v/>
      </c>
      <c r="Y51" s="35" t="str">
        <f>IFERROR(IF(O51="Unallocated",Q51-SUMIF($N$3:$N50,N51,$Y$3:Y50),IF(U51&gt;=V51,Q51*T51/U51,IF(U51&gt;=T51,T51*R51/S51,U51*Q51/S51))),"")</f>
        <v/>
      </c>
      <c r="AA51">
        <v>13</v>
      </c>
      <c r="AB51" t="str">
        <f>+intrim2!C54</f>
        <v/>
      </c>
      <c r="AC51" t="str">
        <f ca="1">+intrim2!D54</f>
        <v/>
      </c>
      <c r="AD51" t="str">
        <f t="shared" ca="1" si="3"/>
        <v/>
      </c>
      <c r="AE51" t="str">
        <f t="shared" si="2"/>
        <v/>
      </c>
      <c r="AF51" t="str">
        <f>IF(AB51="","",VLOOKUP(AD51,Intrim!U:AD,10,0))</f>
        <v/>
      </c>
    </row>
    <row r="52" spans="2:32" x14ac:dyDescent="0.25">
      <c r="B52" t="str">
        <f ca="1">IF(OR(intrim2!D55="Unallocated",intrim2!D55=""),"",intrim2!D55)</f>
        <v/>
      </c>
      <c r="C52" t="str">
        <f ca="1">IFERROR(VLOOKUP($F$3&amp;B52,Intrim!$U:$Z,6,0),"")</f>
        <v/>
      </c>
      <c r="J52" t="str">
        <f ca="1">IF(intrim2!O55="","",intrim2!O55)</f>
        <v/>
      </c>
      <c r="K52" t="str">
        <f ca="1">IFERROR(VLOOKUP(J52&amp;$F$3,Input!F:G,2,0),"")</f>
        <v/>
      </c>
      <c r="N52" t="e">
        <f>+intrim2!Y55</f>
        <v>#N/A</v>
      </c>
      <c r="O52" t="e">
        <f>+intrim2!Z55</f>
        <v>#N/A</v>
      </c>
      <c r="P52" t="e">
        <f>+intrim2!AA55</f>
        <v>#N/A</v>
      </c>
      <c r="Q52" t="e">
        <f ca="1">VLOOKUP(N52&amp;$P$3,Intrim!H:L,5,0)</f>
        <v>#N/A</v>
      </c>
      <c r="R52" t="e">
        <f>VLOOKUP(N52,Intrim!F:I,4,0)</f>
        <v>#N/A</v>
      </c>
      <c r="S52" t="e">
        <f>VLOOKUP(P52,Intrim!G:J,4,0)</f>
        <v>#N/A</v>
      </c>
      <c r="T52" t="e">
        <f>+intrim2!AB55</f>
        <v>#N/A</v>
      </c>
      <c r="U52" t="e">
        <f>VLOOKUP(P52,Intrim!$S$3:$AA$201,9,0)</f>
        <v>#N/A</v>
      </c>
      <c r="V52" t="e">
        <f>VLOOKUP(P52,Intrim!S:Y,7,0)</f>
        <v>#N/A</v>
      </c>
      <c r="W52" t="str">
        <f>intrim2!X55</f>
        <v/>
      </c>
      <c r="X52" t="str">
        <f t="shared" si="4"/>
        <v/>
      </c>
      <c r="Y52" s="35" t="str">
        <f>IFERROR(IF(O52="Unallocated",Q52-SUMIF($N$3:$N51,N52,$Y$3:Y51),IF(U52&gt;=V52,Q52*T52/U52,IF(U52&gt;=T52,T52*R52/S52,U52*Q52/S52))),"")</f>
        <v/>
      </c>
      <c r="AA52">
        <v>13</v>
      </c>
      <c r="AB52" t="str">
        <f>+intrim2!C55</f>
        <v/>
      </c>
      <c r="AC52" t="str">
        <f ca="1">+intrim2!D55</f>
        <v/>
      </c>
      <c r="AD52" t="str">
        <f t="shared" ca="1" si="3"/>
        <v/>
      </c>
      <c r="AE52" t="str">
        <f t="shared" si="2"/>
        <v/>
      </c>
      <c r="AF52" t="str">
        <f>IF(AB52="","",VLOOKUP(AD52,Intrim!U:AD,10,0))</f>
        <v/>
      </c>
    </row>
    <row r="53" spans="2:32" x14ac:dyDescent="0.25">
      <c r="B53" t="str">
        <f ca="1">IF(OR(intrim2!D56="Unallocated",intrim2!D56=""),"",intrim2!D56)</f>
        <v/>
      </c>
      <c r="C53" t="str">
        <f ca="1">IFERROR(VLOOKUP($F$3&amp;B53,Intrim!$U:$Z,6,0),"")</f>
        <v/>
      </c>
      <c r="J53" t="str">
        <f ca="1">IF(intrim2!O56="","",intrim2!O56)</f>
        <v/>
      </c>
      <c r="K53" t="str">
        <f ca="1">IFERROR(VLOOKUP(J53&amp;$F$3,Input!F:G,2,0),"")</f>
        <v/>
      </c>
      <c r="N53" t="e">
        <f>+intrim2!Y56</f>
        <v>#N/A</v>
      </c>
      <c r="O53" t="e">
        <f>+intrim2!Z56</f>
        <v>#N/A</v>
      </c>
      <c r="P53" t="e">
        <f>+intrim2!AA56</f>
        <v>#N/A</v>
      </c>
      <c r="Q53" t="e">
        <f ca="1">VLOOKUP(N53&amp;$P$3,Intrim!H:L,5,0)</f>
        <v>#N/A</v>
      </c>
      <c r="R53" t="e">
        <f>VLOOKUP(N53,Intrim!F:I,4,0)</f>
        <v>#N/A</v>
      </c>
      <c r="S53" t="e">
        <f>VLOOKUP(P53,Intrim!G:J,4,0)</f>
        <v>#N/A</v>
      </c>
      <c r="T53" t="e">
        <f>+intrim2!AB56</f>
        <v>#N/A</v>
      </c>
      <c r="U53" t="e">
        <f>VLOOKUP(P53,Intrim!$S$3:$AA$201,9,0)</f>
        <v>#N/A</v>
      </c>
      <c r="V53" t="e">
        <f>VLOOKUP(P53,Intrim!S:Y,7,0)</f>
        <v>#N/A</v>
      </c>
      <c r="W53" t="str">
        <f>intrim2!X56</f>
        <v/>
      </c>
      <c r="X53" t="str">
        <f t="shared" si="4"/>
        <v/>
      </c>
      <c r="Y53" s="35" t="str">
        <f>IFERROR(IF(O53="Unallocated",Q53-SUMIF($N$3:$N52,N53,$Y$3:Y52),IF(U53&gt;=V53,Q53*T53/U53,IF(U53&gt;=T53,T53*R53/S53,U53*Q53/S53))),"")</f>
        <v/>
      </c>
      <c r="AA53">
        <v>13</v>
      </c>
      <c r="AB53" t="str">
        <f>+intrim2!C56</f>
        <v/>
      </c>
      <c r="AC53" t="str">
        <f ca="1">+intrim2!D56</f>
        <v/>
      </c>
      <c r="AD53" t="str">
        <f t="shared" ca="1" si="3"/>
        <v/>
      </c>
      <c r="AE53" t="str">
        <f t="shared" si="2"/>
        <v/>
      </c>
      <c r="AF53" t="str">
        <f>IF(AB53="","",VLOOKUP(AD53,Intrim!U:AD,10,0))</f>
        <v/>
      </c>
    </row>
    <row r="54" spans="2:32" x14ac:dyDescent="0.25">
      <c r="B54" t="str">
        <f ca="1">IF(OR(intrim2!D57="Unallocated",intrim2!D57=""),"",intrim2!D57)</f>
        <v/>
      </c>
      <c r="C54" t="str">
        <f ca="1">IFERROR(VLOOKUP($F$3&amp;B54,Intrim!$U:$Z,6,0),"")</f>
        <v/>
      </c>
      <c r="J54" t="str">
        <f ca="1">IF(intrim2!O57="","",intrim2!O57)</f>
        <v/>
      </c>
      <c r="K54" t="str">
        <f ca="1">IFERROR(VLOOKUP(J54&amp;$F$3,Input!F:G,2,0),"")</f>
        <v/>
      </c>
      <c r="N54" t="e">
        <f>+intrim2!Y57</f>
        <v>#N/A</v>
      </c>
      <c r="O54" t="e">
        <f>+intrim2!Z57</f>
        <v>#N/A</v>
      </c>
      <c r="P54" t="e">
        <f>+intrim2!AA57</f>
        <v>#N/A</v>
      </c>
      <c r="Q54" t="e">
        <f ca="1">VLOOKUP(N54&amp;$P$3,Intrim!H:L,5,0)</f>
        <v>#N/A</v>
      </c>
      <c r="R54" t="e">
        <f>VLOOKUP(N54,Intrim!F:I,4,0)</f>
        <v>#N/A</v>
      </c>
      <c r="S54" t="e">
        <f>VLOOKUP(P54,Intrim!G:J,4,0)</f>
        <v>#N/A</v>
      </c>
      <c r="T54" t="e">
        <f>+intrim2!AB57</f>
        <v>#N/A</v>
      </c>
      <c r="U54" t="e">
        <f>VLOOKUP(P54,Intrim!$S$3:$AA$201,9,0)</f>
        <v>#N/A</v>
      </c>
      <c r="V54" t="e">
        <f>VLOOKUP(P54,Intrim!S:Y,7,0)</f>
        <v>#N/A</v>
      </c>
      <c r="W54" t="str">
        <f>intrim2!X57</f>
        <v/>
      </c>
      <c r="X54" t="str">
        <f t="shared" si="4"/>
        <v/>
      </c>
      <c r="Y54" s="35" t="str">
        <f>IFERROR(IF(O54="Unallocated",Q54-SUMIF($N$3:$N53,N54,$Y$3:Y53),IF(U54&gt;=V54,Q54*T54/U54,IF(U54&gt;=T54,T54*R54/S54,U54*Q54/S54))),"")</f>
        <v/>
      </c>
      <c r="AA54">
        <v>13</v>
      </c>
      <c r="AB54" t="str">
        <f>+intrim2!C57</f>
        <v/>
      </c>
      <c r="AC54" t="str">
        <f ca="1">+intrim2!D57</f>
        <v/>
      </c>
      <c r="AD54" t="str">
        <f t="shared" ca="1" si="3"/>
        <v/>
      </c>
      <c r="AE54" t="str">
        <f t="shared" si="2"/>
        <v/>
      </c>
      <c r="AF54" t="str">
        <f>IF(AB54="","",VLOOKUP(AD54,Intrim!U:AD,10,0))</f>
        <v/>
      </c>
    </row>
    <row r="55" spans="2:32" x14ac:dyDescent="0.25">
      <c r="B55" t="str">
        <f ca="1">IF(OR(intrim2!D58="Unallocated",intrim2!D58=""),"",intrim2!D58)</f>
        <v/>
      </c>
      <c r="C55" t="str">
        <f ca="1">IFERROR(VLOOKUP($F$3&amp;B55,Intrim!$U:$Z,6,0),"")</f>
        <v/>
      </c>
      <c r="J55" t="str">
        <f ca="1">IF(intrim2!O58="","",intrim2!O58)</f>
        <v/>
      </c>
      <c r="K55" t="str">
        <f ca="1">IFERROR(VLOOKUP(J55&amp;$F$3,Input!F:G,2,0),"")</f>
        <v/>
      </c>
      <c r="N55" t="e">
        <f>+intrim2!Y58</f>
        <v>#N/A</v>
      </c>
      <c r="O55" t="e">
        <f>+intrim2!Z58</f>
        <v>#N/A</v>
      </c>
      <c r="P55" t="e">
        <f>+intrim2!AA58</f>
        <v>#N/A</v>
      </c>
      <c r="Q55" t="e">
        <f ca="1">VLOOKUP(N55&amp;$P$3,Intrim!H:L,5,0)</f>
        <v>#N/A</v>
      </c>
      <c r="R55" t="e">
        <f>VLOOKUP(N55,Intrim!F:I,4,0)</f>
        <v>#N/A</v>
      </c>
      <c r="S55" t="e">
        <f>VLOOKUP(P55,Intrim!G:J,4,0)</f>
        <v>#N/A</v>
      </c>
      <c r="T55" t="e">
        <f>+intrim2!AB58</f>
        <v>#N/A</v>
      </c>
      <c r="U55" t="e">
        <f>VLOOKUP(P55,Intrim!$S$3:$AA$201,9,0)</f>
        <v>#N/A</v>
      </c>
      <c r="V55" t="e">
        <f>VLOOKUP(P55,Intrim!S:Y,7,0)</f>
        <v>#N/A</v>
      </c>
      <c r="W55" t="str">
        <f>intrim2!X58</f>
        <v/>
      </c>
      <c r="X55" t="str">
        <f t="shared" si="4"/>
        <v/>
      </c>
      <c r="Y55" s="35" t="str">
        <f>IFERROR(IF(O55="Unallocated",Q55-SUMIF($N$3:$N54,N55,$Y$3:Y54),IF(U55&gt;=V55,Q55*T55/U55,IF(U55&gt;=T55,T55*R55/S55,U55*Q55/S55))),"")</f>
        <v/>
      </c>
      <c r="AA55">
        <v>13</v>
      </c>
      <c r="AB55" t="str">
        <f>+intrim2!C58</f>
        <v/>
      </c>
      <c r="AC55" t="str">
        <f ca="1">+intrim2!D58</f>
        <v/>
      </c>
      <c r="AD55" t="str">
        <f t="shared" ca="1" si="3"/>
        <v/>
      </c>
      <c r="AE55" t="str">
        <f t="shared" si="2"/>
        <v/>
      </c>
      <c r="AF55" t="str">
        <f>IF(AB55="","",VLOOKUP(AD55,Intrim!U:AD,10,0))</f>
        <v/>
      </c>
    </row>
    <row r="56" spans="2:32" x14ac:dyDescent="0.25">
      <c r="B56" t="str">
        <f ca="1">IF(OR(intrim2!D59="Unallocated",intrim2!D59=""),"",intrim2!D59)</f>
        <v/>
      </c>
      <c r="C56" t="str">
        <f ca="1">IFERROR(VLOOKUP($F$3&amp;B56,Intrim!$U:$Z,6,0),"")</f>
        <v/>
      </c>
      <c r="J56" t="str">
        <f ca="1">IF(intrim2!O59="","",intrim2!O59)</f>
        <v/>
      </c>
      <c r="K56" t="str">
        <f ca="1">IFERROR(VLOOKUP(J56&amp;$F$3,Input!F:G,2,0),"")</f>
        <v/>
      </c>
      <c r="N56" t="e">
        <f>+intrim2!Y59</f>
        <v>#N/A</v>
      </c>
      <c r="O56" t="e">
        <f>+intrim2!Z59</f>
        <v>#N/A</v>
      </c>
      <c r="P56" t="e">
        <f>+intrim2!AA59</f>
        <v>#N/A</v>
      </c>
      <c r="Q56" t="e">
        <f ca="1">VLOOKUP(N56&amp;$P$3,Intrim!H:L,5,0)</f>
        <v>#N/A</v>
      </c>
      <c r="R56" t="e">
        <f>VLOOKUP(N56,Intrim!F:I,4,0)</f>
        <v>#N/A</v>
      </c>
      <c r="S56" t="e">
        <f>VLOOKUP(P56,Intrim!G:J,4,0)</f>
        <v>#N/A</v>
      </c>
      <c r="T56" t="e">
        <f>+intrim2!AB59</f>
        <v>#N/A</v>
      </c>
      <c r="U56" t="e">
        <f>VLOOKUP(P56,Intrim!$S$3:$AA$201,9,0)</f>
        <v>#N/A</v>
      </c>
      <c r="V56" t="e">
        <f>VLOOKUP(P56,Intrim!S:Y,7,0)</f>
        <v>#N/A</v>
      </c>
      <c r="W56" t="str">
        <f>intrim2!X59</f>
        <v/>
      </c>
      <c r="X56" t="str">
        <f t="shared" si="4"/>
        <v/>
      </c>
      <c r="Y56" s="35" t="str">
        <f>IFERROR(IF(O56="Unallocated",Q56-SUMIF($N$3:$N55,N56,$Y$3:Y55),IF(U56&gt;=V56,Q56*T56/U56,IF(U56&gt;=T56,T56*R56/S56,U56*Q56/S56))),"")</f>
        <v/>
      </c>
      <c r="AA56">
        <v>13</v>
      </c>
      <c r="AB56" t="str">
        <f>+intrim2!C59</f>
        <v/>
      </c>
      <c r="AC56" t="str">
        <f ca="1">+intrim2!D59</f>
        <v/>
      </c>
      <c r="AD56" t="str">
        <f t="shared" ca="1" si="3"/>
        <v/>
      </c>
      <c r="AE56" t="str">
        <f t="shared" si="2"/>
        <v/>
      </c>
      <c r="AF56" t="str">
        <f>IF(AB56="","",VLOOKUP(AD56,Intrim!U:AD,10,0))</f>
        <v/>
      </c>
    </row>
    <row r="57" spans="2:32" x14ac:dyDescent="0.25">
      <c r="B57" t="str">
        <f ca="1">IF(OR(intrim2!D60="Unallocated",intrim2!D60=""),"",intrim2!D60)</f>
        <v/>
      </c>
      <c r="C57" t="str">
        <f ca="1">IFERROR(VLOOKUP($F$3&amp;B57,Intrim!$U:$Z,6,0),"")</f>
        <v/>
      </c>
      <c r="J57" t="str">
        <f ca="1">IF(intrim2!O60="","",intrim2!O60)</f>
        <v/>
      </c>
      <c r="K57" t="str">
        <f ca="1">IFERROR(VLOOKUP(J57&amp;$F$3,Input!F:G,2,0),"")</f>
        <v/>
      </c>
      <c r="N57" t="e">
        <f>+intrim2!Y60</f>
        <v>#N/A</v>
      </c>
      <c r="O57" t="e">
        <f>+intrim2!Z60</f>
        <v>#N/A</v>
      </c>
      <c r="P57" t="e">
        <f>+intrim2!AA60</f>
        <v>#N/A</v>
      </c>
      <c r="Q57" t="e">
        <f ca="1">VLOOKUP(N57&amp;$P$3,Intrim!H:L,5,0)</f>
        <v>#N/A</v>
      </c>
      <c r="R57" t="e">
        <f>VLOOKUP(N57,Intrim!F:I,4,0)</f>
        <v>#N/A</v>
      </c>
      <c r="S57" t="e">
        <f>VLOOKUP(P57,Intrim!G:J,4,0)</f>
        <v>#N/A</v>
      </c>
      <c r="T57" t="e">
        <f>+intrim2!AB60</f>
        <v>#N/A</v>
      </c>
      <c r="U57" t="e">
        <f>VLOOKUP(P57,Intrim!$S$3:$AA$201,9,0)</f>
        <v>#N/A</v>
      </c>
      <c r="V57" t="e">
        <f>VLOOKUP(P57,Intrim!S:Y,7,0)</f>
        <v>#N/A</v>
      </c>
      <c r="W57" t="str">
        <f>intrim2!X60</f>
        <v/>
      </c>
      <c r="X57" t="str">
        <f t="shared" si="4"/>
        <v/>
      </c>
      <c r="Y57" s="35" t="str">
        <f>IFERROR(IF(O57="Unallocated",Q57-SUMIF($N$3:$N56,N57,$Y$3:Y56),IF(U57&gt;=V57,Q57*T57/U57,IF(U57&gt;=T57,T57*R57/S57,U57*Q57/S57))),"")</f>
        <v/>
      </c>
      <c r="AA57">
        <v>13</v>
      </c>
      <c r="AB57" t="str">
        <f>+intrim2!C60</f>
        <v/>
      </c>
      <c r="AC57" t="str">
        <f ca="1">+intrim2!D60</f>
        <v/>
      </c>
      <c r="AD57" t="str">
        <f t="shared" ca="1" si="3"/>
        <v/>
      </c>
      <c r="AE57" t="str">
        <f t="shared" si="2"/>
        <v/>
      </c>
      <c r="AF57" t="str">
        <f>IF(AB57="","",VLOOKUP(AD57,Intrim!U:AD,10,0))</f>
        <v/>
      </c>
    </row>
    <row r="58" spans="2:32" x14ac:dyDescent="0.25">
      <c r="B58" t="str">
        <f ca="1">IF(OR(intrim2!D61="Unallocated",intrim2!D61=""),"",intrim2!D61)</f>
        <v/>
      </c>
      <c r="C58" t="str">
        <f ca="1">IFERROR(VLOOKUP($F$3&amp;B58,Intrim!$U:$Z,6,0),"")</f>
        <v/>
      </c>
      <c r="J58" t="str">
        <f ca="1">IF(intrim2!O61="","",intrim2!O61)</f>
        <v/>
      </c>
      <c r="K58" t="str">
        <f ca="1">IFERROR(VLOOKUP(J58&amp;$F$3,Input!F:G,2,0),"")</f>
        <v/>
      </c>
      <c r="N58" t="e">
        <f>+intrim2!Y61</f>
        <v>#N/A</v>
      </c>
      <c r="O58" t="e">
        <f>+intrim2!Z61</f>
        <v>#N/A</v>
      </c>
      <c r="P58" t="e">
        <f>+intrim2!AA61</f>
        <v>#N/A</v>
      </c>
      <c r="Q58" t="e">
        <f ca="1">VLOOKUP(N58&amp;$P$3,Intrim!H:L,5,0)</f>
        <v>#N/A</v>
      </c>
      <c r="R58" t="e">
        <f>VLOOKUP(N58,Intrim!F:I,4,0)</f>
        <v>#N/A</v>
      </c>
      <c r="S58" t="e">
        <f>VLOOKUP(P58,Intrim!G:J,4,0)</f>
        <v>#N/A</v>
      </c>
      <c r="T58" t="e">
        <f>+intrim2!AB61</f>
        <v>#N/A</v>
      </c>
      <c r="U58" t="e">
        <f>VLOOKUP(P58,Intrim!$S$3:$AA$201,9,0)</f>
        <v>#N/A</v>
      </c>
      <c r="V58" t="e">
        <f>VLOOKUP(P58,Intrim!S:Y,7,0)</f>
        <v>#N/A</v>
      </c>
      <c r="W58" t="str">
        <f>intrim2!X61</f>
        <v/>
      </c>
      <c r="X58" t="str">
        <f t="shared" si="4"/>
        <v/>
      </c>
      <c r="Y58" s="35" t="str">
        <f>IFERROR(IF(O58="Unallocated",Q58-SUMIF($N$3:$N57,N58,$Y$3:Y57),IF(U58&gt;=V58,Q58*T58/U58,IF(U58&gt;=T58,T58*R58/S58,U58*Q58/S58))),"")</f>
        <v/>
      </c>
      <c r="AA58">
        <v>13</v>
      </c>
      <c r="AB58" t="str">
        <f>+intrim2!C61</f>
        <v/>
      </c>
      <c r="AC58" t="str">
        <f ca="1">+intrim2!D61</f>
        <v/>
      </c>
      <c r="AD58" t="str">
        <f t="shared" ca="1" si="3"/>
        <v/>
      </c>
      <c r="AE58" t="str">
        <f t="shared" si="2"/>
        <v/>
      </c>
      <c r="AF58" t="str">
        <f>IF(AB58="","",VLOOKUP(AD58,Intrim!U:AD,10,0))</f>
        <v/>
      </c>
    </row>
    <row r="59" spans="2:32" x14ac:dyDescent="0.25">
      <c r="B59" t="str">
        <f ca="1">IF(OR(intrim2!D62="Unallocated",intrim2!D62=""),"",intrim2!D62)</f>
        <v/>
      </c>
      <c r="C59" t="str">
        <f ca="1">IFERROR(VLOOKUP($F$3&amp;B59,Intrim!$U:$Z,6,0),"")</f>
        <v/>
      </c>
      <c r="J59" t="str">
        <f ca="1">IF(intrim2!O62="","",intrim2!O62)</f>
        <v/>
      </c>
      <c r="K59" t="str">
        <f ca="1">IFERROR(VLOOKUP(J59&amp;$F$3,Input!F:G,2,0),"")</f>
        <v/>
      </c>
      <c r="N59" t="e">
        <f>+intrim2!Y62</f>
        <v>#N/A</v>
      </c>
      <c r="O59" t="e">
        <f>+intrim2!Z62</f>
        <v>#N/A</v>
      </c>
      <c r="P59" t="e">
        <f>+intrim2!AA62</f>
        <v>#N/A</v>
      </c>
      <c r="Q59" t="e">
        <f ca="1">VLOOKUP(N59&amp;$P$3,Intrim!H:L,5,0)</f>
        <v>#N/A</v>
      </c>
      <c r="R59" t="e">
        <f>VLOOKUP(N59,Intrim!F:I,4,0)</f>
        <v>#N/A</v>
      </c>
      <c r="S59" t="e">
        <f>VLOOKUP(P59,Intrim!G:J,4,0)</f>
        <v>#N/A</v>
      </c>
      <c r="T59" t="e">
        <f>+intrim2!AB62</f>
        <v>#N/A</v>
      </c>
      <c r="U59" t="e">
        <f>VLOOKUP(P59,Intrim!$S$3:$AA$201,9,0)</f>
        <v>#N/A</v>
      </c>
      <c r="V59" t="e">
        <f>VLOOKUP(P59,Intrim!S:Y,7,0)</f>
        <v>#N/A</v>
      </c>
      <c r="W59" t="str">
        <f>intrim2!X62</f>
        <v/>
      </c>
      <c r="X59" t="str">
        <f t="shared" si="4"/>
        <v/>
      </c>
      <c r="Y59" s="35" t="str">
        <f>IFERROR(IF(O59="Unallocated",Q59-SUMIF($N$3:$N58,N59,$Y$3:Y58),IF(U59&gt;=V59,Q59*T59/U59,IF(U59&gt;=T59,T59*R59/S59,U59*Q59/S59))),"")</f>
        <v/>
      </c>
      <c r="AA59">
        <v>13</v>
      </c>
      <c r="AB59" t="str">
        <f>+intrim2!C62</f>
        <v/>
      </c>
      <c r="AC59" t="str">
        <f ca="1">+intrim2!D62</f>
        <v/>
      </c>
      <c r="AD59" t="str">
        <f t="shared" ca="1" si="3"/>
        <v/>
      </c>
      <c r="AE59" t="str">
        <f t="shared" si="2"/>
        <v/>
      </c>
      <c r="AF59" t="str">
        <f>IF(AB59="","",VLOOKUP(AD59,Intrim!U:AD,10,0))</f>
        <v/>
      </c>
    </row>
    <row r="60" spans="2:32" x14ac:dyDescent="0.25">
      <c r="B60" t="str">
        <f ca="1">IF(OR(intrim2!D63="Unallocated",intrim2!D63=""),"",intrim2!D63)</f>
        <v/>
      </c>
      <c r="C60" t="str">
        <f ca="1">IFERROR(VLOOKUP($F$3&amp;B60,Intrim!$U:$Z,6,0),"")</f>
        <v/>
      </c>
      <c r="J60" t="str">
        <f ca="1">IF(intrim2!O63="","",intrim2!O63)</f>
        <v/>
      </c>
      <c r="K60" t="str">
        <f ca="1">IFERROR(VLOOKUP(J60&amp;$F$3,Input!F:G,2,0),"")</f>
        <v/>
      </c>
      <c r="N60" t="e">
        <f>+intrim2!Y63</f>
        <v>#N/A</v>
      </c>
      <c r="O60" t="e">
        <f>+intrim2!Z63</f>
        <v>#N/A</v>
      </c>
      <c r="P60" t="e">
        <f>+intrim2!AA63</f>
        <v>#N/A</v>
      </c>
      <c r="Q60" t="e">
        <f ca="1">VLOOKUP(N60&amp;$P$3,Intrim!H:L,5,0)</f>
        <v>#N/A</v>
      </c>
      <c r="R60" t="e">
        <f>VLOOKUP(N60,Intrim!F:I,4,0)</f>
        <v>#N/A</v>
      </c>
      <c r="S60" t="e">
        <f>VLOOKUP(P60,Intrim!G:J,4,0)</f>
        <v>#N/A</v>
      </c>
      <c r="T60" t="e">
        <f>+intrim2!AB63</f>
        <v>#N/A</v>
      </c>
      <c r="U60" t="e">
        <f>VLOOKUP(P60,Intrim!$S$3:$AA$201,9,0)</f>
        <v>#N/A</v>
      </c>
      <c r="V60" t="e">
        <f>VLOOKUP(P60,Intrim!S:Y,7,0)</f>
        <v>#N/A</v>
      </c>
      <c r="W60" t="str">
        <f>intrim2!X63</f>
        <v/>
      </c>
      <c r="X60" t="str">
        <f t="shared" si="4"/>
        <v/>
      </c>
      <c r="Y60" s="35" t="str">
        <f>IFERROR(IF(O60="Unallocated",Q60-SUMIF($N$3:$N59,N60,$Y$3:Y59),IF(U60&gt;=V60,Q60*T60/U60,IF(U60&gt;=T60,T60*R60/S60,U60*Q60/S60))),"")</f>
        <v/>
      </c>
      <c r="AA60">
        <v>13</v>
      </c>
      <c r="AB60" t="str">
        <f>+intrim2!C63</f>
        <v/>
      </c>
      <c r="AC60" t="str">
        <f ca="1">+intrim2!D63</f>
        <v/>
      </c>
      <c r="AD60" t="str">
        <f t="shared" ca="1" si="3"/>
        <v/>
      </c>
      <c r="AE60" t="str">
        <f t="shared" si="2"/>
        <v/>
      </c>
      <c r="AF60" t="str">
        <f>IF(AB60="","",VLOOKUP(AD60,Intrim!U:AD,10,0))</f>
        <v/>
      </c>
    </row>
    <row r="61" spans="2:32" x14ac:dyDescent="0.25">
      <c r="B61" t="str">
        <f ca="1">IF(OR(intrim2!D64="Unallocated",intrim2!D64=""),"",intrim2!D64)</f>
        <v/>
      </c>
      <c r="C61" t="str">
        <f ca="1">IFERROR(VLOOKUP($F$3&amp;B61,Intrim!$U:$Z,6,0),"")</f>
        <v/>
      </c>
      <c r="J61" t="str">
        <f ca="1">IF(intrim2!O64="","",intrim2!O64)</f>
        <v/>
      </c>
      <c r="K61" t="str">
        <f ca="1">IFERROR(VLOOKUP(J61&amp;$F$3,Input!F:G,2,0),"")</f>
        <v/>
      </c>
      <c r="N61" t="e">
        <f>+intrim2!Y64</f>
        <v>#N/A</v>
      </c>
      <c r="O61" t="e">
        <f>+intrim2!Z64</f>
        <v>#N/A</v>
      </c>
      <c r="P61" t="e">
        <f>+intrim2!AA64</f>
        <v>#N/A</v>
      </c>
      <c r="Q61" t="e">
        <f ca="1">VLOOKUP(N61&amp;$P$3,Intrim!H:L,5,0)</f>
        <v>#N/A</v>
      </c>
      <c r="R61" t="e">
        <f>VLOOKUP(N61,Intrim!F:I,4,0)</f>
        <v>#N/A</v>
      </c>
      <c r="S61" t="e">
        <f>VLOOKUP(P61,Intrim!G:J,4,0)</f>
        <v>#N/A</v>
      </c>
      <c r="T61" t="e">
        <f>+intrim2!AB64</f>
        <v>#N/A</v>
      </c>
      <c r="U61" t="e">
        <f>VLOOKUP(P61,Intrim!$S$3:$AA$201,9,0)</f>
        <v>#N/A</v>
      </c>
      <c r="V61" t="e">
        <f>VLOOKUP(P61,Intrim!S:Y,7,0)</f>
        <v>#N/A</v>
      </c>
      <c r="W61" t="str">
        <f>intrim2!X64</f>
        <v/>
      </c>
      <c r="X61" t="str">
        <f t="shared" si="4"/>
        <v/>
      </c>
      <c r="Y61" s="35" t="str">
        <f>IFERROR(IF(O61="Unallocated",Q61-SUMIF($N$3:$N60,N61,$Y$3:Y60),IF(U61&gt;=V61,Q61*T61/U61,IF(U61&gt;=T61,T61*R61/S61,U61*Q61/S61))),"")</f>
        <v/>
      </c>
      <c r="AA61">
        <v>13</v>
      </c>
      <c r="AB61" t="str">
        <f>+intrim2!C64</f>
        <v/>
      </c>
      <c r="AC61" t="str">
        <f ca="1">+intrim2!D64</f>
        <v/>
      </c>
      <c r="AD61" t="str">
        <f t="shared" ca="1" si="3"/>
        <v/>
      </c>
      <c r="AE61" t="str">
        <f t="shared" si="2"/>
        <v/>
      </c>
      <c r="AF61" t="str">
        <f>IF(AB61="","",VLOOKUP(AD61,Intrim!U:AD,10,0))</f>
        <v/>
      </c>
    </row>
    <row r="62" spans="2:32" x14ac:dyDescent="0.25">
      <c r="B62" t="str">
        <f ca="1">IF(OR(intrim2!D65="Unallocated",intrim2!D65=""),"",intrim2!D65)</f>
        <v/>
      </c>
      <c r="C62" t="str">
        <f ca="1">IFERROR(VLOOKUP($F$3&amp;B62,Intrim!$U:$Z,6,0),"")</f>
        <v/>
      </c>
      <c r="J62" t="str">
        <f ca="1">IF(intrim2!O65="","",intrim2!O65)</f>
        <v/>
      </c>
      <c r="K62" t="str">
        <f ca="1">IFERROR(VLOOKUP(J62&amp;$F$3,Input!F:G,2,0),"")</f>
        <v/>
      </c>
      <c r="N62" t="e">
        <f>+intrim2!Y65</f>
        <v>#N/A</v>
      </c>
      <c r="O62" t="e">
        <f>+intrim2!Z65</f>
        <v>#N/A</v>
      </c>
      <c r="P62" t="e">
        <f>+intrim2!AA65</f>
        <v>#N/A</v>
      </c>
      <c r="Q62" t="e">
        <f ca="1">VLOOKUP(N62&amp;$P$3,Intrim!H:L,5,0)</f>
        <v>#N/A</v>
      </c>
      <c r="R62" t="e">
        <f>VLOOKUP(N62,Intrim!F:I,4,0)</f>
        <v>#N/A</v>
      </c>
      <c r="S62" t="e">
        <f>VLOOKUP(P62,Intrim!G:J,4,0)</f>
        <v>#N/A</v>
      </c>
      <c r="T62" t="e">
        <f>+intrim2!AB65</f>
        <v>#N/A</v>
      </c>
      <c r="U62" t="e">
        <f>VLOOKUP(P62,Intrim!$S$3:$AA$201,9,0)</f>
        <v>#N/A</v>
      </c>
      <c r="V62" t="e">
        <f>VLOOKUP(P62,Intrim!S:Y,7,0)</f>
        <v>#N/A</v>
      </c>
      <c r="W62" t="str">
        <f>intrim2!X65</f>
        <v/>
      </c>
      <c r="X62" t="str">
        <f t="shared" si="4"/>
        <v/>
      </c>
      <c r="Y62" s="35" t="str">
        <f>IFERROR(IF(O62="Unallocated",Q62-SUMIF($N$3:$N61,N62,$Y$3:Y61),IF(U62&gt;=V62,Q62*T62/U62,IF(U62&gt;=T62,T62*R62/S62,U62*Q62/S62))),"")</f>
        <v/>
      </c>
      <c r="AA62">
        <v>13</v>
      </c>
      <c r="AB62" t="str">
        <f>+intrim2!C65</f>
        <v/>
      </c>
      <c r="AC62" t="str">
        <f ca="1">+intrim2!D65</f>
        <v/>
      </c>
      <c r="AD62" t="str">
        <f t="shared" ca="1" si="3"/>
        <v/>
      </c>
      <c r="AE62" t="str">
        <f t="shared" si="2"/>
        <v/>
      </c>
      <c r="AF62" t="str">
        <f>IF(AB62="","",VLOOKUP(AD62,Intrim!U:AD,10,0))</f>
        <v/>
      </c>
    </row>
    <row r="63" spans="2:32" x14ac:dyDescent="0.25">
      <c r="B63" t="str">
        <f ca="1">IF(OR(intrim2!D66="Unallocated",intrim2!D66=""),"",intrim2!D66)</f>
        <v/>
      </c>
      <c r="C63" t="str">
        <f ca="1">IFERROR(VLOOKUP($F$3&amp;B63,Intrim!$U:$Z,6,0),"")</f>
        <v/>
      </c>
      <c r="J63" t="str">
        <f ca="1">IF(intrim2!O66="","",intrim2!O66)</f>
        <v/>
      </c>
      <c r="K63" t="str">
        <f ca="1">IFERROR(VLOOKUP(J63&amp;$F$3,Input!F:G,2,0),"")</f>
        <v/>
      </c>
      <c r="N63" t="e">
        <f>+intrim2!Y66</f>
        <v>#N/A</v>
      </c>
      <c r="O63" t="e">
        <f>+intrim2!Z66</f>
        <v>#N/A</v>
      </c>
      <c r="P63" t="e">
        <f>+intrim2!AA66</f>
        <v>#N/A</v>
      </c>
      <c r="Q63" t="e">
        <f ca="1">VLOOKUP(N63&amp;$P$3,Intrim!H:L,5,0)</f>
        <v>#N/A</v>
      </c>
      <c r="R63" t="e">
        <f>VLOOKUP(N63,Intrim!F:I,4,0)</f>
        <v>#N/A</v>
      </c>
      <c r="S63" t="e">
        <f>VLOOKUP(P63,Intrim!G:J,4,0)</f>
        <v>#N/A</v>
      </c>
      <c r="T63" t="e">
        <f>+intrim2!AB66</f>
        <v>#N/A</v>
      </c>
      <c r="U63" t="e">
        <f>VLOOKUP(P63,Intrim!$S$3:$AA$201,9,0)</f>
        <v>#N/A</v>
      </c>
      <c r="V63" t="e">
        <f>VLOOKUP(P63,Intrim!S:Y,7,0)</f>
        <v>#N/A</v>
      </c>
      <c r="W63" t="str">
        <f>intrim2!X66</f>
        <v/>
      </c>
      <c r="X63" t="str">
        <f t="shared" si="4"/>
        <v/>
      </c>
      <c r="Y63" s="35" t="str">
        <f>IFERROR(IF(O63="Unallocated",Q63-SUMIF($N$3:$N62,N63,$Y$3:Y62),IF(U63&gt;=V63,Q63*T63/U63,IF(U63&gt;=T63,T63*R63/S63,U63*Q63/S63))),"")</f>
        <v/>
      </c>
      <c r="AA63">
        <v>13</v>
      </c>
      <c r="AB63" t="str">
        <f>+intrim2!C66</f>
        <v/>
      </c>
      <c r="AC63" t="str">
        <f ca="1">+intrim2!D66</f>
        <v/>
      </c>
      <c r="AD63" t="str">
        <f t="shared" ca="1" si="3"/>
        <v/>
      </c>
      <c r="AE63" t="str">
        <f t="shared" si="2"/>
        <v/>
      </c>
      <c r="AF63" t="str">
        <f>IF(AB63="","",VLOOKUP(AD63,Intrim!U:AD,10,0))</f>
        <v/>
      </c>
    </row>
    <row r="64" spans="2:32" x14ac:dyDescent="0.25">
      <c r="B64" t="str">
        <f ca="1">IF(OR(intrim2!D67="Unallocated",intrim2!D67=""),"",intrim2!D67)</f>
        <v/>
      </c>
      <c r="C64" t="str">
        <f ca="1">IFERROR(VLOOKUP($F$3&amp;B64,Intrim!$U:$Z,6,0),"")</f>
        <v/>
      </c>
      <c r="J64" t="str">
        <f ca="1">IF(intrim2!O67="","",intrim2!O67)</f>
        <v/>
      </c>
      <c r="K64" t="str">
        <f ca="1">IFERROR(VLOOKUP(J64&amp;$F$3,Input!F:G,2,0),"")</f>
        <v/>
      </c>
      <c r="N64" t="e">
        <f>+intrim2!Y67</f>
        <v>#N/A</v>
      </c>
      <c r="O64" t="e">
        <f>+intrim2!Z67</f>
        <v>#N/A</v>
      </c>
      <c r="P64" t="e">
        <f>+intrim2!AA67</f>
        <v>#N/A</v>
      </c>
      <c r="Q64" t="e">
        <f ca="1">VLOOKUP(N64&amp;$P$3,Intrim!H:L,5,0)</f>
        <v>#N/A</v>
      </c>
      <c r="R64" t="e">
        <f>VLOOKUP(N64,Intrim!F:I,4,0)</f>
        <v>#N/A</v>
      </c>
      <c r="S64" t="e">
        <f>VLOOKUP(P64,Intrim!G:J,4,0)</f>
        <v>#N/A</v>
      </c>
      <c r="T64" t="e">
        <f>+intrim2!AB67</f>
        <v>#N/A</v>
      </c>
      <c r="U64" t="e">
        <f>VLOOKUP(P64,Intrim!$S$3:$AA$201,9,0)</f>
        <v>#N/A</v>
      </c>
      <c r="V64" t="e">
        <f>VLOOKUP(P64,Intrim!S:Y,7,0)</f>
        <v>#N/A</v>
      </c>
      <c r="W64" t="str">
        <f>intrim2!X67</f>
        <v/>
      </c>
      <c r="X64" t="str">
        <f t="shared" si="4"/>
        <v/>
      </c>
      <c r="Y64" s="35" t="str">
        <f>IFERROR(IF(O64="Unallocated",Q64-SUMIF($N$3:$N63,N64,$Y$3:Y63),IF(U64&gt;=V64,Q64*T64/U64,IF(U64&gt;=T64,T64*R64/S64,U64*Q64/S64))),"")</f>
        <v/>
      </c>
      <c r="AA64">
        <v>13</v>
      </c>
      <c r="AB64" t="str">
        <f>+intrim2!C67</f>
        <v/>
      </c>
      <c r="AC64" t="str">
        <f ca="1">+intrim2!D67</f>
        <v/>
      </c>
      <c r="AD64" t="str">
        <f t="shared" ca="1" si="3"/>
        <v/>
      </c>
      <c r="AE64" t="str">
        <f t="shared" si="2"/>
        <v/>
      </c>
      <c r="AF64" t="str">
        <f>IF(AB64="","",VLOOKUP(AD64,Intrim!U:AD,10,0))</f>
        <v/>
      </c>
    </row>
    <row r="65" spans="2:32" x14ac:dyDescent="0.25">
      <c r="B65" t="str">
        <f ca="1">IF(OR(intrim2!D68="Unallocated",intrim2!D68=""),"",intrim2!D68)</f>
        <v/>
      </c>
      <c r="C65" t="str">
        <f ca="1">IFERROR(VLOOKUP($F$3&amp;B65,Intrim!$U:$Z,6,0),"")</f>
        <v/>
      </c>
      <c r="J65" t="str">
        <f ca="1">IF(intrim2!O68="","",intrim2!O68)</f>
        <v/>
      </c>
      <c r="K65" t="str">
        <f ca="1">IFERROR(VLOOKUP(J65&amp;$F$3,Input!F:G,2,0),"")</f>
        <v/>
      </c>
      <c r="N65" t="e">
        <f>+intrim2!Y68</f>
        <v>#N/A</v>
      </c>
      <c r="O65" t="e">
        <f>+intrim2!Z68</f>
        <v>#N/A</v>
      </c>
      <c r="P65" t="e">
        <f>+intrim2!AA68</f>
        <v>#N/A</v>
      </c>
      <c r="Q65" t="e">
        <f ca="1">VLOOKUP(N65&amp;$P$3,Intrim!H:L,5,0)</f>
        <v>#N/A</v>
      </c>
      <c r="R65" t="e">
        <f>VLOOKUP(N65,Intrim!F:I,4,0)</f>
        <v>#N/A</v>
      </c>
      <c r="S65" t="e">
        <f>VLOOKUP(P65,Intrim!G:J,4,0)</f>
        <v>#N/A</v>
      </c>
      <c r="T65" t="e">
        <f>+intrim2!AB68</f>
        <v>#N/A</v>
      </c>
      <c r="U65" t="e">
        <f>VLOOKUP(P65,Intrim!$S$3:$AA$201,9,0)</f>
        <v>#N/A</v>
      </c>
      <c r="V65" t="e">
        <f>VLOOKUP(P65,Intrim!S:Y,7,0)</f>
        <v>#N/A</v>
      </c>
      <c r="W65" t="str">
        <f>intrim2!X68</f>
        <v/>
      </c>
      <c r="X65" t="str">
        <f t="shared" si="4"/>
        <v/>
      </c>
      <c r="Y65" s="35" t="str">
        <f>IFERROR(IF(O65="Unallocated",Q65-SUMIF($N$3:$N64,N65,$Y$3:Y64),IF(U65&gt;=V65,Q65*T65/U65,IF(U65&gt;=T65,T65*R65/S65,U65*Q65/S65))),"")</f>
        <v/>
      </c>
      <c r="AA65">
        <v>13</v>
      </c>
      <c r="AB65" t="str">
        <f>+intrim2!C68</f>
        <v/>
      </c>
      <c r="AC65" t="str">
        <f ca="1">+intrim2!D68</f>
        <v/>
      </c>
      <c r="AD65" t="str">
        <f t="shared" ca="1" si="3"/>
        <v/>
      </c>
      <c r="AE65" t="str">
        <f t="shared" si="2"/>
        <v/>
      </c>
      <c r="AF65" t="str">
        <f>IF(AB65="","",VLOOKUP(AD65,Intrim!U:AD,10,0))</f>
        <v/>
      </c>
    </row>
    <row r="66" spans="2:32" x14ac:dyDescent="0.25">
      <c r="B66" t="str">
        <f ca="1">IF(OR(intrim2!D69="Unallocated",intrim2!D69=""),"",intrim2!D69)</f>
        <v/>
      </c>
      <c r="C66" t="str">
        <f ca="1">IFERROR(VLOOKUP($F$3&amp;B66,Intrim!$U:$Z,6,0),"")</f>
        <v/>
      </c>
      <c r="J66" t="str">
        <f ca="1">IF(intrim2!O69="","",intrim2!O69)</f>
        <v/>
      </c>
      <c r="K66" t="str">
        <f ca="1">IFERROR(VLOOKUP(J66&amp;$F$3,Input!F:G,2,0),"")</f>
        <v/>
      </c>
      <c r="N66" t="e">
        <f>+intrim2!Y69</f>
        <v>#N/A</v>
      </c>
      <c r="O66" t="e">
        <f>+intrim2!Z69</f>
        <v>#N/A</v>
      </c>
      <c r="P66" t="e">
        <f>+intrim2!AA69</f>
        <v>#N/A</v>
      </c>
      <c r="Q66" t="e">
        <f ca="1">VLOOKUP(N66&amp;$P$3,Intrim!H:L,5,0)</f>
        <v>#N/A</v>
      </c>
      <c r="R66" t="e">
        <f>VLOOKUP(N66,Intrim!F:I,4,0)</f>
        <v>#N/A</v>
      </c>
      <c r="S66" t="e">
        <f>VLOOKUP(P66,Intrim!G:J,4,0)</f>
        <v>#N/A</v>
      </c>
      <c r="T66" t="e">
        <f>+intrim2!AB69</f>
        <v>#N/A</v>
      </c>
      <c r="U66" t="e">
        <f>VLOOKUP(P66,Intrim!$S$3:$AA$201,9,0)</f>
        <v>#N/A</v>
      </c>
      <c r="V66" t="e">
        <f>VLOOKUP(P66,Intrim!S:Y,7,0)</f>
        <v>#N/A</v>
      </c>
      <c r="W66" t="str">
        <f>intrim2!X69</f>
        <v/>
      </c>
      <c r="X66" t="str">
        <f t="shared" si="4"/>
        <v/>
      </c>
      <c r="Y66" s="35" t="str">
        <f>IFERROR(IF(O66="Unallocated",Q66-SUMIF($N$3:$N65,N66,$Y$3:Y65),IF(U66&gt;=V66,Q66*T66/U66,IF(U66&gt;=T66,T66*R66/S66,U66*Q66/S66))),"")</f>
        <v/>
      </c>
      <c r="AA66">
        <v>13</v>
      </c>
      <c r="AB66" t="str">
        <f>+intrim2!C69</f>
        <v/>
      </c>
      <c r="AC66" t="str">
        <f ca="1">+intrim2!D69</f>
        <v/>
      </c>
      <c r="AD66" t="str">
        <f t="shared" ca="1" si="3"/>
        <v/>
      </c>
      <c r="AE66" t="str">
        <f t="shared" si="2"/>
        <v/>
      </c>
      <c r="AF66" t="str">
        <f>IF(AB66="","",VLOOKUP(AD66,Intrim!U:AD,10,0))</f>
        <v/>
      </c>
    </row>
    <row r="67" spans="2:32" x14ac:dyDescent="0.25">
      <c r="B67" t="str">
        <f ca="1">IF(OR(intrim2!D70="Unallocated",intrim2!D70=""),"",intrim2!D70)</f>
        <v/>
      </c>
      <c r="C67" t="str">
        <f ca="1">IFERROR(VLOOKUP($F$3&amp;B67,Intrim!$U:$Z,6,0),"")</f>
        <v/>
      </c>
      <c r="J67" t="str">
        <f ca="1">IF(intrim2!O70="","",intrim2!O70)</f>
        <v/>
      </c>
      <c r="K67" t="str">
        <f ca="1">IFERROR(VLOOKUP(J67&amp;$F$3,Input!F:G,2,0),"")</f>
        <v/>
      </c>
      <c r="N67" t="e">
        <f>+intrim2!Y70</f>
        <v>#N/A</v>
      </c>
      <c r="O67" t="e">
        <f>+intrim2!Z70</f>
        <v>#N/A</v>
      </c>
      <c r="P67" t="e">
        <f>+intrim2!AA70</f>
        <v>#N/A</v>
      </c>
      <c r="Q67" t="e">
        <f ca="1">VLOOKUP(N67&amp;$P$3,Intrim!H:L,5,0)</f>
        <v>#N/A</v>
      </c>
      <c r="R67" t="e">
        <f>VLOOKUP(N67,Intrim!F:I,4,0)</f>
        <v>#N/A</v>
      </c>
      <c r="S67" t="e">
        <f>VLOOKUP(P67,Intrim!G:J,4,0)</f>
        <v>#N/A</v>
      </c>
      <c r="T67" t="e">
        <f>+intrim2!AB70</f>
        <v>#N/A</v>
      </c>
      <c r="U67" t="e">
        <f>VLOOKUP(P67,Intrim!$S$3:$AA$201,9,0)</f>
        <v>#N/A</v>
      </c>
      <c r="V67" t="e">
        <f>VLOOKUP(P67,Intrim!S:Y,7,0)</f>
        <v>#N/A</v>
      </c>
      <c r="W67" t="str">
        <f>intrim2!X70</f>
        <v/>
      </c>
      <c r="X67" t="str">
        <f t="shared" ref="X67:X98" si="5">IFERROR(N67&amp;" Tranche"&amp;W67&amp;" ("&amp;O67&amp;")","")</f>
        <v/>
      </c>
      <c r="Y67" s="35" t="str">
        <f>IFERROR(IF(O67="Unallocated",Q67-SUMIF($N$3:$N66,N67,$Y$3:Y66),IF(U67&gt;=V67,Q67*T67/U67,IF(U67&gt;=T67,T67*R67/S67,U67*Q67/S67))),"")</f>
        <v/>
      </c>
      <c r="AA67">
        <v>13</v>
      </c>
      <c r="AB67" t="str">
        <f>+intrim2!C70</f>
        <v/>
      </c>
      <c r="AC67" t="str">
        <f ca="1">+intrim2!D70</f>
        <v/>
      </c>
      <c r="AD67" t="str">
        <f t="shared" ca="1" si="3"/>
        <v/>
      </c>
      <c r="AE67" t="str">
        <f t="shared" si="2"/>
        <v/>
      </c>
      <c r="AF67" t="str">
        <f>IF(AB67="","",VLOOKUP(AD67,Intrim!U:AD,10,0))</f>
        <v/>
      </c>
    </row>
    <row r="68" spans="2:32" x14ac:dyDescent="0.25">
      <c r="B68" t="str">
        <f ca="1">IF(OR(intrim2!D71="Unallocated",intrim2!D71=""),"",intrim2!D71)</f>
        <v/>
      </c>
      <c r="C68" t="str">
        <f ca="1">IFERROR(VLOOKUP($F$3&amp;B68,Intrim!$U:$Z,6,0),"")</f>
        <v/>
      </c>
      <c r="J68" t="str">
        <f ca="1">IF(intrim2!O71="","",intrim2!O71)</f>
        <v/>
      </c>
      <c r="K68" t="str">
        <f ca="1">IFERROR(VLOOKUP(J68&amp;$F$3,Input!F:G,2,0),"")</f>
        <v/>
      </c>
      <c r="N68" t="e">
        <f>+intrim2!Y71</f>
        <v>#N/A</v>
      </c>
      <c r="O68" t="e">
        <f>+intrim2!Z71</f>
        <v>#N/A</v>
      </c>
      <c r="P68" t="e">
        <f>+intrim2!AA71</f>
        <v>#N/A</v>
      </c>
      <c r="Q68" t="e">
        <f ca="1">VLOOKUP(N68&amp;$P$3,Intrim!H:L,5,0)</f>
        <v>#N/A</v>
      </c>
      <c r="R68" t="e">
        <f>VLOOKUP(N68,Intrim!F:I,4,0)</f>
        <v>#N/A</v>
      </c>
      <c r="S68" t="e">
        <f>VLOOKUP(P68,Intrim!G:J,4,0)</f>
        <v>#N/A</v>
      </c>
      <c r="T68" t="e">
        <f>+intrim2!AB71</f>
        <v>#N/A</v>
      </c>
      <c r="U68" t="e">
        <f>VLOOKUP(P68,Intrim!$S$3:$AA$201,9,0)</f>
        <v>#N/A</v>
      </c>
      <c r="V68" t="e">
        <f>VLOOKUP(P68,Intrim!S:Y,7,0)</f>
        <v>#N/A</v>
      </c>
      <c r="W68" t="str">
        <f>intrim2!X71</f>
        <v/>
      </c>
      <c r="X68" t="str">
        <f t="shared" si="5"/>
        <v/>
      </c>
      <c r="Y68" s="35" t="str">
        <f>IFERROR(IF(O68="Unallocated",Q68-SUMIF($N$3:$N67,N68,$Y$3:Y67),IF(U68&gt;=V68,Q68*T68/U68,IF(U68&gt;=T68,T68*R68/S68,U68*Q68/S68))),"")</f>
        <v/>
      </c>
      <c r="AA68">
        <v>13</v>
      </c>
      <c r="AB68" t="str">
        <f>+intrim2!C71</f>
        <v/>
      </c>
      <c r="AC68" t="str">
        <f ca="1">+intrim2!D71</f>
        <v/>
      </c>
      <c r="AD68" t="str">
        <f t="shared" ca="1" si="3"/>
        <v/>
      </c>
      <c r="AE68" t="str">
        <f t="shared" si="2"/>
        <v/>
      </c>
      <c r="AF68" t="str">
        <f>IF(AB68="","",VLOOKUP(AD68,Intrim!U:AD,10,0))</f>
        <v/>
      </c>
    </row>
    <row r="69" spans="2:32" x14ac:dyDescent="0.25">
      <c r="B69" t="str">
        <f ca="1">IF(OR(intrim2!D72="Unallocated",intrim2!D72=""),"",intrim2!D72)</f>
        <v/>
      </c>
      <c r="C69" t="str">
        <f ca="1">IFERROR(VLOOKUP($F$3&amp;B69,Intrim!$U:$Z,6,0),"")</f>
        <v/>
      </c>
      <c r="J69" t="str">
        <f ca="1">IF(intrim2!O72="","",intrim2!O72)</f>
        <v/>
      </c>
      <c r="K69" t="str">
        <f ca="1">IFERROR(VLOOKUP(J69&amp;$F$3,Input!F:G,2,0),"")</f>
        <v/>
      </c>
      <c r="N69" t="e">
        <f>+intrim2!Y72</f>
        <v>#N/A</v>
      </c>
      <c r="O69" t="e">
        <f>+intrim2!Z72</f>
        <v>#N/A</v>
      </c>
      <c r="P69" t="e">
        <f>+intrim2!AA72</f>
        <v>#N/A</v>
      </c>
      <c r="Q69" t="e">
        <f ca="1">VLOOKUP(N69&amp;$P$3,Intrim!H:L,5,0)</f>
        <v>#N/A</v>
      </c>
      <c r="R69" t="e">
        <f>VLOOKUP(N69,Intrim!F:I,4,0)</f>
        <v>#N/A</v>
      </c>
      <c r="S69" t="e">
        <f>VLOOKUP(P69,Intrim!G:J,4,0)</f>
        <v>#N/A</v>
      </c>
      <c r="T69" t="e">
        <f>+intrim2!AB72</f>
        <v>#N/A</v>
      </c>
      <c r="U69" t="e">
        <f>VLOOKUP(P69,Intrim!$S$3:$AA$201,9,0)</f>
        <v>#N/A</v>
      </c>
      <c r="V69" t="e">
        <f>VLOOKUP(P69,Intrim!S:Y,7,0)</f>
        <v>#N/A</v>
      </c>
      <c r="W69" t="str">
        <f>intrim2!X72</f>
        <v/>
      </c>
      <c r="X69" t="str">
        <f t="shared" si="5"/>
        <v/>
      </c>
      <c r="Y69" s="35" t="str">
        <f>IFERROR(IF(O69="Unallocated",Q69-SUMIF($N$3:$N68,N69,$Y$3:Y68),IF(U69&gt;=V69,Q69*T69/U69,IF(U69&gt;=T69,T69*R69/S69,U69*Q69/S69))),"")</f>
        <v/>
      </c>
      <c r="AA69">
        <v>13</v>
      </c>
      <c r="AB69" t="str">
        <f>+intrim2!C72</f>
        <v/>
      </c>
      <c r="AC69" t="str">
        <f ca="1">+intrim2!D72</f>
        <v/>
      </c>
      <c r="AD69" t="str">
        <f t="shared" ca="1" si="3"/>
        <v/>
      </c>
      <c r="AE69" t="str">
        <f t="shared" si="2"/>
        <v/>
      </c>
      <c r="AF69" t="str">
        <f>IF(AB69="","",VLOOKUP(AD69,Intrim!U:AD,10,0))</f>
        <v/>
      </c>
    </row>
    <row r="70" spans="2:32" x14ac:dyDescent="0.25">
      <c r="B70" t="str">
        <f ca="1">IF(OR(intrim2!D73="Unallocated",intrim2!D73=""),"",intrim2!D73)</f>
        <v/>
      </c>
      <c r="C70" t="str">
        <f ca="1">IFERROR(VLOOKUP($F$3&amp;B70,Intrim!$U:$Z,6,0),"")</f>
        <v/>
      </c>
      <c r="J70" t="str">
        <f ca="1">IF(intrim2!O73="","",intrim2!O73)</f>
        <v/>
      </c>
      <c r="K70" t="str">
        <f ca="1">IFERROR(VLOOKUP(J70&amp;$F$3,Input!F:G,2,0),"")</f>
        <v/>
      </c>
      <c r="N70" t="e">
        <f>+intrim2!Y73</f>
        <v>#N/A</v>
      </c>
      <c r="O70" t="e">
        <f>+intrim2!Z73</f>
        <v>#N/A</v>
      </c>
      <c r="P70" t="e">
        <f>+intrim2!AA73</f>
        <v>#N/A</v>
      </c>
      <c r="Q70" t="e">
        <f ca="1">VLOOKUP(N70&amp;$P$3,Intrim!H:L,5,0)</f>
        <v>#N/A</v>
      </c>
      <c r="R70" t="e">
        <f>VLOOKUP(N70,Intrim!F:I,4,0)</f>
        <v>#N/A</v>
      </c>
      <c r="S70" t="e">
        <f>VLOOKUP(P70,Intrim!G:J,4,0)</f>
        <v>#N/A</v>
      </c>
      <c r="T70" t="e">
        <f>+intrim2!AB73</f>
        <v>#N/A</v>
      </c>
      <c r="U70" t="e">
        <f>VLOOKUP(P70,Intrim!$S$3:$AA$201,9,0)</f>
        <v>#N/A</v>
      </c>
      <c r="V70" t="e">
        <f>VLOOKUP(P70,Intrim!S:Y,7,0)</f>
        <v>#N/A</v>
      </c>
      <c r="W70" t="str">
        <f>intrim2!X73</f>
        <v/>
      </c>
      <c r="X70" t="str">
        <f t="shared" si="5"/>
        <v/>
      </c>
      <c r="Y70" s="35" t="str">
        <f>IFERROR(IF(O70="Unallocated",Q70-SUMIF($N$3:$N69,N70,$Y$3:Y69),IF(U70&gt;=V70,Q70*T70/U70,IF(U70&gt;=T70,T70*R70/S70,U70*Q70/S70))),"")</f>
        <v/>
      </c>
      <c r="AA70">
        <v>13</v>
      </c>
      <c r="AB70" t="str">
        <f>+intrim2!C73</f>
        <v/>
      </c>
      <c r="AC70" t="str">
        <f ca="1">+intrim2!D73</f>
        <v/>
      </c>
      <c r="AD70" t="str">
        <f t="shared" ca="1" si="3"/>
        <v/>
      </c>
      <c r="AE70" t="str">
        <f t="shared" ref="AE70:AE133" si="6">IF(AB70="","",AB70&amp;" Undrawn Tranche"&amp;AA70&amp;" ("&amp;AC70&amp;")")</f>
        <v/>
      </c>
      <c r="AF70" t="str">
        <f>IF(AB70="","",VLOOKUP(AD70,Intrim!U:AD,10,0))</f>
        <v/>
      </c>
    </row>
    <row r="71" spans="2:32" x14ac:dyDescent="0.25">
      <c r="B71" t="str">
        <f ca="1">IF(OR(intrim2!D74="Unallocated",intrim2!D74=""),"",intrim2!D74)</f>
        <v/>
      </c>
      <c r="C71" t="str">
        <f ca="1">IFERROR(VLOOKUP($F$3&amp;B71,Intrim!$U:$Z,6,0),"")</f>
        <v/>
      </c>
      <c r="J71" t="str">
        <f ca="1">IF(intrim2!O74="","",intrim2!O74)</f>
        <v/>
      </c>
      <c r="K71" t="str">
        <f ca="1">IFERROR(VLOOKUP(J71&amp;$F$3,Input!F:G,2,0),"")</f>
        <v/>
      </c>
      <c r="N71" t="e">
        <f>+intrim2!Y74</f>
        <v>#N/A</v>
      </c>
      <c r="O71" t="e">
        <f>+intrim2!Z74</f>
        <v>#N/A</v>
      </c>
      <c r="P71" t="e">
        <f>+intrim2!AA74</f>
        <v>#N/A</v>
      </c>
      <c r="Q71" t="e">
        <f ca="1">VLOOKUP(N71&amp;$P$3,Intrim!H:L,5,0)</f>
        <v>#N/A</v>
      </c>
      <c r="R71" t="e">
        <f>VLOOKUP(N71,Intrim!F:I,4,0)</f>
        <v>#N/A</v>
      </c>
      <c r="S71" t="e">
        <f>VLOOKUP(P71,Intrim!G:J,4,0)</f>
        <v>#N/A</v>
      </c>
      <c r="T71" t="e">
        <f>+intrim2!AB74</f>
        <v>#N/A</v>
      </c>
      <c r="U71" t="e">
        <f>VLOOKUP(P71,Intrim!$S$3:$AA$201,9,0)</f>
        <v>#N/A</v>
      </c>
      <c r="V71" t="e">
        <f>VLOOKUP(P71,Intrim!S:Y,7,0)</f>
        <v>#N/A</v>
      </c>
      <c r="W71" t="str">
        <f>intrim2!X74</f>
        <v/>
      </c>
      <c r="X71" t="str">
        <f t="shared" si="5"/>
        <v/>
      </c>
      <c r="Y71" s="35" t="str">
        <f>IFERROR(IF(O71="Unallocated",Q71-SUMIF($N$3:$N70,N71,$Y$3:Y70),IF(U71&gt;=V71,Q71*T71/U71,IF(U71&gt;=T71,T71*R71/S71,U71*Q71/S71))),"")</f>
        <v/>
      </c>
      <c r="AA71">
        <v>13</v>
      </c>
      <c r="AB71" t="str">
        <f>+intrim2!C74</f>
        <v/>
      </c>
      <c r="AC71" t="str">
        <f ca="1">+intrim2!D74</f>
        <v/>
      </c>
      <c r="AD71" t="str">
        <f t="shared" ca="1" si="3"/>
        <v/>
      </c>
      <c r="AE71" t="str">
        <f t="shared" si="6"/>
        <v/>
      </c>
      <c r="AF71" t="str">
        <f>IF(AB71="","",VLOOKUP(AD71,Intrim!U:AD,10,0))</f>
        <v/>
      </c>
    </row>
    <row r="72" spans="2:32" x14ac:dyDescent="0.25">
      <c r="B72" t="str">
        <f ca="1">IF(OR(intrim2!D75="Unallocated",intrim2!D75=""),"",intrim2!D75)</f>
        <v/>
      </c>
      <c r="C72" t="str">
        <f ca="1">IFERROR(VLOOKUP($F$3&amp;B72,Intrim!$U:$Z,6,0),"")</f>
        <v/>
      </c>
      <c r="J72" t="str">
        <f ca="1">IF(intrim2!O75="","",intrim2!O75)</f>
        <v/>
      </c>
      <c r="K72" t="str">
        <f ca="1">IFERROR(VLOOKUP(J72&amp;$F$3,Input!F:G,2,0),"")</f>
        <v/>
      </c>
      <c r="N72" t="e">
        <f>+intrim2!Y75</f>
        <v>#N/A</v>
      </c>
      <c r="O72" t="e">
        <f>+intrim2!Z75</f>
        <v>#N/A</v>
      </c>
      <c r="P72" t="e">
        <f>+intrim2!AA75</f>
        <v>#N/A</v>
      </c>
      <c r="Q72" t="e">
        <f ca="1">VLOOKUP(N72&amp;$P$3,Intrim!H:L,5,0)</f>
        <v>#N/A</v>
      </c>
      <c r="R72" t="e">
        <f>VLOOKUP(N72,Intrim!F:I,4,0)</f>
        <v>#N/A</v>
      </c>
      <c r="S72" t="e">
        <f>VLOOKUP(P72,Intrim!G:J,4,0)</f>
        <v>#N/A</v>
      </c>
      <c r="T72" t="e">
        <f>+intrim2!AB75</f>
        <v>#N/A</v>
      </c>
      <c r="U72" t="e">
        <f>VLOOKUP(P72,Intrim!$S$3:$AA$201,9,0)</f>
        <v>#N/A</v>
      </c>
      <c r="V72" t="e">
        <f>VLOOKUP(P72,Intrim!S:Y,7,0)</f>
        <v>#N/A</v>
      </c>
      <c r="W72" t="str">
        <f>intrim2!X75</f>
        <v/>
      </c>
      <c r="X72" t="str">
        <f t="shared" si="5"/>
        <v/>
      </c>
      <c r="Y72" s="35" t="str">
        <f>IFERROR(IF(O72="Unallocated",Q72-SUMIF($N$3:$N71,N72,$Y$3:Y71),IF(U72&gt;=V72,Q72*T72/U72,IF(U72&gt;=T72,T72*R72/S72,U72*Q72/S72))),"")</f>
        <v/>
      </c>
      <c r="AA72">
        <v>13</v>
      </c>
      <c r="AB72" t="str">
        <f>+intrim2!C75</f>
        <v/>
      </c>
      <c r="AC72" t="str">
        <f ca="1">+intrim2!D75</f>
        <v/>
      </c>
      <c r="AD72" t="str">
        <f t="shared" ca="1" si="3"/>
        <v/>
      </c>
      <c r="AE72" t="str">
        <f t="shared" si="6"/>
        <v/>
      </c>
      <c r="AF72" t="str">
        <f>IF(AB72="","",VLOOKUP(AD72,Intrim!U:AD,10,0))</f>
        <v/>
      </c>
    </row>
    <row r="73" spans="2:32" x14ac:dyDescent="0.25">
      <c r="B73" t="str">
        <f ca="1">IF(OR(intrim2!D76="Unallocated",intrim2!D76=""),"",intrim2!D76)</f>
        <v/>
      </c>
      <c r="C73" t="str">
        <f ca="1">IFERROR(VLOOKUP($F$3&amp;B73,Intrim!$U:$Z,6,0),"")</f>
        <v/>
      </c>
      <c r="J73" t="str">
        <f ca="1">IF(intrim2!O76="","",intrim2!O76)</f>
        <v/>
      </c>
      <c r="K73" t="str">
        <f ca="1">IFERROR(VLOOKUP(J73&amp;$F$3,Input!F:G,2,0),"")</f>
        <v/>
      </c>
      <c r="N73" t="e">
        <f>+intrim2!Y76</f>
        <v>#N/A</v>
      </c>
      <c r="O73" t="e">
        <f>+intrim2!Z76</f>
        <v>#N/A</v>
      </c>
      <c r="P73" t="e">
        <f>+intrim2!AA76</f>
        <v>#N/A</v>
      </c>
      <c r="Q73" t="e">
        <f ca="1">VLOOKUP(N73&amp;$P$3,Intrim!H:L,5,0)</f>
        <v>#N/A</v>
      </c>
      <c r="R73" t="e">
        <f>VLOOKUP(N73,Intrim!F:I,4,0)</f>
        <v>#N/A</v>
      </c>
      <c r="S73" t="e">
        <f>VLOOKUP(P73,Intrim!G:J,4,0)</f>
        <v>#N/A</v>
      </c>
      <c r="T73" t="e">
        <f>+intrim2!AB76</f>
        <v>#N/A</v>
      </c>
      <c r="U73" t="e">
        <f>VLOOKUP(P73,Intrim!$S$3:$AA$201,9,0)</f>
        <v>#N/A</v>
      </c>
      <c r="V73" t="e">
        <f>VLOOKUP(P73,Intrim!S:Y,7,0)</f>
        <v>#N/A</v>
      </c>
      <c r="W73" t="str">
        <f>intrim2!X76</f>
        <v/>
      </c>
      <c r="X73" t="str">
        <f t="shared" si="5"/>
        <v/>
      </c>
      <c r="Y73" s="35" t="str">
        <f>IFERROR(IF(O73="Unallocated",Q73-SUMIF($N$3:$N72,N73,$Y$3:Y72),IF(U73&gt;=V73,Q73*T73/U73,IF(U73&gt;=T73,T73*R73/S73,U73*Q73/S73))),"")</f>
        <v/>
      </c>
      <c r="AA73">
        <v>13</v>
      </c>
      <c r="AB73" t="str">
        <f>+intrim2!C76</f>
        <v/>
      </c>
      <c r="AC73" t="str">
        <f ca="1">+intrim2!D76</f>
        <v/>
      </c>
      <c r="AD73" t="str">
        <f t="shared" ca="1" si="3"/>
        <v/>
      </c>
      <c r="AE73" t="str">
        <f t="shared" si="6"/>
        <v/>
      </c>
      <c r="AF73" t="str">
        <f>IF(AB73="","",VLOOKUP(AD73,Intrim!U:AD,10,0))</f>
        <v/>
      </c>
    </row>
    <row r="74" spans="2:32" x14ac:dyDescent="0.25">
      <c r="B74" t="str">
        <f ca="1">IF(OR(intrim2!D77="Unallocated",intrim2!D77=""),"",intrim2!D77)</f>
        <v/>
      </c>
      <c r="C74" t="str">
        <f ca="1">IFERROR(VLOOKUP($F$3&amp;B74,Intrim!$U:$Z,6,0),"")</f>
        <v/>
      </c>
      <c r="J74" t="str">
        <f ca="1">IF(intrim2!O77="","",intrim2!O77)</f>
        <v/>
      </c>
      <c r="K74" t="str">
        <f ca="1">IFERROR(VLOOKUP(J74&amp;$F$3,Input!F:G,2,0),"")</f>
        <v/>
      </c>
      <c r="N74" t="e">
        <f>+intrim2!Y77</f>
        <v>#N/A</v>
      </c>
      <c r="O74" t="e">
        <f>+intrim2!Z77</f>
        <v>#N/A</v>
      </c>
      <c r="P74" t="e">
        <f>+intrim2!AA77</f>
        <v>#N/A</v>
      </c>
      <c r="Q74" t="e">
        <f ca="1">VLOOKUP(N74&amp;$P$3,Intrim!H:L,5,0)</f>
        <v>#N/A</v>
      </c>
      <c r="R74" t="e">
        <f>VLOOKUP(N74,Intrim!F:I,4,0)</f>
        <v>#N/A</v>
      </c>
      <c r="S74" t="e">
        <f>VLOOKUP(P74,Intrim!G:J,4,0)</f>
        <v>#N/A</v>
      </c>
      <c r="T74" t="e">
        <f>+intrim2!AB77</f>
        <v>#N/A</v>
      </c>
      <c r="U74" t="e">
        <f>VLOOKUP(P74,Intrim!$S$3:$AA$201,9,0)</f>
        <v>#N/A</v>
      </c>
      <c r="V74" t="e">
        <f>VLOOKUP(P74,Intrim!S:Y,7,0)</f>
        <v>#N/A</v>
      </c>
      <c r="W74" t="str">
        <f>intrim2!X77</f>
        <v/>
      </c>
      <c r="X74" t="str">
        <f t="shared" si="5"/>
        <v/>
      </c>
      <c r="Y74" s="35" t="str">
        <f>IFERROR(IF(O74="Unallocated",Q74-SUMIF($N$3:$N73,N74,$Y$3:Y73),IF(U74&gt;=V74,Q74*T74/U74,IF(U74&gt;=T74,T74*R74/S74,U74*Q74/S74))),"")</f>
        <v/>
      </c>
      <c r="AA74">
        <v>13</v>
      </c>
      <c r="AB74" t="str">
        <f>+intrim2!C77</f>
        <v/>
      </c>
      <c r="AC74" t="str">
        <f ca="1">+intrim2!D77</f>
        <v/>
      </c>
      <c r="AD74" t="str">
        <f t="shared" ca="1" si="3"/>
        <v/>
      </c>
      <c r="AE74" t="str">
        <f t="shared" si="6"/>
        <v/>
      </c>
      <c r="AF74" t="str">
        <f>IF(AB74="","",VLOOKUP(AD74,Intrim!U:AD,10,0))</f>
        <v/>
      </c>
    </row>
    <row r="75" spans="2:32" x14ac:dyDescent="0.25">
      <c r="B75" t="str">
        <f ca="1">IF(OR(intrim2!D78="Unallocated",intrim2!D78=""),"",intrim2!D78)</f>
        <v/>
      </c>
      <c r="C75" t="str">
        <f ca="1">IFERROR(VLOOKUP($F$3&amp;B75,Intrim!$U:$Z,6,0),"")</f>
        <v/>
      </c>
      <c r="J75" t="str">
        <f ca="1">IF(intrim2!O78="","",intrim2!O78)</f>
        <v/>
      </c>
      <c r="K75" t="str">
        <f ca="1">IFERROR(VLOOKUP(J75&amp;$F$3,Input!F:G,2,0),"")</f>
        <v/>
      </c>
      <c r="N75" t="e">
        <f>+intrim2!Y78</f>
        <v>#N/A</v>
      </c>
      <c r="O75" t="e">
        <f>+intrim2!Z78</f>
        <v>#N/A</v>
      </c>
      <c r="P75" t="e">
        <f>+intrim2!AA78</f>
        <v>#N/A</v>
      </c>
      <c r="Q75" t="e">
        <f ca="1">VLOOKUP(N75&amp;$P$3,Intrim!H:L,5,0)</f>
        <v>#N/A</v>
      </c>
      <c r="R75" t="e">
        <f>VLOOKUP(N75,Intrim!F:I,4,0)</f>
        <v>#N/A</v>
      </c>
      <c r="S75" t="e">
        <f>VLOOKUP(P75,Intrim!G:J,4,0)</f>
        <v>#N/A</v>
      </c>
      <c r="T75" t="e">
        <f>+intrim2!AB78</f>
        <v>#N/A</v>
      </c>
      <c r="U75" t="e">
        <f>VLOOKUP(P75,Intrim!$S$3:$AA$201,9,0)</f>
        <v>#N/A</v>
      </c>
      <c r="V75" t="e">
        <f>VLOOKUP(P75,Intrim!S:Y,7,0)</f>
        <v>#N/A</v>
      </c>
      <c r="W75" t="str">
        <f>intrim2!X78</f>
        <v/>
      </c>
      <c r="X75" t="str">
        <f t="shared" si="5"/>
        <v/>
      </c>
      <c r="Y75" s="35" t="str">
        <f>IFERROR(IF(O75="Unallocated",Q75-SUMIF($N$3:$N74,N75,$Y$3:Y74),IF(U75&gt;=V75,Q75*T75/U75,IF(U75&gt;=T75,T75*R75/S75,U75*Q75/S75))),"")</f>
        <v/>
      </c>
      <c r="AA75">
        <v>13</v>
      </c>
      <c r="AB75" t="str">
        <f>+intrim2!C78</f>
        <v/>
      </c>
      <c r="AC75" t="str">
        <f ca="1">+intrim2!D78</f>
        <v/>
      </c>
      <c r="AD75" t="str">
        <f t="shared" ca="1" si="3"/>
        <v/>
      </c>
      <c r="AE75" t="str">
        <f t="shared" si="6"/>
        <v/>
      </c>
      <c r="AF75" t="str">
        <f>IF(AB75="","",VLOOKUP(AD75,Intrim!U:AD,10,0))</f>
        <v/>
      </c>
    </row>
    <row r="76" spans="2:32" x14ac:dyDescent="0.25">
      <c r="B76" t="str">
        <f ca="1">IF(OR(intrim2!D79="Unallocated",intrim2!D79=""),"",intrim2!D79)</f>
        <v/>
      </c>
      <c r="C76" t="str">
        <f ca="1">IFERROR(VLOOKUP($F$3&amp;B76,Intrim!$U:$Z,6,0),"")</f>
        <v/>
      </c>
      <c r="J76" t="str">
        <f ca="1">IF(intrim2!O79="","",intrim2!O79)</f>
        <v/>
      </c>
      <c r="K76" t="str">
        <f ca="1">IFERROR(VLOOKUP(J76&amp;$F$3,Input!F:G,2,0),"")</f>
        <v/>
      </c>
      <c r="N76" t="e">
        <f>+intrim2!Y79</f>
        <v>#N/A</v>
      </c>
      <c r="O76" t="e">
        <f>+intrim2!Z79</f>
        <v>#N/A</v>
      </c>
      <c r="P76" t="e">
        <f>+intrim2!AA79</f>
        <v>#N/A</v>
      </c>
      <c r="Q76" t="e">
        <f ca="1">VLOOKUP(N76&amp;$P$3,Intrim!H:L,5,0)</f>
        <v>#N/A</v>
      </c>
      <c r="R76" t="e">
        <f>VLOOKUP(N76,Intrim!F:I,4,0)</f>
        <v>#N/A</v>
      </c>
      <c r="S76" t="e">
        <f>VLOOKUP(P76,Intrim!G:J,4,0)</f>
        <v>#N/A</v>
      </c>
      <c r="T76" t="e">
        <f>+intrim2!AB79</f>
        <v>#N/A</v>
      </c>
      <c r="U76" t="e">
        <f>VLOOKUP(P76,Intrim!$S$3:$AA$201,9,0)</f>
        <v>#N/A</v>
      </c>
      <c r="V76" t="e">
        <f>VLOOKUP(P76,Intrim!S:Y,7,0)</f>
        <v>#N/A</v>
      </c>
      <c r="W76" t="str">
        <f>intrim2!X79</f>
        <v/>
      </c>
      <c r="X76" t="str">
        <f t="shared" si="5"/>
        <v/>
      </c>
      <c r="Y76" s="35" t="str">
        <f>IFERROR(IF(O76="Unallocated",Q76-SUMIF($N$3:$N75,N76,$Y$3:Y75),IF(U76&gt;=V76,Q76*T76/U76,IF(U76&gt;=T76,T76*R76/S76,U76*Q76/S76))),"")</f>
        <v/>
      </c>
      <c r="AA76">
        <v>13</v>
      </c>
      <c r="AB76" t="str">
        <f>+intrim2!C79</f>
        <v/>
      </c>
      <c r="AC76" t="str">
        <f ca="1">+intrim2!D79</f>
        <v/>
      </c>
      <c r="AD76" t="str">
        <f t="shared" ca="1" si="3"/>
        <v/>
      </c>
      <c r="AE76" t="str">
        <f t="shared" si="6"/>
        <v/>
      </c>
      <c r="AF76" t="str">
        <f>IF(AB76="","",VLOOKUP(AD76,Intrim!U:AD,10,0))</f>
        <v/>
      </c>
    </row>
    <row r="77" spans="2:32" x14ac:dyDescent="0.25">
      <c r="B77" t="str">
        <f ca="1">IF(OR(intrim2!D80="Unallocated",intrim2!D80=""),"",intrim2!D80)</f>
        <v/>
      </c>
      <c r="C77" t="str">
        <f ca="1">IFERROR(VLOOKUP($F$3&amp;B77,Intrim!$U:$Z,6,0),"")</f>
        <v/>
      </c>
      <c r="J77" t="str">
        <f ca="1">IF(intrim2!O80="","",intrim2!O80)</f>
        <v/>
      </c>
      <c r="K77" t="str">
        <f ca="1">IFERROR(VLOOKUP(J77&amp;$F$3,Input!F:G,2,0),"")</f>
        <v/>
      </c>
      <c r="N77" t="e">
        <f>+intrim2!Y80</f>
        <v>#N/A</v>
      </c>
      <c r="O77" t="e">
        <f>+intrim2!Z80</f>
        <v>#N/A</v>
      </c>
      <c r="P77" t="e">
        <f>+intrim2!AA80</f>
        <v>#N/A</v>
      </c>
      <c r="Q77" t="e">
        <f ca="1">VLOOKUP(N77&amp;$P$3,Intrim!H:L,5,0)</f>
        <v>#N/A</v>
      </c>
      <c r="R77" t="e">
        <f>VLOOKUP(N77,Intrim!F:I,4,0)</f>
        <v>#N/A</v>
      </c>
      <c r="S77" t="e">
        <f>VLOOKUP(P77,Intrim!G:J,4,0)</f>
        <v>#N/A</v>
      </c>
      <c r="T77" t="e">
        <f>+intrim2!AB80</f>
        <v>#N/A</v>
      </c>
      <c r="U77" t="e">
        <f>VLOOKUP(P77,Intrim!$S$3:$AA$201,9,0)</f>
        <v>#N/A</v>
      </c>
      <c r="V77" t="e">
        <f>VLOOKUP(P77,Intrim!S:Y,7,0)</f>
        <v>#N/A</v>
      </c>
      <c r="W77" t="str">
        <f>intrim2!X80</f>
        <v/>
      </c>
      <c r="X77" t="str">
        <f t="shared" si="5"/>
        <v/>
      </c>
      <c r="Y77" s="35" t="str">
        <f>IFERROR(IF(O77="Unallocated",Q77-SUMIF($N$3:$N76,N77,$Y$3:Y76),IF(U77&gt;=V77,Q77*T77/U77,IF(U77&gt;=T77,T77*R77/S77,U77*Q77/S77))),"")</f>
        <v/>
      </c>
      <c r="AA77">
        <v>13</v>
      </c>
      <c r="AB77" t="str">
        <f>+intrim2!C80</f>
        <v/>
      </c>
      <c r="AC77" t="str">
        <f ca="1">+intrim2!D80</f>
        <v/>
      </c>
      <c r="AD77" t="str">
        <f t="shared" ca="1" si="3"/>
        <v/>
      </c>
      <c r="AE77" t="str">
        <f t="shared" si="6"/>
        <v/>
      </c>
      <c r="AF77" t="str">
        <f>IF(AB77="","",VLOOKUP(AD77,Intrim!U:AD,10,0))</f>
        <v/>
      </c>
    </row>
    <row r="78" spans="2:32" x14ac:dyDescent="0.25">
      <c r="B78" t="str">
        <f ca="1">IF(OR(intrim2!D81="Unallocated",intrim2!D81=""),"",intrim2!D81)</f>
        <v/>
      </c>
      <c r="C78" t="str">
        <f ca="1">IFERROR(VLOOKUP($F$3&amp;B78,Intrim!$U:$Z,6,0),"")</f>
        <v/>
      </c>
      <c r="J78" t="str">
        <f ca="1">IF(intrim2!O81="","",intrim2!O81)</f>
        <v/>
      </c>
      <c r="K78" t="str">
        <f ca="1">IFERROR(VLOOKUP(J78&amp;$F$3,Input!F:G,2,0),"")</f>
        <v/>
      </c>
      <c r="N78" t="e">
        <f>+intrim2!Y81</f>
        <v>#N/A</v>
      </c>
      <c r="O78" t="e">
        <f>+intrim2!Z81</f>
        <v>#N/A</v>
      </c>
      <c r="P78" t="e">
        <f>+intrim2!AA81</f>
        <v>#N/A</v>
      </c>
      <c r="Q78" t="e">
        <f ca="1">VLOOKUP(N78&amp;$P$3,Intrim!H:L,5,0)</f>
        <v>#N/A</v>
      </c>
      <c r="R78" t="e">
        <f>VLOOKUP(N78,Intrim!F:I,4,0)</f>
        <v>#N/A</v>
      </c>
      <c r="S78" t="e">
        <f>VLOOKUP(P78,Intrim!G:J,4,0)</f>
        <v>#N/A</v>
      </c>
      <c r="T78" t="e">
        <f>+intrim2!AB81</f>
        <v>#N/A</v>
      </c>
      <c r="U78" t="e">
        <f>VLOOKUP(P78,Intrim!$S$3:$AA$201,9,0)</f>
        <v>#N/A</v>
      </c>
      <c r="V78" t="e">
        <f>VLOOKUP(P78,Intrim!S:Y,7,0)</f>
        <v>#N/A</v>
      </c>
      <c r="W78" t="str">
        <f>intrim2!X81</f>
        <v/>
      </c>
      <c r="X78" t="str">
        <f t="shared" si="5"/>
        <v/>
      </c>
      <c r="Y78" s="35" t="str">
        <f>IFERROR(IF(O78="Unallocated",Q78-SUMIF($N$3:$N77,N78,$Y$3:Y77),IF(U78&gt;=V78,Q78*T78/U78,IF(U78&gt;=T78,T78*R78/S78,U78*Q78/S78))),"")</f>
        <v/>
      </c>
      <c r="AA78">
        <v>13</v>
      </c>
      <c r="AB78" t="str">
        <f>+intrim2!C81</f>
        <v/>
      </c>
      <c r="AC78" t="str">
        <f ca="1">+intrim2!D81</f>
        <v/>
      </c>
      <c r="AD78" t="str">
        <f t="shared" ca="1" si="3"/>
        <v/>
      </c>
      <c r="AE78" t="str">
        <f t="shared" si="6"/>
        <v/>
      </c>
      <c r="AF78" t="str">
        <f>IF(AB78="","",VLOOKUP(AD78,Intrim!U:AD,10,0))</f>
        <v/>
      </c>
    </row>
    <row r="79" spans="2:32" x14ac:dyDescent="0.25">
      <c r="B79" t="str">
        <f ca="1">IF(OR(intrim2!D82="Unallocated",intrim2!D82=""),"",intrim2!D82)</f>
        <v/>
      </c>
      <c r="C79" t="str">
        <f ca="1">IFERROR(VLOOKUP($F$3&amp;B79,Intrim!$U:$Z,6,0),"")</f>
        <v/>
      </c>
      <c r="J79" t="str">
        <f ca="1">IF(intrim2!O82="","",intrim2!O82)</f>
        <v/>
      </c>
      <c r="K79" t="str">
        <f ca="1">IFERROR(VLOOKUP(J79&amp;$F$3,Input!F:G,2,0),"")</f>
        <v/>
      </c>
      <c r="N79" t="e">
        <f>+intrim2!Y82</f>
        <v>#N/A</v>
      </c>
      <c r="O79" t="e">
        <f>+intrim2!Z82</f>
        <v>#N/A</v>
      </c>
      <c r="P79" t="e">
        <f>+intrim2!AA82</f>
        <v>#N/A</v>
      </c>
      <c r="Q79" t="e">
        <f ca="1">VLOOKUP(N79&amp;$P$3,Intrim!H:L,5,0)</f>
        <v>#N/A</v>
      </c>
      <c r="R79" t="e">
        <f>VLOOKUP(N79,Intrim!F:I,4,0)</f>
        <v>#N/A</v>
      </c>
      <c r="S79" t="e">
        <f>VLOOKUP(P79,Intrim!G:J,4,0)</f>
        <v>#N/A</v>
      </c>
      <c r="T79" t="e">
        <f>+intrim2!AB82</f>
        <v>#N/A</v>
      </c>
      <c r="U79" t="e">
        <f>VLOOKUP(P79,Intrim!$S$3:$AA$201,9,0)</f>
        <v>#N/A</v>
      </c>
      <c r="V79" t="e">
        <f>VLOOKUP(P79,Intrim!S:Y,7,0)</f>
        <v>#N/A</v>
      </c>
      <c r="W79" t="str">
        <f>intrim2!X82</f>
        <v/>
      </c>
      <c r="X79" t="str">
        <f t="shared" si="5"/>
        <v/>
      </c>
      <c r="Y79" s="35" t="str">
        <f>IFERROR(IF(O79="Unallocated",Q79-SUMIF($N$3:$N78,N79,$Y$3:Y78),IF(U79&gt;=V79,Q79*T79/U79,IF(U79&gt;=T79,T79*R79/S79,U79*Q79/S79))),"")</f>
        <v/>
      </c>
      <c r="AA79">
        <v>13</v>
      </c>
      <c r="AB79" t="str">
        <f>+intrim2!C82</f>
        <v/>
      </c>
      <c r="AC79" t="str">
        <f ca="1">+intrim2!D82</f>
        <v/>
      </c>
      <c r="AD79" t="str">
        <f t="shared" ca="1" si="3"/>
        <v/>
      </c>
      <c r="AE79" t="str">
        <f t="shared" si="6"/>
        <v/>
      </c>
      <c r="AF79" t="str">
        <f>IF(AB79="","",VLOOKUP(AD79,Intrim!U:AD,10,0))</f>
        <v/>
      </c>
    </row>
    <row r="80" spans="2:32" x14ac:dyDescent="0.25">
      <c r="B80" t="str">
        <f ca="1">IF(OR(intrim2!D83="Unallocated",intrim2!D83=""),"",intrim2!D83)</f>
        <v/>
      </c>
      <c r="C80" t="str">
        <f ca="1">IFERROR(VLOOKUP($F$3&amp;B80,Intrim!$U:$Z,6,0),"")</f>
        <v/>
      </c>
      <c r="J80" t="str">
        <f ca="1">IF(intrim2!O83="","",intrim2!O83)</f>
        <v/>
      </c>
      <c r="K80" t="str">
        <f ca="1">IFERROR(VLOOKUP(J80&amp;$F$3,Input!F:G,2,0),"")</f>
        <v/>
      </c>
      <c r="N80" t="e">
        <f>+intrim2!Y83</f>
        <v>#N/A</v>
      </c>
      <c r="O80" t="e">
        <f>+intrim2!Z83</f>
        <v>#N/A</v>
      </c>
      <c r="P80" t="e">
        <f>+intrim2!AA83</f>
        <v>#N/A</v>
      </c>
      <c r="Q80" t="e">
        <f ca="1">VLOOKUP(N80&amp;$P$3,Intrim!H:L,5,0)</f>
        <v>#N/A</v>
      </c>
      <c r="R80" t="e">
        <f>VLOOKUP(N80,Intrim!F:I,4,0)</f>
        <v>#N/A</v>
      </c>
      <c r="S80" t="e">
        <f>VLOOKUP(P80,Intrim!G:J,4,0)</f>
        <v>#N/A</v>
      </c>
      <c r="T80" t="e">
        <f>+intrim2!AB83</f>
        <v>#N/A</v>
      </c>
      <c r="U80" t="e">
        <f>VLOOKUP(P80,Intrim!$S$3:$AA$201,9,0)</f>
        <v>#N/A</v>
      </c>
      <c r="V80" t="e">
        <f>VLOOKUP(P80,Intrim!S:Y,7,0)</f>
        <v>#N/A</v>
      </c>
      <c r="W80" t="str">
        <f>intrim2!X83</f>
        <v/>
      </c>
      <c r="X80" t="str">
        <f t="shared" si="5"/>
        <v/>
      </c>
      <c r="Y80" s="35" t="str">
        <f>IFERROR(IF(O80="Unallocated",Q80-SUMIF($N$3:$N79,N80,$Y$3:Y79),IF(U80&gt;=V80,Q80*T80/U80,IF(U80&gt;=T80,T80*R80/S80,U80*Q80/S80))),"")</f>
        <v/>
      </c>
      <c r="AA80">
        <v>13</v>
      </c>
      <c r="AB80" t="str">
        <f>+intrim2!C83</f>
        <v/>
      </c>
      <c r="AC80" t="str">
        <f ca="1">+intrim2!D83</f>
        <v/>
      </c>
      <c r="AD80" t="str">
        <f t="shared" ref="AD80:AD143" ca="1" si="7">AB80&amp;AC80</f>
        <v/>
      </c>
      <c r="AE80" t="str">
        <f t="shared" si="6"/>
        <v/>
      </c>
      <c r="AF80" t="str">
        <f>IF(AB80="","",VLOOKUP(AD80,Intrim!U:AD,10,0))</f>
        <v/>
      </c>
    </row>
    <row r="81" spans="2:32" x14ac:dyDescent="0.25">
      <c r="B81" t="str">
        <f ca="1">IF(OR(intrim2!D84="Unallocated",intrim2!D84=""),"",intrim2!D84)</f>
        <v/>
      </c>
      <c r="C81" t="str">
        <f ca="1">IFERROR(VLOOKUP($F$3&amp;B81,Intrim!$U:$Z,6,0),"")</f>
        <v/>
      </c>
      <c r="J81" t="str">
        <f ca="1">IF(intrim2!O84="","",intrim2!O84)</f>
        <v/>
      </c>
      <c r="K81" t="str">
        <f ca="1">IFERROR(VLOOKUP(J81&amp;$F$3,Input!F:G,2,0),"")</f>
        <v/>
      </c>
      <c r="N81" t="e">
        <f>+intrim2!Y84</f>
        <v>#N/A</v>
      </c>
      <c r="O81" t="e">
        <f>+intrim2!Z84</f>
        <v>#N/A</v>
      </c>
      <c r="P81" t="e">
        <f>+intrim2!AA84</f>
        <v>#N/A</v>
      </c>
      <c r="Q81" t="e">
        <f ca="1">VLOOKUP(N81&amp;$P$3,Intrim!H:L,5,0)</f>
        <v>#N/A</v>
      </c>
      <c r="R81" t="e">
        <f>VLOOKUP(N81,Intrim!F:I,4,0)</f>
        <v>#N/A</v>
      </c>
      <c r="S81" t="e">
        <f>VLOOKUP(P81,Intrim!G:J,4,0)</f>
        <v>#N/A</v>
      </c>
      <c r="T81" t="e">
        <f>+intrim2!AB84</f>
        <v>#N/A</v>
      </c>
      <c r="U81" t="e">
        <f>VLOOKUP(P81,Intrim!$S$3:$AA$201,9,0)</f>
        <v>#N/A</v>
      </c>
      <c r="V81" t="e">
        <f>VLOOKUP(P81,Intrim!S:Y,7,0)</f>
        <v>#N/A</v>
      </c>
      <c r="W81" t="str">
        <f>intrim2!X84</f>
        <v/>
      </c>
      <c r="X81" t="str">
        <f t="shared" si="5"/>
        <v/>
      </c>
      <c r="Y81" s="35" t="str">
        <f>IFERROR(IF(O81="Unallocated",Q81-SUMIF($N$3:$N80,N81,$Y$3:Y80),IF(U81&gt;=V81,Q81*T81/U81,IF(U81&gt;=T81,T81*R81/S81,U81*Q81/S81))),"")</f>
        <v/>
      </c>
      <c r="AA81">
        <v>13</v>
      </c>
      <c r="AB81" t="str">
        <f>+intrim2!C84</f>
        <v/>
      </c>
      <c r="AC81" t="str">
        <f ca="1">+intrim2!D84</f>
        <v/>
      </c>
      <c r="AD81" t="str">
        <f t="shared" ca="1" si="7"/>
        <v/>
      </c>
      <c r="AE81" t="str">
        <f t="shared" si="6"/>
        <v/>
      </c>
      <c r="AF81" t="str">
        <f>IF(AB81="","",VLOOKUP(AD81,Intrim!U:AD,10,0))</f>
        <v/>
      </c>
    </row>
    <row r="82" spans="2:32" x14ac:dyDescent="0.25">
      <c r="B82" t="str">
        <f ca="1">IF(OR(intrim2!D85="Unallocated",intrim2!D85=""),"",intrim2!D85)</f>
        <v/>
      </c>
      <c r="C82" t="str">
        <f ca="1">IFERROR(VLOOKUP($F$3&amp;B82,Intrim!$U:$Z,6,0),"")</f>
        <v/>
      </c>
      <c r="J82" t="str">
        <f ca="1">IF(intrim2!O85="","",intrim2!O85)</f>
        <v/>
      </c>
      <c r="K82" t="str">
        <f ca="1">IFERROR(VLOOKUP(J82&amp;$F$3,Input!F:G,2,0),"")</f>
        <v/>
      </c>
      <c r="N82" t="e">
        <f>+intrim2!Y85</f>
        <v>#N/A</v>
      </c>
      <c r="O82" t="e">
        <f>+intrim2!Z85</f>
        <v>#N/A</v>
      </c>
      <c r="P82" t="e">
        <f>+intrim2!AA85</f>
        <v>#N/A</v>
      </c>
      <c r="Q82" t="e">
        <f ca="1">VLOOKUP(N82&amp;$P$3,Intrim!H:L,5,0)</f>
        <v>#N/A</v>
      </c>
      <c r="R82" t="e">
        <f>VLOOKUP(N82,Intrim!F:I,4,0)</f>
        <v>#N/A</v>
      </c>
      <c r="S82" t="e">
        <f>VLOOKUP(P82,Intrim!G:J,4,0)</f>
        <v>#N/A</v>
      </c>
      <c r="T82" t="e">
        <f>+intrim2!AB85</f>
        <v>#N/A</v>
      </c>
      <c r="U82" t="e">
        <f>VLOOKUP(P82,Intrim!$S$3:$AA$201,9,0)</f>
        <v>#N/A</v>
      </c>
      <c r="V82" t="e">
        <f>VLOOKUP(P82,Intrim!S:Y,7,0)</f>
        <v>#N/A</v>
      </c>
      <c r="W82" t="str">
        <f>intrim2!X85</f>
        <v/>
      </c>
      <c r="X82" t="str">
        <f t="shared" si="5"/>
        <v/>
      </c>
      <c r="Y82" s="35" t="str">
        <f>IFERROR(IF(O82="Unallocated",Q82-SUMIF($N$3:$N81,N82,$Y$3:Y81),IF(U82&gt;=V82,Q82*T82/U82,IF(U82&gt;=T82,T82*R82/S82,U82*Q82/S82))),"")</f>
        <v/>
      </c>
      <c r="AA82">
        <v>13</v>
      </c>
      <c r="AB82" t="str">
        <f>+intrim2!C85</f>
        <v/>
      </c>
      <c r="AC82" t="str">
        <f ca="1">+intrim2!D85</f>
        <v/>
      </c>
      <c r="AD82" t="str">
        <f t="shared" ca="1" si="7"/>
        <v/>
      </c>
      <c r="AE82" t="str">
        <f t="shared" si="6"/>
        <v/>
      </c>
      <c r="AF82" t="str">
        <f>IF(AB82="","",VLOOKUP(AD82,Intrim!U:AD,10,0))</f>
        <v/>
      </c>
    </row>
    <row r="83" spans="2:32" x14ac:dyDescent="0.25">
      <c r="B83" t="str">
        <f ca="1">IF(OR(intrim2!D86="Unallocated",intrim2!D86=""),"",intrim2!D86)</f>
        <v/>
      </c>
      <c r="C83" t="str">
        <f ca="1">IFERROR(VLOOKUP($F$3&amp;B83,Intrim!$U:$Z,6,0),"")</f>
        <v/>
      </c>
      <c r="J83" t="str">
        <f ca="1">IF(intrim2!O86="","",intrim2!O86)</f>
        <v/>
      </c>
      <c r="K83" t="str">
        <f ca="1">IFERROR(VLOOKUP(J83&amp;$F$3,Input!F:G,2,0),"")</f>
        <v/>
      </c>
      <c r="N83" t="e">
        <f>+intrim2!Y86</f>
        <v>#N/A</v>
      </c>
      <c r="O83" t="e">
        <f>+intrim2!Z86</f>
        <v>#N/A</v>
      </c>
      <c r="P83" t="e">
        <f>+intrim2!AA86</f>
        <v>#N/A</v>
      </c>
      <c r="Q83" t="e">
        <f ca="1">VLOOKUP(N83&amp;$P$3,Intrim!H:L,5,0)</f>
        <v>#N/A</v>
      </c>
      <c r="R83" t="e">
        <f>VLOOKUP(N83,Intrim!F:I,4,0)</f>
        <v>#N/A</v>
      </c>
      <c r="S83" t="e">
        <f>VLOOKUP(P83,Intrim!G:J,4,0)</f>
        <v>#N/A</v>
      </c>
      <c r="T83" t="e">
        <f>+intrim2!AB86</f>
        <v>#N/A</v>
      </c>
      <c r="U83" t="e">
        <f>VLOOKUP(P83,Intrim!$S$3:$AA$201,9,0)</f>
        <v>#N/A</v>
      </c>
      <c r="V83" t="e">
        <f>VLOOKUP(P83,Intrim!S:Y,7,0)</f>
        <v>#N/A</v>
      </c>
      <c r="W83" t="str">
        <f>intrim2!X86</f>
        <v/>
      </c>
      <c r="X83" t="str">
        <f t="shared" si="5"/>
        <v/>
      </c>
      <c r="Y83" s="35" t="str">
        <f>IFERROR(IF(O83="Unallocated",Q83-SUMIF($N$3:$N82,N83,$Y$3:Y82),IF(U83&gt;=V83,Q83*T83/U83,IF(U83&gt;=T83,T83*R83/S83,U83*Q83/S83))),"")</f>
        <v/>
      </c>
      <c r="AA83">
        <v>13</v>
      </c>
      <c r="AB83" t="str">
        <f>+intrim2!C86</f>
        <v/>
      </c>
      <c r="AC83" t="str">
        <f ca="1">+intrim2!D86</f>
        <v/>
      </c>
      <c r="AD83" t="str">
        <f t="shared" ca="1" si="7"/>
        <v/>
      </c>
      <c r="AE83" t="str">
        <f t="shared" si="6"/>
        <v/>
      </c>
      <c r="AF83" t="str">
        <f>IF(AB83="","",VLOOKUP(AD83,Intrim!U:AD,10,0))</f>
        <v/>
      </c>
    </row>
    <row r="84" spans="2:32" x14ac:dyDescent="0.25">
      <c r="B84" t="str">
        <f ca="1">IF(OR(intrim2!D87="Unallocated",intrim2!D87=""),"",intrim2!D87)</f>
        <v/>
      </c>
      <c r="C84" t="str">
        <f ca="1">IFERROR(VLOOKUP($F$3&amp;B84,Intrim!$U:$Z,6,0),"")</f>
        <v/>
      </c>
      <c r="J84" t="str">
        <f ca="1">IF(intrim2!O87="","",intrim2!O87)</f>
        <v/>
      </c>
      <c r="K84" t="str">
        <f ca="1">IFERROR(VLOOKUP(J84&amp;$F$3,Input!F:G,2,0),"")</f>
        <v/>
      </c>
      <c r="N84" t="e">
        <f>+intrim2!Y87</f>
        <v>#N/A</v>
      </c>
      <c r="O84" t="e">
        <f>+intrim2!Z87</f>
        <v>#N/A</v>
      </c>
      <c r="P84" t="e">
        <f>+intrim2!AA87</f>
        <v>#N/A</v>
      </c>
      <c r="Q84" t="e">
        <f ca="1">VLOOKUP(N84&amp;$P$3,Intrim!H:L,5,0)</f>
        <v>#N/A</v>
      </c>
      <c r="R84" t="e">
        <f>VLOOKUP(N84,Intrim!F:I,4,0)</f>
        <v>#N/A</v>
      </c>
      <c r="S84" t="e">
        <f>VLOOKUP(P84,Intrim!G:J,4,0)</f>
        <v>#N/A</v>
      </c>
      <c r="T84" t="e">
        <f>+intrim2!AB87</f>
        <v>#N/A</v>
      </c>
      <c r="U84" t="e">
        <f>VLOOKUP(P84,Intrim!$S$3:$AA$201,9,0)</f>
        <v>#N/A</v>
      </c>
      <c r="V84" t="e">
        <f>VLOOKUP(P84,Intrim!S:Y,7,0)</f>
        <v>#N/A</v>
      </c>
      <c r="W84" t="str">
        <f>intrim2!X87</f>
        <v/>
      </c>
      <c r="X84" t="str">
        <f t="shared" si="5"/>
        <v/>
      </c>
      <c r="Y84" s="35" t="str">
        <f>IFERROR(IF(O84="Unallocated",Q84-SUMIF($N$3:$N83,N84,$Y$3:Y83),IF(U84&gt;=V84,Q84*T84/U84,IF(U84&gt;=T84,T84*R84/S84,U84*Q84/S84))),"")</f>
        <v/>
      </c>
      <c r="AA84">
        <v>13</v>
      </c>
      <c r="AB84" t="str">
        <f>+intrim2!C87</f>
        <v/>
      </c>
      <c r="AC84" t="str">
        <f ca="1">+intrim2!D87</f>
        <v/>
      </c>
      <c r="AD84" t="str">
        <f t="shared" ca="1" si="7"/>
        <v/>
      </c>
      <c r="AE84" t="str">
        <f t="shared" si="6"/>
        <v/>
      </c>
      <c r="AF84" t="str">
        <f>IF(AB84="","",VLOOKUP(AD84,Intrim!U:AD,10,0))</f>
        <v/>
      </c>
    </row>
    <row r="85" spans="2:32" x14ac:dyDescent="0.25">
      <c r="B85" t="str">
        <f ca="1">IF(OR(intrim2!D88="Unallocated",intrim2!D88=""),"",intrim2!D88)</f>
        <v/>
      </c>
      <c r="C85" t="str">
        <f ca="1">IFERROR(VLOOKUP($F$3&amp;B85,Intrim!$U:$Z,6,0),"")</f>
        <v/>
      </c>
      <c r="J85" t="str">
        <f ca="1">IF(intrim2!O88="","",intrim2!O88)</f>
        <v/>
      </c>
      <c r="K85" t="str">
        <f ca="1">IFERROR(VLOOKUP(J85&amp;$F$3,Input!F:G,2,0),"")</f>
        <v/>
      </c>
      <c r="N85" t="e">
        <f>+intrim2!Y88</f>
        <v>#N/A</v>
      </c>
      <c r="O85" t="e">
        <f>+intrim2!Z88</f>
        <v>#N/A</v>
      </c>
      <c r="P85" t="e">
        <f>+intrim2!AA88</f>
        <v>#N/A</v>
      </c>
      <c r="Q85" t="e">
        <f ca="1">VLOOKUP(N85&amp;$P$3,Intrim!H:L,5,0)</f>
        <v>#N/A</v>
      </c>
      <c r="R85" t="e">
        <f>VLOOKUP(N85,Intrim!F:I,4,0)</f>
        <v>#N/A</v>
      </c>
      <c r="S85" t="e">
        <f>VLOOKUP(P85,Intrim!G:J,4,0)</f>
        <v>#N/A</v>
      </c>
      <c r="T85" t="e">
        <f>+intrim2!AB88</f>
        <v>#N/A</v>
      </c>
      <c r="U85" t="e">
        <f>VLOOKUP(P85,Intrim!$S$3:$AA$201,9,0)</f>
        <v>#N/A</v>
      </c>
      <c r="V85" t="e">
        <f>VLOOKUP(P85,Intrim!S:Y,7,0)</f>
        <v>#N/A</v>
      </c>
      <c r="W85" t="str">
        <f>intrim2!X88</f>
        <v/>
      </c>
      <c r="X85" t="str">
        <f t="shared" si="5"/>
        <v/>
      </c>
      <c r="Y85" s="35" t="str">
        <f>IFERROR(IF(O85="Unallocated",Q85-SUMIF($N$3:$N84,N85,$Y$3:Y84),IF(U85&gt;=V85,Q85*T85/U85,IF(U85&gt;=T85,T85*R85/S85,U85*Q85/S85))),"")</f>
        <v/>
      </c>
      <c r="AA85">
        <v>13</v>
      </c>
      <c r="AB85" t="str">
        <f>+intrim2!C88</f>
        <v/>
      </c>
      <c r="AC85" t="str">
        <f ca="1">+intrim2!D88</f>
        <v/>
      </c>
      <c r="AD85" t="str">
        <f t="shared" ca="1" si="7"/>
        <v/>
      </c>
      <c r="AE85" t="str">
        <f t="shared" si="6"/>
        <v/>
      </c>
      <c r="AF85" t="str">
        <f>IF(AB85="","",VLOOKUP(AD85,Intrim!U:AD,10,0))</f>
        <v/>
      </c>
    </row>
    <row r="86" spans="2:32" x14ac:dyDescent="0.25">
      <c r="B86" t="str">
        <f ca="1">IF(OR(intrim2!D89="Unallocated",intrim2!D89=""),"",intrim2!D89)</f>
        <v/>
      </c>
      <c r="C86" t="str">
        <f ca="1">IFERROR(VLOOKUP($F$3&amp;B86,Intrim!$U:$Z,6,0),"")</f>
        <v/>
      </c>
      <c r="J86" t="str">
        <f ca="1">IF(intrim2!O89="","",intrim2!O89)</f>
        <v/>
      </c>
      <c r="K86" t="str">
        <f ca="1">IFERROR(VLOOKUP(J86&amp;$F$3,Input!F:G,2,0),"")</f>
        <v/>
      </c>
      <c r="N86" t="e">
        <f>+intrim2!Y89</f>
        <v>#N/A</v>
      </c>
      <c r="O86" t="e">
        <f>+intrim2!Z89</f>
        <v>#N/A</v>
      </c>
      <c r="P86" t="e">
        <f>+intrim2!AA89</f>
        <v>#N/A</v>
      </c>
      <c r="Q86" t="e">
        <f ca="1">VLOOKUP(N86&amp;$P$3,Intrim!H:L,5,0)</f>
        <v>#N/A</v>
      </c>
      <c r="R86" t="e">
        <f>VLOOKUP(N86,Intrim!F:I,4,0)</f>
        <v>#N/A</v>
      </c>
      <c r="S86" t="e">
        <f>VLOOKUP(P86,Intrim!G:J,4,0)</f>
        <v>#N/A</v>
      </c>
      <c r="T86" t="e">
        <f>+intrim2!AB89</f>
        <v>#N/A</v>
      </c>
      <c r="U86" t="e">
        <f>VLOOKUP(P86,Intrim!$S$3:$AA$201,9,0)</f>
        <v>#N/A</v>
      </c>
      <c r="V86" t="e">
        <f>VLOOKUP(P86,Intrim!S:Y,7,0)</f>
        <v>#N/A</v>
      </c>
      <c r="W86" t="str">
        <f>intrim2!X89</f>
        <v/>
      </c>
      <c r="X86" t="str">
        <f t="shared" si="5"/>
        <v/>
      </c>
      <c r="Y86" s="35" t="str">
        <f>IFERROR(IF(O86="Unallocated",Q86-SUMIF($N$3:$N85,N86,$Y$3:Y85),IF(U86&gt;=V86,Q86*T86/U86,IF(U86&gt;=T86,T86*R86/S86,U86*Q86/S86))),"")</f>
        <v/>
      </c>
      <c r="AA86">
        <v>13</v>
      </c>
      <c r="AB86" t="str">
        <f>+intrim2!C89</f>
        <v/>
      </c>
      <c r="AC86" t="str">
        <f ca="1">+intrim2!D89</f>
        <v/>
      </c>
      <c r="AD86" t="str">
        <f t="shared" ca="1" si="7"/>
        <v/>
      </c>
      <c r="AE86" t="str">
        <f t="shared" si="6"/>
        <v/>
      </c>
      <c r="AF86" t="str">
        <f>IF(AB86="","",VLOOKUP(AD86,Intrim!U:AD,10,0))</f>
        <v/>
      </c>
    </row>
    <row r="87" spans="2:32" x14ac:dyDescent="0.25">
      <c r="B87" t="str">
        <f ca="1">IF(OR(intrim2!D90="Unallocated",intrim2!D90=""),"",intrim2!D90)</f>
        <v/>
      </c>
      <c r="C87" t="str">
        <f ca="1">IFERROR(VLOOKUP($F$3&amp;B87,Intrim!$U:$Z,6,0),"")</f>
        <v/>
      </c>
      <c r="J87" t="str">
        <f ca="1">IF(intrim2!O90="","",intrim2!O90)</f>
        <v/>
      </c>
      <c r="K87" t="str">
        <f ca="1">IFERROR(VLOOKUP(J87&amp;$F$3,Input!F:G,2,0),"")</f>
        <v/>
      </c>
      <c r="N87" t="e">
        <f>+intrim2!Y90</f>
        <v>#N/A</v>
      </c>
      <c r="O87" t="e">
        <f>+intrim2!Z90</f>
        <v>#N/A</v>
      </c>
      <c r="P87" t="e">
        <f>+intrim2!AA90</f>
        <v>#N/A</v>
      </c>
      <c r="Q87" t="e">
        <f ca="1">VLOOKUP(N87&amp;$P$3,Intrim!H:L,5,0)</f>
        <v>#N/A</v>
      </c>
      <c r="R87" t="e">
        <f>VLOOKUP(N87,Intrim!F:I,4,0)</f>
        <v>#N/A</v>
      </c>
      <c r="S87" t="e">
        <f>VLOOKUP(P87,Intrim!G:J,4,0)</f>
        <v>#N/A</v>
      </c>
      <c r="T87" t="e">
        <f>+intrim2!AB90</f>
        <v>#N/A</v>
      </c>
      <c r="U87" t="e">
        <f>VLOOKUP(P87,Intrim!$S$3:$AA$201,9,0)</f>
        <v>#N/A</v>
      </c>
      <c r="V87" t="e">
        <f>VLOOKUP(P87,Intrim!S:Y,7,0)</f>
        <v>#N/A</v>
      </c>
      <c r="W87" t="str">
        <f>intrim2!X90</f>
        <v/>
      </c>
      <c r="X87" t="str">
        <f t="shared" si="5"/>
        <v/>
      </c>
      <c r="Y87" s="35" t="str">
        <f>IFERROR(IF(O87="Unallocated",Q87-SUMIF($N$3:$N86,N87,$Y$3:Y86),IF(U87&gt;=V87,Q87*T87/U87,IF(U87&gt;=T87,T87*R87/S87,U87*Q87/S87))),"")</f>
        <v/>
      </c>
      <c r="AA87">
        <v>13</v>
      </c>
      <c r="AB87" t="str">
        <f>+intrim2!C90</f>
        <v/>
      </c>
      <c r="AC87" t="str">
        <f ca="1">+intrim2!D90</f>
        <v/>
      </c>
      <c r="AD87" t="str">
        <f t="shared" ca="1" si="7"/>
        <v/>
      </c>
      <c r="AE87" t="str">
        <f t="shared" si="6"/>
        <v/>
      </c>
      <c r="AF87" t="str">
        <f>IF(AB87="","",VLOOKUP(AD87,Intrim!U:AD,10,0))</f>
        <v/>
      </c>
    </row>
    <row r="88" spans="2:32" x14ac:dyDescent="0.25">
      <c r="B88" t="str">
        <f ca="1">IF(OR(intrim2!D91="Unallocated",intrim2!D91=""),"",intrim2!D91)</f>
        <v/>
      </c>
      <c r="C88" t="str">
        <f ca="1">IFERROR(VLOOKUP($F$3&amp;B88,Intrim!$U:$Z,6,0),"")</f>
        <v/>
      </c>
      <c r="J88" t="str">
        <f ca="1">IF(intrim2!O91="","",intrim2!O91)</f>
        <v/>
      </c>
      <c r="K88" t="str">
        <f ca="1">IFERROR(VLOOKUP(J88&amp;$F$3,Input!F:G,2,0),"")</f>
        <v/>
      </c>
      <c r="N88" t="e">
        <f>+intrim2!Y91</f>
        <v>#N/A</v>
      </c>
      <c r="O88" t="e">
        <f>+intrim2!Z91</f>
        <v>#N/A</v>
      </c>
      <c r="P88" t="e">
        <f>+intrim2!AA91</f>
        <v>#N/A</v>
      </c>
      <c r="Q88" t="e">
        <f ca="1">VLOOKUP(N88&amp;$P$3,Intrim!H:L,5,0)</f>
        <v>#N/A</v>
      </c>
      <c r="R88" t="e">
        <f>VLOOKUP(N88,Intrim!F:I,4,0)</f>
        <v>#N/A</v>
      </c>
      <c r="S88" t="e">
        <f>VLOOKUP(P88,Intrim!G:J,4,0)</f>
        <v>#N/A</v>
      </c>
      <c r="T88" t="e">
        <f>+intrim2!AB91</f>
        <v>#N/A</v>
      </c>
      <c r="U88" t="e">
        <f>VLOOKUP(P88,Intrim!$S$3:$AA$201,9,0)</f>
        <v>#N/A</v>
      </c>
      <c r="V88" t="e">
        <f>VLOOKUP(P88,Intrim!S:Y,7,0)</f>
        <v>#N/A</v>
      </c>
      <c r="W88" t="str">
        <f>intrim2!X91</f>
        <v/>
      </c>
      <c r="X88" t="str">
        <f t="shared" si="5"/>
        <v/>
      </c>
      <c r="Y88" s="35" t="str">
        <f>IFERROR(IF(O88="Unallocated",Q88-SUMIF($N$3:$N87,N88,$Y$3:Y87),IF(U88&gt;=V88,Q88*T88/U88,IF(U88&gt;=T88,T88*R88/S88,U88*Q88/S88))),"")</f>
        <v/>
      </c>
      <c r="AA88">
        <v>13</v>
      </c>
      <c r="AB88" t="str">
        <f>+intrim2!C91</f>
        <v/>
      </c>
      <c r="AC88" t="str">
        <f ca="1">+intrim2!D91</f>
        <v/>
      </c>
      <c r="AD88" t="str">
        <f t="shared" ca="1" si="7"/>
        <v/>
      </c>
      <c r="AE88" t="str">
        <f t="shared" si="6"/>
        <v/>
      </c>
      <c r="AF88" t="str">
        <f>IF(AB88="","",VLOOKUP(AD88,Intrim!U:AD,10,0))</f>
        <v/>
      </c>
    </row>
    <row r="89" spans="2:32" x14ac:dyDescent="0.25">
      <c r="B89" t="str">
        <f ca="1">IF(OR(intrim2!D92="Unallocated",intrim2!D92=""),"",intrim2!D92)</f>
        <v/>
      </c>
      <c r="C89" t="str">
        <f ca="1">IFERROR(VLOOKUP($F$3&amp;B89,Intrim!$U:$Z,6,0),"")</f>
        <v/>
      </c>
      <c r="J89" t="str">
        <f ca="1">IF(intrim2!O92="","",intrim2!O92)</f>
        <v/>
      </c>
      <c r="K89" t="str">
        <f ca="1">IFERROR(VLOOKUP(J89&amp;$F$3,Input!F:G,2,0),"")</f>
        <v/>
      </c>
      <c r="N89" t="e">
        <f>+intrim2!Y92</f>
        <v>#N/A</v>
      </c>
      <c r="O89" t="e">
        <f>+intrim2!Z92</f>
        <v>#N/A</v>
      </c>
      <c r="P89" t="e">
        <f>+intrim2!AA92</f>
        <v>#N/A</v>
      </c>
      <c r="Q89" t="e">
        <f ca="1">VLOOKUP(N89&amp;$P$3,Intrim!H:L,5,0)</f>
        <v>#N/A</v>
      </c>
      <c r="R89" t="e">
        <f>VLOOKUP(N89,Intrim!F:I,4,0)</f>
        <v>#N/A</v>
      </c>
      <c r="S89" t="e">
        <f>VLOOKUP(P89,Intrim!G:J,4,0)</f>
        <v>#N/A</v>
      </c>
      <c r="T89" t="e">
        <f>+intrim2!AB92</f>
        <v>#N/A</v>
      </c>
      <c r="U89" t="e">
        <f>VLOOKUP(P89,Intrim!$S$3:$AA$201,9,0)</f>
        <v>#N/A</v>
      </c>
      <c r="V89" t="e">
        <f>VLOOKUP(P89,Intrim!S:Y,7,0)</f>
        <v>#N/A</v>
      </c>
      <c r="W89" t="str">
        <f>intrim2!X92</f>
        <v/>
      </c>
      <c r="X89" t="str">
        <f t="shared" si="5"/>
        <v/>
      </c>
      <c r="Y89" s="35" t="str">
        <f>IFERROR(IF(O89="Unallocated",Q89-SUMIF($N$3:$N88,N89,$Y$3:Y88),IF(U89&gt;=V89,Q89*T89/U89,IF(U89&gt;=T89,T89*R89/S89,U89*Q89/S89))),"")</f>
        <v/>
      </c>
      <c r="AA89">
        <v>13</v>
      </c>
      <c r="AB89" t="str">
        <f>+intrim2!C92</f>
        <v/>
      </c>
      <c r="AC89" t="str">
        <f ca="1">+intrim2!D92</f>
        <v/>
      </c>
      <c r="AD89" t="str">
        <f t="shared" ca="1" si="7"/>
        <v/>
      </c>
      <c r="AE89" t="str">
        <f t="shared" si="6"/>
        <v/>
      </c>
      <c r="AF89" t="str">
        <f>IF(AB89="","",VLOOKUP(AD89,Intrim!U:AD,10,0))</f>
        <v/>
      </c>
    </row>
    <row r="90" spans="2:32" x14ac:dyDescent="0.25">
      <c r="B90" t="str">
        <f ca="1">IF(OR(intrim2!D93="Unallocated",intrim2!D93=""),"",intrim2!D93)</f>
        <v/>
      </c>
      <c r="C90" t="str">
        <f ca="1">IFERROR(VLOOKUP($F$3&amp;B90,Intrim!$U:$Z,6,0),"")</f>
        <v/>
      </c>
      <c r="J90" t="str">
        <f ca="1">IF(intrim2!O93="","",intrim2!O93)</f>
        <v/>
      </c>
      <c r="K90" t="str">
        <f ca="1">IFERROR(VLOOKUP(J90&amp;$F$3,Input!F:G,2,0),"")</f>
        <v/>
      </c>
      <c r="N90" t="e">
        <f>+intrim2!Y93</f>
        <v>#N/A</v>
      </c>
      <c r="O90" t="e">
        <f>+intrim2!Z93</f>
        <v>#N/A</v>
      </c>
      <c r="P90" t="e">
        <f>+intrim2!AA93</f>
        <v>#N/A</v>
      </c>
      <c r="Q90" t="e">
        <f ca="1">VLOOKUP(N90&amp;$P$3,Intrim!H:L,5,0)</f>
        <v>#N/A</v>
      </c>
      <c r="R90" t="e">
        <f>VLOOKUP(N90,Intrim!F:I,4,0)</f>
        <v>#N/A</v>
      </c>
      <c r="S90" t="e">
        <f>VLOOKUP(P90,Intrim!G:J,4,0)</f>
        <v>#N/A</v>
      </c>
      <c r="T90" t="e">
        <f>+intrim2!AB93</f>
        <v>#N/A</v>
      </c>
      <c r="U90" t="e">
        <f>VLOOKUP(P90,Intrim!$S$3:$AA$201,9,0)</f>
        <v>#N/A</v>
      </c>
      <c r="V90" t="e">
        <f>VLOOKUP(P90,Intrim!S:Y,7,0)</f>
        <v>#N/A</v>
      </c>
      <c r="W90" t="str">
        <f>intrim2!X93</f>
        <v/>
      </c>
      <c r="X90" t="str">
        <f t="shared" si="5"/>
        <v/>
      </c>
      <c r="Y90" s="35" t="str">
        <f>IFERROR(IF(O90="Unallocated",Q90-SUMIF($N$3:$N89,N90,$Y$3:Y89),IF(U90&gt;=V90,Q90*T90/U90,IF(U90&gt;=T90,T90*R90/S90,U90*Q90/S90))),"")</f>
        <v/>
      </c>
      <c r="AA90">
        <v>13</v>
      </c>
      <c r="AB90" t="str">
        <f>+intrim2!C93</f>
        <v/>
      </c>
      <c r="AC90" t="str">
        <f ca="1">+intrim2!D93</f>
        <v/>
      </c>
      <c r="AD90" t="str">
        <f t="shared" ca="1" si="7"/>
        <v/>
      </c>
      <c r="AE90" t="str">
        <f t="shared" si="6"/>
        <v/>
      </c>
      <c r="AF90" t="str">
        <f>IF(AB90="","",VLOOKUP(AD90,Intrim!U:AD,10,0))</f>
        <v/>
      </c>
    </row>
    <row r="91" spans="2:32" x14ac:dyDescent="0.25">
      <c r="B91" t="str">
        <f ca="1">IF(OR(intrim2!D94="Unallocated",intrim2!D94=""),"",intrim2!D94)</f>
        <v/>
      </c>
      <c r="C91" t="str">
        <f ca="1">IFERROR(VLOOKUP($F$3&amp;B91,Intrim!$U:$Z,6,0),"")</f>
        <v/>
      </c>
      <c r="J91" t="str">
        <f ca="1">IF(intrim2!O94="","",intrim2!O94)</f>
        <v/>
      </c>
      <c r="K91" t="str">
        <f ca="1">IFERROR(VLOOKUP(J91&amp;$F$3,Input!F:G,2,0),"")</f>
        <v/>
      </c>
      <c r="N91" t="e">
        <f>+intrim2!Y94</f>
        <v>#N/A</v>
      </c>
      <c r="O91" t="e">
        <f>+intrim2!Z94</f>
        <v>#N/A</v>
      </c>
      <c r="P91" t="e">
        <f>+intrim2!AA94</f>
        <v>#N/A</v>
      </c>
      <c r="Q91" t="e">
        <f ca="1">VLOOKUP(N91&amp;$P$3,Intrim!H:L,5,0)</f>
        <v>#N/A</v>
      </c>
      <c r="R91" t="e">
        <f>VLOOKUP(N91,Intrim!F:I,4,0)</f>
        <v>#N/A</v>
      </c>
      <c r="S91" t="e">
        <f>VLOOKUP(P91,Intrim!G:J,4,0)</f>
        <v>#N/A</v>
      </c>
      <c r="T91" t="e">
        <f>+intrim2!AB94</f>
        <v>#N/A</v>
      </c>
      <c r="U91" t="e">
        <f>VLOOKUP(P91,Intrim!$S$3:$AA$201,9,0)</f>
        <v>#N/A</v>
      </c>
      <c r="V91" t="e">
        <f>VLOOKUP(P91,Intrim!S:Y,7,0)</f>
        <v>#N/A</v>
      </c>
      <c r="W91" t="str">
        <f>intrim2!X94</f>
        <v/>
      </c>
      <c r="X91" t="str">
        <f t="shared" si="5"/>
        <v/>
      </c>
      <c r="Y91" s="35" t="str">
        <f>IFERROR(IF(O91="Unallocated",Q91-SUMIF($N$3:$N90,N91,$Y$3:Y90),IF(U91&gt;=V91,Q91*T91/U91,IF(U91&gt;=T91,T91*R91/S91,U91*Q91/S91))),"")</f>
        <v/>
      </c>
      <c r="AA91">
        <v>13</v>
      </c>
      <c r="AB91" t="str">
        <f>+intrim2!C94</f>
        <v/>
      </c>
      <c r="AC91" t="str">
        <f ca="1">+intrim2!D94</f>
        <v/>
      </c>
      <c r="AD91" t="str">
        <f t="shared" ca="1" si="7"/>
        <v/>
      </c>
      <c r="AE91" t="str">
        <f t="shared" si="6"/>
        <v/>
      </c>
      <c r="AF91" t="str">
        <f>IF(AB91="","",VLOOKUP(AD91,Intrim!U:AD,10,0))</f>
        <v/>
      </c>
    </row>
    <row r="92" spans="2:32" x14ac:dyDescent="0.25">
      <c r="B92" t="str">
        <f ca="1">IF(OR(intrim2!D95="Unallocated",intrim2!D95=""),"",intrim2!D95)</f>
        <v/>
      </c>
      <c r="C92" t="str">
        <f ca="1">IFERROR(VLOOKUP($F$3&amp;B92,Intrim!$U:$Z,6,0),"")</f>
        <v/>
      </c>
      <c r="J92" t="str">
        <f ca="1">IF(intrim2!O95="","",intrim2!O95)</f>
        <v/>
      </c>
      <c r="K92" t="str">
        <f ca="1">IFERROR(VLOOKUP(J92&amp;$F$3,Input!F:G,2,0),"")</f>
        <v/>
      </c>
      <c r="N92" t="e">
        <f>+intrim2!Y95</f>
        <v>#N/A</v>
      </c>
      <c r="O92" t="e">
        <f>+intrim2!Z95</f>
        <v>#N/A</v>
      </c>
      <c r="P92" t="e">
        <f>+intrim2!AA95</f>
        <v>#N/A</v>
      </c>
      <c r="Q92" t="e">
        <f ca="1">VLOOKUP(N92&amp;$P$3,Intrim!H:L,5,0)</f>
        <v>#N/A</v>
      </c>
      <c r="R92" t="e">
        <f>VLOOKUP(N92,Intrim!F:I,4,0)</f>
        <v>#N/A</v>
      </c>
      <c r="S92" t="e">
        <f>VLOOKUP(P92,Intrim!G:J,4,0)</f>
        <v>#N/A</v>
      </c>
      <c r="T92" t="e">
        <f>+intrim2!AB95</f>
        <v>#N/A</v>
      </c>
      <c r="U92" t="e">
        <f>VLOOKUP(P92,Intrim!$S$3:$AA$201,9,0)</f>
        <v>#N/A</v>
      </c>
      <c r="V92" t="e">
        <f>VLOOKUP(P92,Intrim!S:Y,7,0)</f>
        <v>#N/A</v>
      </c>
      <c r="W92" t="str">
        <f>intrim2!X95</f>
        <v/>
      </c>
      <c r="X92" t="str">
        <f t="shared" si="5"/>
        <v/>
      </c>
      <c r="Y92" s="35" t="str">
        <f>IFERROR(IF(O92="Unallocated",Q92-SUMIF($N$3:$N91,N92,$Y$3:Y91),IF(U92&gt;=V92,Q92*T92/U92,IF(U92&gt;=T92,T92*R92/S92,U92*Q92/S92))),"")</f>
        <v/>
      </c>
      <c r="AA92">
        <v>13</v>
      </c>
      <c r="AB92" t="str">
        <f>+intrim2!C95</f>
        <v/>
      </c>
      <c r="AC92" t="str">
        <f ca="1">+intrim2!D95</f>
        <v/>
      </c>
      <c r="AD92" t="str">
        <f t="shared" ca="1" si="7"/>
        <v/>
      </c>
      <c r="AE92" t="str">
        <f t="shared" si="6"/>
        <v/>
      </c>
      <c r="AF92" t="str">
        <f>IF(AB92="","",VLOOKUP(AD92,Intrim!U:AD,10,0))</f>
        <v/>
      </c>
    </row>
    <row r="93" spans="2:32" x14ac:dyDescent="0.25">
      <c r="B93" t="str">
        <f ca="1">IF(OR(intrim2!D96="Unallocated",intrim2!D96=""),"",intrim2!D96)</f>
        <v/>
      </c>
      <c r="C93" t="str">
        <f ca="1">IFERROR(VLOOKUP($F$3&amp;B93,Intrim!$U:$Z,6,0),"")</f>
        <v/>
      </c>
      <c r="J93" t="str">
        <f ca="1">IF(intrim2!O96="","",intrim2!O96)</f>
        <v/>
      </c>
      <c r="K93" t="str">
        <f ca="1">IFERROR(VLOOKUP(J93&amp;$F$3,Input!F:G,2,0),"")</f>
        <v/>
      </c>
      <c r="N93" t="e">
        <f>+intrim2!Y96</f>
        <v>#N/A</v>
      </c>
      <c r="O93" t="e">
        <f>+intrim2!Z96</f>
        <v>#N/A</v>
      </c>
      <c r="P93" t="e">
        <f>+intrim2!AA96</f>
        <v>#N/A</v>
      </c>
      <c r="Q93" t="e">
        <f ca="1">VLOOKUP(N93&amp;$P$3,Intrim!H:L,5,0)</f>
        <v>#N/A</v>
      </c>
      <c r="R93" t="e">
        <f>VLOOKUP(N93,Intrim!F:I,4,0)</f>
        <v>#N/A</v>
      </c>
      <c r="S93" t="e">
        <f>VLOOKUP(P93,Intrim!G:J,4,0)</f>
        <v>#N/A</v>
      </c>
      <c r="T93" t="e">
        <f>+intrim2!AB96</f>
        <v>#N/A</v>
      </c>
      <c r="U93" t="e">
        <f>VLOOKUP(P93,Intrim!$S$3:$AA$201,9,0)</f>
        <v>#N/A</v>
      </c>
      <c r="V93" t="e">
        <f>VLOOKUP(P93,Intrim!S:Y,7,0)</f>
        <v>#N/A</v>
      </c>
      <c r="W93" t="str">
        <f>intrim2!X96</f>
        <v/>
      </c>
      <c r="X93" t="str">
        <f t="shared" si="5"/>
        <v/>
      </c>
      <c r="Y93" s="35" t="str">
        <f>IFERROR(IF(O93="Unallocated",Q93-SUMIF($N$3:$N92,N93,$Y$3:Y92),IF(U93&gt;=V93,Q93*T93/U93,IF(U93&gt;=T93,T93*R93/S93,U93*Q93/S93))),"")</f>
        <v/>
      </c>
      <c r="AA93">
        <v>13</v>
      </c>
      <c r="AB93" t="str">
        <f>+intrim2!C96</f>
        <v/>
      </c>
      <c r="AC93" t="str">
        <f ca="1">+intrim2!D96</f>
        <v/>
      </c>
      <c r="AD93" t="str">
        <f t="shared" ca="1" si="7"/>
        <v/>
      </c>
      <c r="AE93" t="str">
        <f t="shared" si="6"/>
        <v/>
      </c>
      <c r="AF93" t="str">
        <f>IF(AB93="","",VLOOKUP(AD93,Intrim!U:AD,10,0))</f>
        <v/>
      </c>
    </row>
    <row r="94" spans="2:32" x14ac:dyDescent="0.25">
      <c r="B94" t="str">
        <f ca="1">IF(OR(intrim2!D97="Unallocated",intrim2!D97=""),"",intrim2!D97)</f>
        <v/>
      </c>
      <c r="C94" t="str">
        <f ca="1">IFERROR(VLOOKUP($F$3&amp;B94,Intrim!$U:$Z,6,0),"")</f>
        <v/>
      </c>
      <c r="J94" t="str">
        <f ca="1">IF(intrim2!O97="","",intrim2!O97)</f>
        <v/>
      </c>
      <c r="K94" t="str">
        <f ca="1">IFERROR(VLOOKUP(J94&amp;$F$3,Input!F:G,2,0),"")</f>
        <v/>
      </c>
      <c r="N94" t="e">
        <f>+intrim2!Y97</f>
        <v>#N/A</v>
      </c>
      <c r="O94" t="e">
        <f>+intrim2!Z97</f>
        <v>#N/A</v>
      </c>
      <c r="P94" t="e">
        <f>+intrim2!AA97</f>
        <v>#N/A</v>
      </c>
      <c r="Q94" t="e">
        <f ca="1">VLOOKUP(N94&amp;$P$3,Intrim!H:L,5,0)</f>
        <v>#N/A</v>
      </c>
      <c r="R94" t="e">
        <f>VLOOKUP(N94,Intrim!F:I,4,0)</f>
        <v>#N/A</v>
      </c>
      <c r="S94" t="e">
        <f>VLOOKUP(P94,Intrim!G:J,4,0)</f>
        <v>#N/A</v>
      </c>
      <c r="T94" t="e">
        <f>+intrim2!AB97</f>
        <v>#N/A</v>
      </c>
      <c r="U94" t="e">
        <f>VLOOKUP(P94,Intrim!$S$3:$AA$201,9,0)</f>
        <v>#N/A</v>
      </c>
      <c r="V94" t="e">
        <f>VLOOKUP(P94,Intrim!S:Y,7,0)</f>
        <v>#N/A</v>
      </c>
      <c r="W94" t="str">
        <f>intrim2!X97</f>
        <v/>
      </c>
      <c r="X94" t="str">
        <f t="shared" si="5"/>
        <v/>
      </c>
      <c r="Y94" s="35" t="str">
        <f>IFERROR(IF(O94="Unallocated",Q94-SUMIF($N$3:$N93,N94,$Y$3:Y93),IF(U94&gt;=V94,Q94*T94/U94,IF(U94&gt;=T94,T94*R94/S94,U94*Q94/S94))),"")</f>
        <v/>
      </c>
      <c r="AA94">
        <v>13</v>
      </c>
      <c r="AB94" t="str">
        <f>+intrim2!C97</f>
        <v/>
      </c>
      <c r="AC94" t="str">
        <f ca="1">+intrim2!D97</f>
        <v/>
      </c>
      <c r="AD94" t="str">
        <f t="shared" ca="1" si="7"/>
        <v/>
      </c>
      <c r="AE94" t="str">
        <f t="shared" si="6"/>
        <v/>
      </c>
      <c r="AF94" t="str">
        <f>IF(AB94="","",VLOOKUP(AD94,Intrim!U:AD,10,0))</f>
        <v/>
      </c>
    </row>
    <row r="95" spans="2:32" x14ac:dyDescent="0.25">
      <c r="B95" t="str">
        <f ca="1">IF(OR(intrim2!D98="Unallocated",intrim2!D98=""),"",intrim2!D98)</f>
        <v/>
      </c>
      <c r="C95" t="str">
        <f ca="1">IFERROR(VLOOKUP($F$3&amp;B95,Intrim!$U:$Z,6,0),"")</f>
        <v/>
      </c>
      <c r="J95" t="str">
        <f ca="1">IF(intrim2!O98="","",intrim2!O98)</f>
        <v/>
      </c>
      <c r="K95" t="str">
        <f ca="1">IFERROR(VLOOKUP(J95&amp;$F$3,Input!F:G,2,0),"")</f>
        <v/>
      </c>
      <c r="N95" t="e">
        <f>+intrim2!Y98</f>
        <v>#N/A</v>
      </c>
      <c r="O95" t="e">
        <f>+intrim2!Z98</f>
        <v>#N/A</v>
      </c>
      <c r="P95" t="e">
        <f>+intrim2!AA98</f>
        <v>#N/A</v>
      </c>
      <c r="Q95" t="e">
        <f ca="1">VLOOKUP(N95&amp;$P$3,Intrim!H:L,5,0)</f>
        <v>#N/A</v>
      </c>
      <c r="R95" t="e">
        <f>VLOOKUP(N95,Intrim!F:I,4,0)</f>
        <v>#N/A</v>
      </c>
      <c r="S95" t="e">
        <f>VLOOKUP(P95,Intrim!G:J,4,0)</f>
        <v>#N/A</v>
      </c>
      <c r="T95" t="e">
        <f>+intrim2!AB98</f>
        <v>#N/A</v>
      </c>
      <c r="U95" t="e">
        <f>VLOOKUP(P95,Intrim!$S$3:$AA$201,9,0)</f>
        <v>#N/A</v>
      </c>
      <c r="V95" t="e">
        <f>VLOOKUP(P95,Intrim!S:Y,7,0)</f>
        <v>#N/A</v>
      </c>
      <c r="W95" t="str">
        <f>intrim2!X98</f>
        <v/>
      </c>
      <c r="X95" t="str">
        <f t="shared" si="5"/>
        <v/>
      </c>
      <c r="Y95" s="35" t="str">
        <f>IFERROR(IF(O95="Unallocated",Q95-SUMIF($N$3:$N94,N95,$Y$3:Y94),IF(U95&gt;=V95,Q95*T95/U95,IF(U95&gt;=T95,T95*R95/S95,U95*Q95/S95))),"")</f>
        <v/>
      </c>
      <c r="AA95">
        <v>13</v>
      </c>
      <c r="AB95" t="str">
        <f>+intrim2!C98</f>
        <v/>
      </c>
      <c r="AC95" t="str">
        <f ca="1">+intrim2!D98</f>
        <v/>
      </c>
      <c r="AD95" t="str">
        <f t="shared" ca="1" si="7"/>
        <v/>
      </c>
      <c r="AE95" t="str">
        <f t="shared" si="6"/>
        <v/>
      </c>
      <c r="AF95" t="str">
        <f>IF(AB95="","",VLOOKUP(AD95,Intrim!U:AD,10,0))</f>
        <v/>
      </c>
    </row>
    <row r="96" spans="2:32" x14ac:dyDescent="0.25">
      <c r="B96" t="str">
        <f ca="1">IF(OR(intrim2!D99="Unallocated",intrim2!D99=""),"",intrim2!D99)</f>
        <v/>
      </c>
      <c r="C96" t="str">
        <f ca="1">IFERROR(VLOOKUP($F$3&amp;B96,Intrim!$U:$Z,6,0),"")</f>
        <v/>
      </c>
      <c r="J96" t="str">
        <f ca="1">IF(intrim2!O99="","",intrim2!O99)</f>
        <v/>
      </c>
      <c r="K96" t="str">
        <f ca="1">IFERROR(VLOOKUP(J96&amp;$F$3,Input!F:G,2,0),"")</f>
        <v/>
      </c>
      <c r="N96" t="e">
        <f>+intrim2!Y99</f>
        <v>#N/A</v>
      </c>
      <c r="O96" t="e">
        <f>+intrim2!Z99</f>
        <v>#N/A</v>
      </c>
      <c r="P96" t="e">
        <f>+intrim2!AA99</f>
        <v>#N/A</v>
      </c>
      <c r="Q96" t="e">
        <f ca="1">VLOOKUP(N96&amp;$P$3,Intrim!H:L,5,0)</f>
        <v>#N/A</v>
      </c>
      <c r="R96" t="e">
        <f>VLOOKUP(N96,Intrim!F:I,4,0)</f>
        <v>#N/A</v>
      </c>
      <c r="S96" t="e">
        <f>VLOOKUP(P96,Intrim!G:J,4,0)</f>
        <v>#N/A</v>
      </c>
      <c r="T96" t="e">
        <f>+intrim2!AB99</f>
        <v>#N/A</v>
      </c>
      <c r="U96" t="e">
        <f>VLOOKUP(P96,Intrim!$S$3:$AA$201,9,0)</f>
        <v>#N/A</v>
      </c>
      <c r="V96" t="e">
        <f>VLOOKUP(P96,Intrim!S:Y,7,0)</f>
        <v>#N/A</v>
      </c>
      <c r="W96" t="str">
        <f>intrim2!X99</f>
        <v/>
      </c>
      <c r="X96" t="str">
        <f t="shared" si="5"/>
        <v/>
      </c>
      <c r="Y96" s="35" t="str">
        <f>IFERROR(IF(O96="Unallocated",Q96-SUMIF($N$3:$N95,N96,$Y$3:Y95),IF(U96&gt;=V96,Q96*T96/U96,IF(U96&gt;=T96,T96*R96/S96,U96*Q96/S96))),"")</f>
        <v/>
      </c>
      <c r="AA96">
        <v>13</v>
      </c>
      <c r="AB96" t="str">
        <f>+intrim2!C99</f>
        <v/>
      </c>
      <c r="AC96" t="str">
        <f ca="1">+intrim2!D99</f>
        <v/>
      </c>
      <c r="AD96" t="str">
        <f t="shared" ca="1" si="7"/>
        <v/>
      </c>
      <c r="AE96" t="str">
        <f t="shared" si="6"/>
        <v/>
      </c>
      <c r="AF96" t="str">
        <f>IF(AB96="","",VLOOKUP(AD96,Intrim!U:AD,10,0))</f>
        <v/>
      </c>
    </row>
    <row r="97" spans="2:32" x14ac:dyDescent="0.25">
      <c r="B97" t="str">
        <f ca="1">IF(OR(intrim2!D100="Unallocated",intrim2!D100=""),"",intrim2!D100)</f>
        <v/>
      </c>
      <c r="C97" t="str">
        <f ca="1">IFERROR(VLOOKUP($F$3&amp;B97,Intrim!$U:$Z,6,0),"")</f>
        <v/>
      </c>
      <c r="J97" t="str">
        <f ca="1">IF(intrim2!O100="","",intrim2!O100)</f>
        <v/>
      </c>
      <c r="K97" t="str">
        <f ca="1">IFERROR(VLOOKUP(J97&amp;$F$3,Input!F:G,2,0),"")</f>
        <v/>
      </c>
      <c r="N97" t="e">
        <f>+intrim2!Y100</f>
        <v>#N/A</v>
      </c>
      <c r="O97" t="e">
        <f>+intrim2!Z100</f>
        <v>#N/A</v>
      </c>
      <c r="P97" t="e">
        <f>+intrim2!AA100</f>
        <v>#N/A</v>
      </c>
      <c r="Q97" t="e">
        <f ca="1">VLOOKUP(N97&amp;$P$3,Intrim!H:L,5,0)</f>
        <v>#N/A</v>
      </c>
      <c r="R97" t="e">
        <f>VLOOKUP(N97,Intrim!F:I,4,0)</f>
        <v>#N/A</v>
      </c>
      <c r="S97" t="e">
        <f>VLOOKUP(P97,Intrim!G:J,4,0)</f>
        <v>#N/A</v>
      </c>
      <c r="T97" t="e">
        <f>+intrim2!AB100</f>
        <v>#N/A</v>
      </c>
      <c r="U97" t="e">
        <f>VLOOKUP(P97,Intrim!$S$3:$AA$201,9,0)</f>
        <v>#N/A</v>
      </c>
      <c r="V97" t="e">
        <f>VLOOKUP(P97,Intrim!S:Y,7,0)</f>
        <v>#N/A</v>
      </c>
      <c r="W97" t="str">
        <f>intrim2!X100</f>
        <v/>
      </c>
      <c r="X97" t="str">
        <f t="shared" si="5"/>
        <v/>
      </c>
      <c r="Y97" s="35" t="str">
        <f>IFERROR(IF(O97="Unallocated",Q97-SUMIF($N$3:$N96,N97,$Y$3:Y96),IF(U97&gt;=V97,Q97*T97/U97,IF(U97&gt;=T97,T97*R97/S97,U97*Q97/S97))),"")</f>
        <v/>
      </c>
      <c r="AA97">
        <v>13</v>
      </c>
      <c r="AB97" t="str">
        <f>+intrim2!C100</f>
        <v/>
      </c>
      <c r="AC97" t="str">
        <f ca="1">+intrim2!D100</f>
        <v/>
      </c>
      <c r="AD97" t="str">
        <f t="shared" ca="1" si="7"/>
        <v/>
      </c>
      <c r="AE97" t="str">
        <f t="shared" si="6"/>
        <v/>
      </c>
      <c r="AF97" t="str">
        <f>IF(AB97="","",VLOOKUP(AD97,Intrim!U:AD,10,0))</f>
        <v/>
      </c>
    </row>
    <row r="98" spans="2:32" x14ac:dyDescent="0.25">
      <c r="B98" t="str">
        <f ca="1">IF(OR(intrim2!D101="Unallocated",intrim2!D101=""),"",intrim2!D101)</f>
        <v/>
      </c>
      <c r="C98" t="str">
        <f ca="1">IFERROR(VLOOKUP($F$3&amp;B98,Intrim!$U:$Z,6,0),"")</f>
        <v/>
      </c>
      <c r="J98" t="str">
        <f ca="1">IF(intrim2!O101="","",intrim2!O101)</f>
        <v/>
      </c>
      <c r="K98" t="str">
        <f ca="1">IFERROR(VLOOKUP(J98&amp;$F$3,Input!F:G,2,0),"")</f>
        <v/>
      </c>
      <c r="N98" t="e">
        <f>+intrim2!Y101</f>
        <v>#N/A</v>
      </c>
      <c r="O98" t="e">
        <f>+intrim2!Z101</f>
        <v>#N/A</v>
      </c>
      <c r="P98" t="e">
        <f>+intrim2!AA101</f>
        <v>#N/A</v>
      </c>
      <c r="Q98" t="e">
        <f ca="1">VLOOKUP(N98&amp;$P$3,Intrim!H:L,5,0)</f>
        <v>#N/A</v>
      </c>
      <c r="R98" t="e">
        <f>VLOOKUP(N98,Intrim!F:I,4,0)</f>
        <v>#N/A</v>
      </c>
      <c r="S98" t="e">
        <f>VLOOKUP(P98,Intrim!G:J,4,0)</f>
        <v>#N/A</v>
      </c>
      <c r="T98" t="e">
        <f>+intrim2!AB101</f>
        <v>#N/A</v>
      </c>
      <c r="U98" t="e">
        <f>VLOOKUP(P98,Intrim!$S$3:$AA$201,9,0)</f>
        <v>#N/A</v>
      </c>
      <c r="V98" t="e">
        <f>VLOOKUP(P98,Intrim!S:Y,7,0)</f>
        <v>#N/A</v>
      </c>
      <c r="W98" t="str">
        <f>intrim2!X101</f>
        <v/>
      </c>
      <c r="X98" t="str">
        <f t="shared" si="5"/>
        <v/>
      </c>
      <c r="Y98" s="35" t="str">
        <f>IFERROR(IF(O98="Unallocated",Q98-SUMIF($N$3:$N97,N98,$Y$3:Y97),IF(U98&gt;=V98,Q98*T98/U98,IF(U98&gt;=T98,T98*R98/S98,U98*Q98/S98))),"")</f>
        <v/>
      </c>
      <c r="AA98">
        <v>13</v>
      </c>
      <c r="AB98" t="str">
        <f>+intrim2!C101</f>
        <v/>
      </c>
      <c r="AC98" t="str">
        <f ca="1">+intrim2!D101</f>
        <v/>
      </c>
      <c r="AD98" t="str">
        <f t="shared" ca="1" si="7"/>
        <v/>
      </c>
      <c r="AE98" t="str">
        <f t="shared" si="6"/>
        <v/>
      </c>
      <c r="AF98" t="str">
        <f>IF(AB98="","",VLOOKUP(AD98,Intrim!U:AD,10,0))</f>
        <v/>
      </c>
    </row>
    <row r="99" spans="2:32" x14ac:dyDescent="0.25">
      <c r="B99" t="str">
        <f ca="1">IF(OR(intrim2!D102="Unallocated",intrim2!D102=""),"",intrim2!D102)</f>
        <v/>
      </c>
      <c r="C99" t="str">
        <f ca="1">IFERROR(VLOOKUP($F$3&amp;B99,Intrim!$U:$Z,6,0),"")</f>
        <v/>
      </c>
      <c r="J99" t="str">
        <f ca="1">IF(intrim2!O102="","",intrim2!O102)</f>
        <v/>
      </c>
      <c r="K99" t="str">
        <f ca="1">IFERROR(VLOOKUP(J99&amp;$F$3,Input!F:G,2,0),"")</f>
        <v/>
      </c>
      <c r="N99" t="e">
        <f>+intrim2!Y102</f>
        <v>#N/A</v>
      </c>
      <c r="O99" t="e">
        <f>+intrim2!Z102</f>
        <v>#N/A</v>
      </c>
      <c r="P99" t="e">
        <f>+intrim2!AA102</f>
        <v>#N/A</v>
      </c>
      <c r="Q99" t="e">
        <f ca="1">VLOOKUP(N99&amp;$P$3,Intrim!H:L,5,0)</f>
        <v>#N/A</v>
      </c>
      <c r="R99" t="e">
        <f>VLOOKUP(N99,Intrim!F:I,4,0)</f>
        <v>#N/A</v>
      </c>
      <c r="S99" t="e">
        <f>VLOOKUP(P99,Intrim!G:J,4,0)</f>
        <v>#N/A</v>
      </c>
      <c r="T99" t="e">
        <f>+intrim2!AB102</f>
        <v>#N/A</v>
      </c>
      <c r="U99" t="e">
        <f>VLOOKUP(P99,Intrim!$S$3:$AA$201,9,0)</f>
        <v>#N/A</v>
      </c>
      <c r="V99" t="e">
        <f>VLOOKUP(P99,Intrim!S:Y,7,0)</f>
        <v>#N/A</v>
      </c>
      <c r="W99" t="str">
        <f>intrim2!X102</f>
        <v/>
      </c>
      <c r="X99" t="str">
        <f t="shared" ref="X99:X130" si="8">IFERROR(N99&amp;" Tranche"&amp;W99&amp;" ("&amp;O99&amp;")","")</f>
        <v/>
      </c>
      <c r="Y99" s="35" t="str">
        <f>IFERROR(IF(O99="Unallocated",Q99-SUMIF($N$3:$N98,N99,$Y$3:Y98),IF(U99&gt;=V99,Q99*T99/U99,IF(U99&gt;=T99,T99*R99/S99,U99*Q99/S99))),"")</f>
        <v/>
      </c>
      <c r="AA99">
        <v>13</v>
      </c>
      <c r="AB99" t="str">
        <f>+intrim2!C102</f>
        <v/>
      </c>
      <c r="AC99" t="str">
        <f ca="1">+intrim2!D102</f>
        <v/>
      </c>
      <c r="AD99" t="str">
        <f t="shared" ca="1" si="7"/>
        <v/>
      </c>
      <c r="AE99" t="str">
        <f t="shared" si="6"/>
        <v/>
      </c>
      <c r="AF99" t="str">
        <f>IF(AB99="","",VLOOKUP(AD99,Intrim!U:AD,10,0))</f>
        <v/>
      </c>
    </row>
    <row r="100" spans="2:32" x14ac:dyDescent="0.25">
      <c r="B100" t="str">
        <f ca="1">IF(OR(intrim2!D103="Unallocated",intrim2!D103=""),"",intrim2!D103)</f>
        <v/>
      </c>
      <c r="C100" t="str">
        <f ca="1">IFERROR(VLOOKUP($F$3&amp;B100,Intrim!$U:$Z,6,0),"")</f>
        <v/>
      </c>
      <c r="J100" t="str">
        <f ca="1">IF(intrim2!O103="","",intrim2!O103)</f>
        <v/>
      </c>
      <c r="K100" t="str">
        <f ca="1">IFERROR(VLOOKUP(J100&amp;$F$3,Input!F:G,2,0),"")</f>
        <v/>
      </c>
      <c r="N100" t="e">
        <f>+intrim2!Y103</f>
        <v>#N/A</v>
      </c>
      <c r="O100" t="e">
        <f>+intrim2!Z103</f>
        <v>#N/A</v>
      </c>
      <c r="P100" t="e">
        <f>+intrim2!AA103</f>
        <v>#N/A</v>
      </c>
      <c r="Q100" t="e">
        <f ca="1">VLOOKUP(N100&amp;$P$3,Intrim!H:L,5,0)</f>
        <v>#N/A</v>
      </c>
      <c r="R100" t="e">
        <f>VLOOKUP(N100,Intrim!F:I,4,0)</f>
        <v>#N/A</v>
      </c>
      <c r="S100" t="e">
        <f>VLOOKUP(P100,Intrim!G:J,4,0)</f>
        <v>#N/A</v>
      </c>
      <c r="T100" t="e">
        <f>+intrim2!AB103</f>
        <v>#N/A</v>
      </c>
      <c r="U100" t="e">
        <f>VLOOKUP(P100,Intrim!$S$3:$AA$201,9,0)</f>
        <v>#N/A</v>
      </c>
      <c r="V100" t="e">
        <f>VLOOKUP(P100,Intrim!S:Y,7,0)</f>
        <v>#N/A</v>
      </c>
      <c r="W100" t="str">
        <f>intrim2!X103</f>
        <v/>
      </c>
      <c r="X100" t="str">
        <f t="shared" si="8"/>
        <v/>
      </c>
      <c r="Y100" s="35" t="str">
        <f>IFERROR(IF(O100="Unallocated",Q100-SUMIF($N$3:$N99,N100,$Y$3:Y99),IF(U100&gt;=V100,Q100*T100/U100,IF(U100&gt;=T100,T100*R100/S100,U100*Q100/S100))),"")</f>
        <v/>
      </c>
      <c r="AA100">
        <v>13</v>
      </c>
      <c r="AB100" t="str">
        <f>+intrim2!C103</f>
        <v/>
      </c>
      <c r="AC100" t="str">
        <f ca="1">+intrim2!D103</f>
        <v/>
      </c>
      <c r="AD100" t="str">
        <f t="shared" ca="1" si="7"/>
        <v/>
      </c>
      <c r="AE100" t="str">
        <f t="shared" si="6"/>
        <v/>
      </c>
      <c r="AF100" t="str">
        <f>IF(AB100="","",VLOOKUP(AD100,Intrim!U:AD,10,0))</f>
        <v/>
      </c>
    </row>
    <row r="101" spans="2:32" x14ac:dyDescent="0.25">
      <c r="B101" t="str">
        <f ca="1">IF(OR(intrim2!D104="Unallocated",intrim2!D104=""),"",intrim2!D104)</f>
        <v/>
      </c>
      <c r="C101" t="str">
        <f ca="1">IFERROR(VLOOKUP($F$3&amp;B101,Intrim!$U:$Z,6,0),"")</f>
        <v/>
      </c>
      <c r="J101" t="str">
        <f ca="1">IF(intrim2!O104="","",intrim2!O104)</f>
        <v/>
      </c>
      <c r="K101" t="str">
        <f ca="1">IFERROR(VLOOKUP(J101&amp;$F$3,Input!F:G,2,0),"")</f>
        <v/>
      </c>
      <c r="N101" t="e">
        <f>+intrim2!Y104</f>
        <v>#N/A</v>
      </c>
      <c r="O101" t="e">
        <f>+intrim2!Z104</f>
        <v>#N/A</v>
      </c>
      <c r="P101" t="e">
        <f>+intrim2!AA104</f>
        <v>#N/A</v>
      </c>
      <c r="Q101" t="e">
        <f ca="1">VLOOKUP(N101&amp;$P$3,Intrim!H:L,5,0)</f>
        <v>#N/A</v>
      </c>
      <c r="R101" t="e">
        <f>VLOOKUP(N101,Intrim!F:I,4,0)</f>
        <v>#N/A</v>
      </c>
      <c r="S101" t="e">
        <f>VLOOKUP(P101,Intrim!G:J,4,0)</f>
        <v>#N/A</v>
      </c>
      <c r="T101" t="e">
        <f>+intrim2!AB104</f>
        <v>#N/A</v>
      </c>
      <c r="U101" t="e">
        <f>VLOOKUP(P101,Intrim!$S$3:$AA$201,9,0)</f>
        <v>#N/A</v>
      </c>
      <c r="V101" t="e">
        <f>VLOOKUP(P101,Intrim!S:Y,7,0)</f>
        <v>#N/A</v>
      </c>
      <c r="W101" t="str">
        <f>intrim2!X104</f>
        <v/>
      </c>
      <c r="X101" t="str">
        <f t="shared" si="8"/>
        <v/>
      </c>
      <c r="Y101" s="35" t="str">
        <f>IFERROR(IF(O101="Unallocated",Q101-SUMIF($N$3:$N100,N101,$Y$3:Y100),IF(U101&gt;=V101,Q101*T101/U101,IF(U101&gt;=T101,T101*R101/S101,U101*Q101/S101))),"")</f>
        <v/>
      </c>
      <c r="AA101">
        <v>13</v>
      </c>
      <c r="AB101" t="str">
        <f>+intrim2!C104</f>
        <v/>
      </c>
      <c r="AC101" t="str">
        <f ca="1">+intrim2!D104</f>
        <v/>
      </c>
      <c r="AD101" t="str">
        <f t="shared" ca="1" si="7"/>
        <v/>
      </c>
      <c r="AE101" t="str">
        <f t="shared" si="6"/>
        <v/>
      </c>
      <c r="AF101" t="str">
        <f>IF(AB101="","",VLOOKUP(AD101,Intrim!U:AD,10,0))</f>
        <v/>
      </c>
    </row>
    <row r="102" spans="2:32" x14ac:dyDescent="0.25">
      <c r="B102" t="str">
        <f ca="1">IF(OR(intrim2!D105="Unallocated",intrim2!D105=""),"",intrim2!D105)</f>
        <v/>
      </c>
      <c r="C102" t="str">
        <f ca="1">IFERROR(VLOOKUP($F$3&amp;B102,Intrim!$U:$Z,6,0),"")</f>
        <v/>
      </c>
      <c r="J102" t="str">
        <f ca="1">IF(intrim2!O105="","",intrim2!O105)</f>
        <v/>
      </c>
      <c r="K102" t="str">
        <f ca="1">IFERROR(VLOOKUP(J102&amp;$F$3,Input!F:G,2,0),"")</f>
        <v/>
      </c>
      <c r="N102" t="e">
        <f>+intrim2!Y105</f>
        <v>#N/A</v>
      </c>
      <c r="O102" t="e">
        <f>+intrim2!Z105</f>
        <v>#N/A</v>
      </c>
      <c r="P102" t="e">
        <f>+intrim2!AA105</f>
        <v>#N/A</v>
      </c>
      <c r="Q102" t="e">
        <f ca="1">VLOOKUP(N102&amp;$P$3,Intrim!H:L,5,0)</f>
        <v>#N/A</v>
      </c>
      <c r="R102" t="e">
        <f>VLOOKUP(N102,Intrim!F:I,4,0)</f>
        <v>#N/A</v>
      </c>
      <c r="S102" t="e">
        <f>VLOOKUP(P102,Intrim!G:J,4,0)</f>
        <v>#N/A</v>
      </c>
      <c r="T102" t="e">
        <f>+intrim2!AB105</f>
        <v>#N/A</v>
      </c>
      <c r="U102" t="e">
        <f>VLOOKUP(P102,Intrim!$S$3:$AA$201,9,0)</f>
        <v>#N/A</v>
      </c>
      <c r="V102" t="e">
        <f>VLOOKUP(P102,Intrim!S:Y,7,0)</f>
        <v>#N/A</v>
      </c>
      <c r="W102" t="str">
        <f>intrim2!X105</f>
        <v/>
      </c>
      <c r="X102" t="str">
        <f t="shared" si="8"/>
        <v/>
      </c>
      <c r="Y102" s="35" t="str">
        <f>IFERROR(IF(O102="Unallocated",Q102-SUMIF($N$3:$N101,N102,$Y$3:Y101),IF(U102&gt;=V102,Q102*T102/U102,IF(U102&gt;=T102,T102*R102/S102,U102*Q102/S102))),"")</f>
        <v/>
      </c>
      <c r="AA102">
        <v>13</v>
      </c>
      <c r="AB102" t="str">
        <f>+intrim2!C105</f>
        <v/>
      </c>
      <c r="AC102" t="str">
        <f ca="1">+intrim2!D105</f>
        <v/>
      </c>
      <c r="AD102" t="str">
        <f t="shared" ca="1" si="7"/>
        <v/>
      </c>
      <c r="AE102" t="str">
        <f t="shared" si="6"/>
        <v/>
      </c>
      <c r="AF102" t="str">
        <f>IF(AB102="","",VLOOKUP(AD102,Intrim!U:AD,10,0))</f>
        <v/>
      </c>
    </row>
    <row r="103" spans="2:32" x14ac:dyDescent="0.25">
      <c r="B103" t="str">
        <f ca="1">IF(OR(intrim2!D106="Unallocated",intrim2!D106=""),"",intrim2!D106)</f>
        <v/>
      </c>
      <c r="C103" t="str">
        <f ca="1">IFERROR(VLOOKUP($F$3&amp;B103,Intrim!$U:$Z,6,0),"")</f>
        <v/>
      </c>
      <c r="J103" t="str">
        <f ca="1">IF(intrim2!O106="","",intrim2!O106)</f>
        <v/>
      </c>
      <c r="K103" t="str">
        <f ca="1">IFERROR(VLOOKUP(J103&amp;$F$3,Input!F:G,2,0),"")</f>
        <v/>
      </c>
      <c r="N103" t="e">
        <f>+intrim2!Y106</f>
        <v>#N/A</v>
      </c>
      <c r="O103" t="e">
        <f>+intrim2!Z106</f>
        <v>#N/A</v>
      </c>
      <c r="P103" t="e">
        <f>+intrim2!AA106</f>
        <v>#N/A</v>
      </c>
      <c r="Q103" t="e">
        <f ca="1">VLOOKUP(N103&amp;$P$3,Intrim!H:L,5,0)</f>
        <v>#N/A</v>
      </c>
      <c r="R103" t="e">
        <f>VLOOKUP(N103,Intrim!F:I,4,0)</f>
        <v>#N/A</v>
      </c>
      <c r="S103" t="e">
        <f>VLOOKUP(P103,Intrim!G:J,4,0)</f>
        <v>#N/A</v>
      </c>
      <c r="T103" t="e">
        <f>+intrim2!AB106</f>
        <v>#N/A</v>
      </c>
      <c r="U103" t="e">
        <f>VLOOKUP(P103,Intrim!$S$3:$AA$201,9,0)</f>
        <v>#N/A</v>
      </c>
      <c r="V103" t="e">
        <f>VLOOKUP(P103,Intrim!S:Y,7,0)</f>
        <v>#N/A</v>
      </c>
      <c r="W103" t="str">
        <f>intrim2!X106</f>
        <v/>
      </c>
      <c r="X103" t="str">
        <f t="shared" si="8"/>
        <v/>
      </c>
      <c r="Y103" s="35" t="str">
        <f>IFERROR(IF(O103="Unallocated",Q103-SUMIF($N$3:$N102,N103,$Y$3:Y102),IF(U103&gt;=V103,Q103*T103/U103,IF(U103&gt;=T103,T103*R103/S103,U103*Q103/S103))),"")</f>
        <v/>
      </c>
      <c r="AA103">
        <v>13</v>
      </c>
      <c r="AB103" t="str">
        <f>+intrim2!C106</f>
        <v/>
      </c>
      <c r="AC103" t="str">
        <f ca="1">+intrim2!D106</f>
        <v/>
      </c>
      <c r="AD103" t="str">
        <f t="shared" ca="1" si="7"/>
        <v/>
      </c>
      <c r="AE103" t="str">
        <f t="shared" si="6"/>
        <v/>
      </c>
      <c r="AF103" t="str">
        <f>IF(AB103="","",VLOOKUP(AD103,Intrim!U:AD,10,0))</f>
        <v/>
      </c>
    </row>
    <row r="104" spans="2:32" x14ac:dyDescent="0.25">
      <c r="B104" t="str">
        <f ca="1">IF(OR(intrim2!D107="Unallocated",intrim2!D107=""),"",intrim2!D107)</f>
        <v/>
      </c>
      <c r="C104" t="str">
        <f ca="1">IFERROR(VLOOKUP($F$3&amp;B104,Intrim!$U:$Z,6,0),"")</f>
        <v/>
      </c>
      <c r="J104" t="str">
        <f ca="1">IF(intrim2!O107="","",intrim2!O107)</f>
        <v/>
      </c>
      <c r="K104" t="str">
        <f ca="1">IFERROR(VLOOKUP(J104&amp;$F$3,Input!F:G,2,0),"")</f>
        <v/>
      </c>
      <c r="N104" t="e">
        <f>+intrim2!Y107</f>
        <v>#N/A</v>
      </c>
      <c r="O104" t="e">
        <f>+intrim2!Z107</f>
        <v>#N/A</v>
      </c>
      <c r="P104" t="e">
        <f>+intrim2!AA107</f>
        <v>#N/A</v>
      </c>
      <c r="Q104" t="e">
        <f ca="1">VLOOKUP(N104&amp;$P$3,Intrim!H:L,5,0)</f>
        <v>#N/A</v>
      </c>
      <c r="R104" t="e">
        <f>VLOOKUP(N104,Intrim!F:I,4,0)</f>
        <v>#N/A</v>
      </c>
      <c r="S104" t="e">
        <f>VLOOKUP(P104,Intrim!G:J,4,0)</f>
        <v>#N/A</v>
      </c>
      <c r="T104" t="e">
        <f>+intrim2!AB107</f>
        <v>#N/A</v>
      </c>
      <c r="U104" t="e">
        <f>VLOOKUP(P104,Intrim!$S$3:$AA$201,9,0)</f>
        <v>#N/A</v>
      </c>
      <c r="V104" t="e">
        <f>VLOOKUP(P104,Intrim!S:Y,7,0)</f>
        <v>#N/A</v>
      </c>
      <c r="W104" t="str">
        <f>intrim2!X107</f>
        <v/>
      </c>
      <c r="X104" t="str">
        <f t="shared" si="8"/>
        <v/>
      </c>
      <c r="Y104" s="35" t="str">
        <f>IFERROR(IF(O104="Unallocated",Q104-SUMIF($N$3:$N103,N104,$Y$3:Y103),IF(U104&gt;=V104,Q104*T104/U104,IF(U104&gt;=T104,T104*R104/S104,U104*Q104/S104))),"")</f>
        <v/>
      </c>
      <c r="AA104">
        <v>13</v>
      </c>
      <c r="AB104" t="str">
        <f>+intrim2!C107</f>
        <v/>
      </c>
      <c r="AC104" t="str">
        <f ca="1">+intrim2!D107</f>
        <v/>
      </c>
      <c r="AD104" t="str">
        <f t="shared" ca="1" si="7"/>
        <v/>
      </c>
      <c r="AE104" t="str">
        <f t="shared" si="6"/>
        <v/>
      </c>
      <c r="AF104" t="str">
        <f>IF(AB104="","",VLOOKUP(AD104,Intrim!U:AD,10,0))</f>
        <v/>
      </c>
    </row>
    <row r="105" spans="2:32" x14ac:dyDescent="0.25">
      <c r="B105" t="str">
        <f ca="1">IF(OR(intrim2!D108="Unallocated",intrim2!D108=""),"",intrim2!D108)</f>
        <v/>
      </c>
      <c r="C105" t="str">
        <f ca="1">IFERROR(VLOOKUP($F$3&amp;B105,Intrim!$U:$Z,6,0),"")</f>
        <v/>
      </c>
      <c r="J105" t="str">
        <f ca="1">IF(intrim2!O108="","",intrim2!O108)</f>
        <v/>
      </c>
      <c r="K105" t="str">
        <f ca="1">IFERROR(VLOOKUP(J105&amp;$F$3,Input!F:G,2,0),"")</f>
        <v/>
      </c>
      <c r="N105" t="e">
        <f>+intrim2!Y108</f>
        <v>#N/A</v>
      </c>
      <c r="O105" t="e">
        <f>+intrim2!Z108</f>
        <v>#N/A</v>
      </c>
      <c r="P105" t="e">
        <f>+intrim2!AA108</f>
        <v>#N/A</v>
      </c>
      <c r="Q105" t="e">
        <f ca="1">VLOOKUP(N105&amp;$P$3,Intrim!H:L,5,0)</f>
        <v>#N/A</v>
      </c>
      <c r="R105" t="e">
        <f>VLOOKUP(N105,Intrim!F:I,4,0)</f>
        <v>#N/A</v>
      </c>
      <c r="S105" t="e">
        <f>VLOOKUP(P105,Intrim!G:J,4,0)</f>
        <v>#N/A</v>
      </c>
      <c r="T105" t="e">
        <f>+intrim2!AB108</f>
        <v>#N/A</v>
      </c>
      <c r="U105" t="e">
        <f>VLOOKUP(P105,Intrim!$S$3:$AA$201,9,0)</f>
        <v>#N/A</v>
      </c>
      <c r="V105" t="e">
        <f>VLOOKUP(P105,Intrim!S:Y,7,0)</f>
        <v>#N/A</v>
      </c>
      <c r="W105" t="str">
        <f>intrim2!X108</f>
        <v/>
      </c>
      <c r="X105" t="str">
        <f t="shared" si="8"/>
        <v/>
      </c>
      <c r="Y105" s="35" t="str">
        <f>IFERROR(IF(O105="Unallocated",Q105-SUMIF($N$3:$N104,N105,$Y$3:Y104),IF(U105&gt;=V105,Q105*T105/U105,IF(U105&gt;=T105,T105*R105/S105,U105*Q105/S105))),"")</f>
        <v/>
      </c>
      <c r="AA105">
        <v>13</v>
      </c>
      <c r="AB105" t="str">
        <f>+intrim2!C108</f>
        <v/>
      </c>
      <c r="AC105" t="str">
        <f ca="1">+intrim2!D108</f>
        <v/>
      </c>
      <c r="AD105" t="str">
        <f t="shared" ca="1" si="7"/>
        <v/>
      </c>
      <c r="AE105" t="str">
        <f t="shared" si="6"/>
        <v/>
      </c>
      <c r="AF105" t="str">
        <f>IF(AB105="","",VLOOKUP(AD105,Intrim!U:AD,10,0))</f>
        <v/>
      </c>
    </row>
    <row r="106" spans="2:32" x14ac:dyDescent="0.25">
      <c r="B106" t="str">
        <f ca="1">IF(OR(intrim2!D109="Unallocated",intrim2!D109=""),"",intrim2!D109)</f>
        <v/>
      </c>
      <c r="C106" t="str">
        <f ca="1">IFERROR(VLOOKUP($F$3&amp;B106,Intrim!$U:$Z,6,0),"")</f>
        <v/>
      </c>
      <c r="J106" t="str">
        <f ca="1">IF(intrim2!O109="","",intrim2!O109)</f>
        <v/>
      </c>
      <c r="K106" t="str">
        <f ca="1">IFERROR(VLOOKUP(J106&amp;$F$3,Input!F:G,2,0),"")</f>
        <v/>
      </c>
      <c r="N106" t="e">
        <f>+intrim2!Y109</f>
        <v>#N/A</v>
      </c>
      <c r="O106" t="e">
        <f>+intrim2!Z109</f>
        <v>#N/A</v>
      </c>
      <c r="P106" t="e">
        <f>+intrim2!AA109</f>
        <v>#N/A</v>
      </c>
      <c r="Q106" t="e">
        <f ca="1">VLOOKUP(N106&amp;$P$3,Intrim!H:L,5,0)</f>
        <v>#N/A</v>
      </c>
      <c r="R106" t="e">
        <f>VLOOKUP(N106,Intrim!F:I,4,0)</f>
        <v>#N/A</v>
      </c>
      <c r="S106" t="e">
        <f>VLOOKUP(P106,Intrim!G:J,4,0)</f>
        <v>#N/A</v>
      </c>
      <c r="T106" t="e">
        <f>+intrim2!AB109</f>
        <v>#N/A</v>
      </c>
      <c r="U106" t="e">
        <f>VLOOKUP(P106,Intrim!$S$3:$AA$201,9,0)</f>
        <v>#N/A</v>
      </c>
      <c r="V106" t="e">
        <f>VLOOKUP(P106,Intrim!S:Y,7,0)</f>
        <v>#N/A</v>
      </c>
      <c r="W106" t="str">
        <f>intrim2!X109</f>
        <v/>
      </c>
      <c r="X106" t="str">
        <f t="shared" si="8"/>
        <v/>
      </c>
      <c r="Y106" s="35" t="str">
        <f>IFERROR(IF(O106="Unallocated",Q106-SUMIF($N$3:$N105,N106,$Y$3:Y105),IF(U106&gt;=V106,Q106*T106/U106,IF(U106&gt;=T106,T106*R106/S106,U106*Q106/S106))),"")</f>
        <v/>
      </c>
      <c r="AA106">
        <v>13</v>
      </c>
      <c r="AB106" t="str">
        <f>+intrim2!C109</f>
        <v/>
      </c>
      <c r="AC106" t="str">
        <f ca="1">+intrim2!D109</f>
        <v/>
      </c>
      <c r="AD106" t="str">
        <f t="shared" ca="1" si="7"/>
        <v/>
      </c>
      <c r="AE106" t="str">
        <f t="shared" si="6"/>
        <v/>
      </c>
      <c r="AF106" t="str">
        <f>IF(AB106="","",VLOOKUP(AD106,Intrim!U:AD,10,0))</f>
        <v/>
      </c>
    </row>
    <row r="107" spans="2:32" x14ac:dyDescent="0.25">
      <c r="B107" t="str">
        <f ca="1">IF(OR(intrim2!D110="Unallocated",intrim2!D110=""),"",intrim2!D110)</f>
        <v/>
      </c>
      <c r="C107" t="str">
        <f ca="1">IFERROR(VLOOKUP($F$3&amp;B107,Intrim!$U:$Z,6,0),"")</f>
        <v/>
      </c>
      <c r="J107" t="str">
        <f ca="1">IF(intrim2!O110="","",intrim2!O110)</f>
        <v/>
      </c>
      <c r="K107" t="str">
        <f ca="1">IFERROR(VLOOKUP(J107&amp;$F$3,Input!F:G,2,0),"")</f>
        <v/>
      </c>
      <c r="N107" t="e">
        <f>+intrim2!Y110</f>
        <v>#N/A</v>
      </c>
      <c r="O107" t="e">
        <f>+intrim2!Z110</f>
        <v>#N/A</v>
      </c>
      <c r="P107" t="e">
        <f>+intrim2!AA110</f>
        <v>#N/A</v>
      </c>
      <c r="Q107" t="e">
        <f ca="1">VLOOKUP(N107&amp;$P$3,Intrim!H:L,5,0)</f>
        <v>#N/A</v>
      </c>
      <c r="R107" t="e">
        <f>VLOOKUP(N107,Intrim!F:I,4,0)</f>
        <v>#N/A</v>
      </c>
      <c r="S107" t="e">
        <f>VLOOKUP(P107,Intrim!G:J,4,0)</f>
        <v>#N/A</v>
      </c>
      <c r="T107" t="e">
        <f>+intrim2!AB110</f>
        <v>#N/A</v>
      </c>
      <c r="U107" t="e">
        <f>VLOOKUP(P107,Intrim!$S$3:$AA$201,9,0)</f>
        <v>#N/A</v>
      </c>
      <c r="V107" t="e">
        <f>VLOOKUP(P107,Intrim!S:Y,7,0)</f>
        <v>#N/A</v>
      </c>
      <c r="W107" t="str">
        <f>intrim2!X110</f>
        <v/>
      </c>
      <c r="X107" t="str">
        <f t="shared" si="8"/>
        <v/>
      </c>
      <c r="Y107" s="35" t="str">
        <f>IFERROR(IF(O107="Unallocated",Q107-SUMIF($N$3:$N106,N107,$Y$3:Y106),IF(U107&gt;=V107,Q107*T107/U107,IF(U107&gt;=T107,T107*R107/S107,U107*Q107/S107))),"")</f>
        <v/>
      </c>
      <c r="AA107">
        <v>13</v>
      </c>
      <c r="AB107" t="str">
        <f>+intrim2!C110</f>
        <v/>
      </c>
      <c r="AC107" t="str">
        <f ca="1">+intrim2!D110</f>
        <v/>
      </c>
      <c r="AD107" t="str">
        <f t="shared" ca="1" si="7"/>
        <v/>
      </c>
      <c r="AE107" t="str">
        <f t="shared" si="6"/>
        <v/>
      </c>
      <c r="AF107" t="str">
        <f>IF(AB107="","",VLOOKUP(AD107,Intrim!U:AD,10,0))</f>
        <v/>
      </c>
    </row>
    <row r="108" spans="2:32" x14ac:dyDescent="0.25">
      <c r="B108" t="str">
        <f ca="1">IF(OR(intrim2!D111="Unallocated",intrim2!D111=""),"",intrim2!D111)</f>
        <v/>
      </c>
      <c r="C108" t="str">
        <f ca="1">IFERROR(VLOOKUP($F$3&amp;B108,Intrim!$U:$Z,6,0),"")</f>
        <v/>
      </c>
      <c r="J108" t="str">
        <f ca="1">IF(intrim2!O111="","",intrim2!O111)</f>
        <v/>
      </c>
      <c r="K108" t="str">
        <f ca="1">IFERROR(VLOOKUP(J108&amp;$F$3,Input!F:G,2,0),"")</f>
        <v/>
      </c>
      <c r="N108" t="e">
        <f>+intrim2!Y111</f>
        <v>#N/A</v>
      </c>
      <c r="O108" t="e">
        <f>+intrim2!Z111</f>
        <v>#N/A</v>
      </c>
      <c r="P108" t="e">
        <f>+intrim2!AA111</f>
        <v>#N/A</v>
      </c>
      <c r="Q108" t="e">
        <f ca="1">VLOOKUP(N108&amp;$P$3,Intrim!H:L,5,0)</f>
        <v>#N/A</v>
      </c>
      <c r="R108" t="e">
        <f>VLOOKUP(N108,Intrim!F:I,4,0)</f>
        <v>#N/A</v>
      </c>
      <c r="S108" t="e">
        <f>VLOOKUP(P108,Intrim!G:J,4,0)</f>
        <v>#N/A</v>
      </c>
      <c r="T108" t="e">
        <f>+intrim2!AB111</f>
        <v>#N/A</v>
      </c>
      <c r="U108" t="e">
        <f>VLOOKUP(P108,Intrim!$S$3:$AA$201,9,0)</f>
        <v>#N/A</v>
      </c>
      <c r="V108" t="e">
        <f>VLOOKUP(P108,Intrim!S:Y,7,0)</f>
        <v>#N/A</v>
      </c>
      <c r="W108" t="str">
        <f>intrim2!X111</f>
        <v/>
      </c>
      <c r="X108" t="str">
        <f t="shared" si="8"/>
        <v/>
      </c>
      <c r="Y108" s="35" t="str">
        <f>IFERROR(IF(O108="Unallocated",Q108-SUMIF($N$3:$N107,N108,$Y$3:Y107),IF(U108&gt;=V108,Q108*T108/U108,IF(U108&gt;=T108,T108*R108/S108,U108*Q108/S108))),"")</f>
        <v/>
      </c>
      <c r="AA108">
        <v>13</v>
      </c>
      <c r="AB108" t="str">
        <f>+intrim2!C111</f>
        <v/>
      </c>
      <c r="AC108" t="str">
        <f ca="1">+intrim2!D111</f>
        <v/>
      </c>
      <c r="AD108" t="str">
        <f t="shared" ca="1" si="7"/>
        <v/>
      </c>
      <c r="AE108" t="str">
        <f t="shared" si="6"/>
        <v/>
      </c>
      <c r="AF108" t="str">
        <f>IF(AB108="","",VLOOKUP(AD108,Intrim!U:AD,10,0))</f>
        <v/>
      </c>
    </row>
    <row r="109" spans="2:32" x14ac:dyDescent="0.25">
      <c r="B109" t="str">
        <f ca="1">IF(OR(intrim2!D112="Unallocated",intrim2!D112=""),"",intrim2!D112)</f>
        <v/>
      </c>
      <c r="C109" t="str">
        <f ca="1">IFERROR(VLOOKUP($F$3&amp;B109,Intrim!$U:$Z,6,0),"")</f>
        <v/>
      </c>
      <c r="J109" t="str">
        <f ca="1">IF(intrim2!O112="","",intrim2!O112)</f>
        <v/>
      </c>
      <c r="K109" t="str">
        <f ca="1">IFERROR(VLOOKUP(J109&amp;$F$3,Input!F:G,2,0),"")</f>
        <v/>
      </c>
      <c r="N109" t="e">
        <f>+intrim2!Y112</f>
        <v>#N/A</v>
      </c>
      <c r="O109" t="e">
        <f>+intrim2!Z112</f>
        <v>#N/A</v>
      </c>
      <c r="P109" t="e">
        <f>+intrim2!AA112</f>
        <v>#N/A</v>
      </c>
      <c r="Q109" t="e">
        <f ca="1">VLOOKUP(N109&amp;$P$3,Intrim!H:L,5,0)</f>
        <v>#N/A</v>
      </c>
      <c r="R109" t="e">
        <f>VLOOKUP(N109,Intrim!F:I,4,0)</f>
        <v>#N/A</v>
      </c>
      <c r="S109" t="e">
        <f>VLOOKUP(P109,Intrim!G:J,4,0)</f>
        <v>#N/A</v>
      </c>
      <c r="T109" t="e">
        <f>+intrim2!AB112</f>
        <v>#N/A</v>
      </c>
      <c r="U109" t="e">
        <f>VLOOKUP(P109,Intrim!$S$3:$AA$201,9,0)</f>
        <v>#N/A</v>
      </c>
      <c r="V109" t="e">
        <f>VLOOKUP(P109,Intrim!S:Y,7,0)</f>
        <v>#N/A</v>
      </c>
      <c r="W109" t="str">
        <f>intrim2!X112</f>
        <v/>
      </c>
      <c r="X109" t="str">
        <f t="shared" si="8"/>
        <v/>
      </c>
      <c r="Y109" s="35" t="str">
        <f>IFERROR(IF(O109="Unallocated",Q109-SUMIF($N$3:$N108,N109,$Y$3:Y108),IF(U109&gt;=V109,Q109*T109/U109,IF(U109&gt;=T109,T109*R109/S109,U109*Q109/S109))),"")</f>
        <v/>
      </c>
      <c r="AA109">
        <v>13</v>
      </c>
      <c r="AB109" t="str">
        <f>+intrim2!C112</f>
        <v/>
      </c>
      <c r="AC109" t="str">
        <f ca="1">+intrim2!D112</f>
        <v/>
      </c>
      <c r="AD109" t="str">
        <f t="shared" ca="1" si="7"/>
        <v/>
      </c>
      <c r="AE109" t="str">
        <f t="shared" si="6"/>
        <v/>
      </c>
      <c r="AF109" t="str">
        <f>IF(AB109="","",VLOOKUP(AD109,Intrim!U:AD,10,0))</f>
        <v/>
      </c>
    </row>
    <row r="110" spans="2:32" x14ac:dyDescent="0.25">
      <c r="B110" t="str">
        <f ca="1">IF(OR(intrim2!D113="Unallocated",intrim2!D113=""),"",intrim2!D113)</f>
        <v/>
      </c>
      <c r="C110" t="str">
        <f ca="1">IFERROR(VLOOKUP($F$3&amp;B110,Intrim!$U:$Z,6,0),"")</f>
        <v/>
      </c>
      <c r="J110" t="str">
        <f ca="1">IF(intrim2!O113="","",intrim2!O113)</f>
        <v/>
      </c>
      <c r="K110" t="str">
        <f ca="1">IFERROR(VLOOKUP(J110&amp;$F$3,Input!F:G,2,0),"")</f>
        <v/>
      </c>
      <c r="N110" t="e">
        <f>+intrim2!Y113</f>
        <v>#N/A</v>
      </c>
      <c r="O110" t="e">
        <f>+intrim2!Z113</f>
        <v>#N/A</v>
      </c>
      <c r="P110" t="e">
        <f>+intrim2!AA113</f>
        <v>#N/A</v>
      </c>
      <c r="Q110" t="e">
        <f ca="1">VLOOKUP(N110&amp;$P$3,Intrim!H:L,5,0)</f>
        <v>#N/A</v>
      </c>
      <c r="R110" t="e">
        <f>VLOOKUP(N110,Intrim!F:I,4,0)</f>
        <v>#N/A</v>
      </c>
      <c r="S110" t="e">
        <f>VLOOKUP(P110,Intrim!G:J,4,0)</f>
        <v>#N/A</v>
      </c>
      <c r="T110" t="e">
        <f>+intrim2!AB113</f>
        <v>#N/A</v>
      </c>
      <c r="U110" t="e">
        <f>VLOOKUP(P110,Intrim!$S$3:$AA$201,9,0)</f>
        <v>#N/A</v>
      </c>
      <c r="V110" t="e">
        <f>VLOOKUP(P110,Intrim!S:Y,7,0)</f>
        <v>#N/A</v>
      </c>
      <c r="W110" t="str">
        <f>intrim2!X113</f>
        <v/>
      </c>
      <c r="X110" t="str">
        <f t="shared" si="8"/>
        <v/>
      </c>
      <c r="Y110" s="35" t="str">
        <f>IFERROR(IF(O110="Unallocated",Q110-SUMIF($N$3:$N109,N110,$Y$3:Y109),IF(U110&gt;=V110,Q110*T110/U110,IF(U110&gt;=T110,T110*R110/S110,U110*Q110/S110))),"")</f>
        <v/>
      </c>
      <c r="AA110">
        <v>13</v>
      </c>
      <c r="AB110" t="str">
        <f>+intrim2!C113</f>
        <v/>
      </c>
      <c r="AC110" t="str">
        <f ca="1">+intrim2!D113</f>
        <v/>
      </c>
      <c r="AD110" t="str">
        <f t="shared" ca="1" si="7"/>
        <v/>
      </c>
      <c r="AE110" t="str">
        <f t="shared" si="6"/>
        <v/>
      </c>
      <c r="AF110" t="str">
        <f>IF(AB110="","",VLOOKUP(AD110,Intrim!U:AD,10,0))</f>
        <v/>
      </c>
    </row>
    <row r="111" spans="2:32" x14ac:dyDescent="0.25">
      <c r="B111" t="str">
        <f ca="1">IF(OR(intrim2!D114="Unallocated",intrim2!D114=""),"",intrim2!D114)</f>
        <v/>
      </c>
      <c r="C111" t="str">
        <f ca="1">IFERROR(VLOOKUP($F$3&amp;B111,Intrim!$U:$Z,6,0),"")</f>
        <v/>
      </c>
      <c r="J111" t="str">
        <f ca="1">IF(intrim2!O114="","",intrim2!O114)</f>
        <v/>
      </c>
      <c r="K111" t="str">
        <f ca="1">IFERROR(VLOOKUP(J111&amp;$F$3,Input!F:G,2,0),"")</f>
        <v/>
      </c>
      <c r="N111" t="e">
        <f>+intrim2!Y114</f>
        <v>#N/A</v>
      </c>
      <c r="O111" t="e">
        <f>+intrim2!Z114</f>
        <v>#N/A</v>
      </c>
      <c r="P111" t="e">
        <f>+intrim2!AA114</f>
        <v>#N/A</v>
      </c>
      <c r="Q111" t="e">
        <f ca="1">VLOOKUP(N111&amp;$P$3,Intrim!H:L,5,0)</f>
        <v>#N/A</v>
      </c>
      <c r="R111" t="e">
        <f>VLOOKUP(N111,Intrim!F:I,4,0)</f>
        <v>#N/A</v>
      </c>
      <c r="S111" t="e">
        <f>VLOOKUP(P111,Intrim!G:J,4,0)</f>
        <v>#N/A</v>
      </c>
      <c r="T111" t="e">
        <f>+intrim2!AB114</f>
        <v>#N/A</v>
      </c>
      <c r="U111" t="e">
        <f>VLOOKUP(P111,Intrim!$S$3:$AA$201,9,0)</f>
        <v>#N/A</v>
      </c>
      <c r="V111" t="e">
        <f>VLOOKUP(P111,Intrim!S:Y,7,0)</f>
        <v>#N/A</v>
      </c>
      <c r="W111" t="str">
        <f>intrim2!X114</f>
        <v/>
      </c>
      <c r="X111" t="str">
        <f t="shared" si="8"/>
        <v/>
      </c>
      <c r="Y111" s="35" t="str">
        <f>IFERROR(IF(O111="Unallocated",Q111-SUMIF($N$3:$N110,N111,$Y$3:Y110),IF(U111&gt;=V111,Q111*T111/U111,IF(U111&gt;=T111,T111*R111/S111,U111*Q111/S111))),"")</f>
        <v/>
      </c>
      <c r="AA111">
        <v>13</v>
      </c>
      <c r="AB111" t="str">
        <f>+intrim2!C114</f>
        <v/>
      </c>
      <c r="AC111" t="str">
        <f ca="1">+intrim2!D114</f>
        <v/>
      </c>
      <c r="AD111" t="str">
        <f t="shared" ca="1" si="7"/>
        <v/>
      </c>
      <c r="AE111" t="str">
        <f t="shared" si="6"/>
        <v/>
      </c>
      <c r="AF111" t="str">
        <f>IF(AB111="","",VLOOKUP(AD111,Intrim!U:AD,10,0))</f>
        <v/>
      </c>
    </row>
    <row r="112" spans="2:32" x14ac:dyDescent="0.25">
      <c r="B112" t="str">
        <f ca="1">IF(OR(intrim2!D115="Unallocated",intrim2!D115=""),"",intrim2!D115)</f>
        <v/>
      </c>
      <c r="C112" t="str">
        <f ca="1">IFERROR(VLOOKUP($F$3&amp;B112,Intrim!$U:$Z,6,0),"")</f>
        <v/>
      </c>
      <c r="J112" t="str">
        <f ca="1">IF(intrim2!O115="","",intrim2!O115)</f>
        <v/>
      </c>
      <c r="K112" t="str">
        <f ca="1">IFERROR(VLOOKUP(J112&amp;$F$3,Input!F:G,2,0),"")</f>
        <v/>
      </c>
      <c r="N112" t="e">
        <f>+intrim2!Y115</f>
        <v>#N/A</v>
      </c>
      <c r="O112" t="e">
        <f>+intrim2!Z115</f>
        <v>#N/A</v>
      </c>
      <c r="P112" t="e">
        <f>+intrim2!AA115</f>
        <v>#N/A</v>
      </c>
      <c r="Q112" t="e">
        <f ca="1">VLOOKUP(N112&amp;$P$3,Intrim!H:L,5,0)</f>
        <v>#N/A</v>
      </c>
      <c r="R112" t="e">
        <f>VLOOKUP(N112,Intrim!F:I,4,0)</f>
        <v>#N/A</v>
      </c>
      <c r="S112" t="e">
        <f>VLOOKUP(P112,Intrim!G:J,4,0)</f>
        <v>#N/A</v>
      </c>
      <c r="T112" t="e">
        <f>+intrim2!AB115</f>
        <v>#N/A</v>
      </c>
      <c r="U112" t="e">
        <f>VLOOKUP(P112,Intrim!$S$3:$AA$201,9,0)</f>
        <v>#N/A</v>
      </c>
      <c r="V112" t="e">
        <f>VLOOKUP(P112,Intrim!S:Y,7,0)</f>
        <v>#N/A</v>
      </c>
      <c r="W112" t="str">
        <f>intrim2!X115</f>
        <v/>
      </c>
      <c r="X112" t="str">
        <f t="shared" si="8"/>
        <v/>
      </c>
      <c r="Y112" s="35" t="str">
        <f>IFERROR(IF(O112="Unallocated",Q112-SUMIF($N$3:$N111,N112,$Y$3:Y111),IF(U112&gt;=V112,Q112*T112/U112,IF(U112&gt;=T112,T112*R112/S112,U112*Q112/S112))),"")</f>
        <v/>
      </c>
      <c r="AA112">
        <v>13</v>
      </c>
      <c r="AB112" t="str">
        <f>+intrim2!C115</f>
        <v/>
      </c>
      <c r="AC112" t="str">
        <f ca="1">+intrim2!D115</f>
        <v/>
      </c>
      <c r="AD112" t="str">
        <f t="shared" ca="1" si="7"/>
        <v/>
      </c>
      <c r="AE112" t="str">
        <f t="shared" si="6"/>
        <v/>
      </c>
      <c r="AF112" t="str">
        <f>IF(AB112="","",VLOOKUP(AD112,Intrim!U:AD,10,0))</f>
        <v/>
      </c>
    </row>
    <row r="113" spans="2:32" x14ac:dyDescent="0.25">
      <c r="B113" t="str">
        <f ca="1">IF(OR(intrim2!D116="Unallocated",intrim2!D116=""),"",intrim2!D116)</f>
        <v/>
      </c>
      <c r="C113" t="str">
        <f ca="1">IFERROR(VLOOKUP($F$3&amp;B113,Intrim!$U:$Z,6,0),"")</f>
        <v/>
      </c>
      <c r="J113" t="str">
        <f ca="1">IF(intrim2!O116="","",intrim2!O116)</f>
        <v/>
      </c>
      <c r="K113" t="str">
        <f ca="1">IFERROR(VLOOKUP(J113&amp;$F$3,Input!F:G,2,0),"")</f>
        <v/>
      </c>
      <c r="N113" t="e">
        <f>+intrim2!Y116</f>
        <v>#N/A</v>
      </c>
      <c r="O113" t="e">
        <f>+intrim2!Z116</f>
        <v>#N/A</v>
      </c>
      <c r="P113" t="e">
        <f>+intrim2!AA116</f>
        <v>#N/A</v>
      </c>
      <c r="Q113" t="e">
        <f ca="1">VLOOKUP(N113&amp;$P$3,Intrim!H:L,5,0)</f>
        <v>#N/A</v>
      </c>
      <c r="R113" t="e">
        <f>VLOOKUP(N113,Intrim!F:I,4,0)</f>
        <v>#N/A</v>
      </c>
      <c r="S113" t="e">
        <f>VLOOKUP(P113,Intrim!G:J,4,0)</f>
        <v>#N/A</v>
      </c>
      <c r="T113" t="e">
        <f>+intrim2!AB116</f>
        <v>#N/A</v>
      </c>
      <c r="U113" t="e">
        <f>VLOOKUP(P113,Intrim!$S$3:$AA$201,9,0)</f>
        <v>#N/A</v>
      </c>
      <c r="V113" t="e">
        <f>VLOOKUP(P113,Intrim!S:Y,7,0)</f>
        <v>#N/A</v>
      </c>
      <c r="W113" t="str">
        <f>intrim2!X116</f>
        <v/>
      </c>
      <c r="X113" t="str">
        <f t="shared" si="8"/>
        <v/>
      </c>
      <c r="Y113" s="35" t="str">
        <f>IFERROR(IF(O113="Unallocated",Q113-SUMIF($N$3:$N112,N113,$Y$3:Y112),IF(U113&gt;=V113,Q113*T113/U113,IF(U113&gt;=T113,T113*R113/S113,U113*Q113/S113))),"")</f>
        <v/>
      </c>
      <c r="AA113">
        <v>13</v>
      </c>
      <c r="AB113" t="str">
        <f>+intrim2!C116</f>
        <v/>
      </c>
      <c r="AC113" t="str">
        <f ca="1">+intrim2!D116</f>
        <v/>
      </c>
      <c r="AD113" t="str">
        <f t="shared" ca="1" si="7"/>
        <v/>
      </c>
      <c r="AE113" t="str">
        <f t="shared" si="6"/>
        <v/>
      </c>
      <c r="AF113" t="str">
        <f>IF(AB113="","",VLOOKUP(AD113,Intrim!U:AD,10,0))</f>
        <v/>
      </c>
    </row>
    <row r="114" spans="2:32" x14ac:dyDescent="0.25">
      <c r="B114" t="str">
        <f ca="1">IF(OR(intrim2!D117="Unallocated",intrim2!D117=""),"",intrim2!D117)</f>
        <v/>
      </c>
      <c r="C114" t="str">
        <f ca="1">IFERROR(VLOOKUP($F$3&amp;B114,Intrim!$U:$Z,6,0),"")</f>
        <v/>
      </c>
      <c r="J114" t="str">
        <f ca="1">IF(intrim2!O117="","",intrim2!O117)</f>
        <v/>
      </c>
      <c r="K114" t="str">
        <f ca="1">IFERROR(VLOOKUP(J114&amp;$F$3,Input!F:G,2,0),"")</f>
        <v/>
      </c>
      <c r="N114" t="e">
        <f>+intrim2!Y117</f>
        <v>#N/A</v>
      </c>
      <c r="O114" t="e">
        <f>+intrim2!Z117</f>
        <v>#N/A</v>
      </c>
      <c r="P114" t="e">
        <f>+intrim2!AA117</f>
        <v>#N/A</v>
      </c>
      <c r="Q114" t="e">
        <f ca="1">VLOOKUP(N114&amp;$P$3,Intrim!H:L,5,0)</f>
        <v>#N/A</v>
      </c>
      <c r="R114" t="e">
        <f>VLOOKUP(N114,Intrim!F:I,4,0)</f>
        <v>#N/A</v>
      </c>
      <c r="S114" t="e">
        <f>VLOOKUP(P114,Intrim!G:J,4,0)</f>
        <v>#N/A</v>
      </c>
      <c r="T114" t="e">
        <f>+intrim2!AB117</f>
        <v>#N/A</v>
      </c>
      <c r="U114" t="e">
        <f>VLOOKUP(P114,Intrim!$S$3:$AA$201,9,0)</f>
        <v>#N/A</v>
      </c>
      <c r="V114" t="e">
        <f>VLOOKUP(P114,Intrim!S:Y,7,0)</f>
        <v>#N/A</v>
      </c>
      <c r="W114" t="str">
        <f>intrim2!X117</f>
        <v/>
      </c>
      <c r="X114" t="str">
        <f t="shared" si="8"/>
        <v/>
      </c>
      <c r="Y114" s="35" t="str">
        <f>IFERROR(IF(O114="Unallocated",Q114-SUMIF($N$3:$N113,N114,$Y$3:Y113),IF(U114&gt;=V114,Q114*T114/U114,IF(U114&gt;=T114,T114*R114/S114,U114*Q114/S114))),"")</f>
        <v/>
      </c>
      <c r="AA114">
        <v>13</v>
      </c>
      <c r="AB114" t="str">
        <f>+intrim2!C117</f>
        <v/>
      </c>
      <c r="AC114" t="str">
        <f ca="1">+intrim2!D117</f>
        <v/>
      </c>
      <c r="AD114" t="str">
        <f t="shared" ca="1" si="7"/>
        <v/>
      </c>
      <c r="AE114" t="str">
        <f t="shared" si="6"/>
        <v/>
      </c>
      <c r="AF114" t="str">
        <f>IF(AB114="","",VLOOKUP(AD114,Intrim!U:AD,10,0))</f>
        <v/>
      </c>
    </row>
    <row r="115" spans="2:32" x14ac:dyDescent="0.25">
      <c r="B115" t="str">
        <f ca="1">IF(OR(intrim2!D118="Unallocated",intrim2!D118=""),"",intrim2!D118)</f>
        <v/>
      </c>
      <c r="C115" t="str">
        <f ca="1">IFERROR(VLOOKUP($F$3&amp;B115,Intrim!$U:$Z,6,0),"")</f>
        <v/>
      </c>
      <c r="J115" t="str">
        <f ca="1">IF(intrim2!O118="","",intrim2!O118)</f>
        <v/>
      </c>
      <c r="K115" t="str">
        <f ca="1">IFERROR(VLOOKUP(J115&amp;$F$3,Input!F:G,2,0),"")</f>
        <v/>
      </c>
      <c r="N115" t="e">
        <f>+intrim2!Y118</f>
        <v>#N/A</v>
      </c>
      <c r="O115" t="e">
        <f>+intrim2!Z118</f>
        <v>#N/A</v>
      </c>
      <c r="P115" t="e">
        <f>+intrim2!AA118</f>
        <v>#N/A</v>
      </c>
      <c r="Q115" t="e">
        <f ca="1">VLOOKUP(N115&amp;$P$3,Intrim!H:L,5,0)</f>
        <v>#N/A</v>
      </c>
      <c r="R115" t="e">
        <f>VLOOKUP(N115,Intrim!F:I,4,0)</f>
        <v>#N/A</v>
      </c>
      <c r="S115" t="e">
        <f>VLOOKUP(P115,Intrim!G:J,4,0)</f>
        <v>#N/A</v>
      </c>
      <c r="T115" t="e">
        <f>+intrim2!AB118</f>
        <v>#N/A</v>
      </c>
      <c r="U115" t="e">
        <f>VLOOKUP(P115,Intrim!$S$3:$AA$201,9,0)</f>
        <v>#N/A</v>
      </c>
      <c r="V115" t="e">
        <f>VLOOKUP(P115,Intrim!S:Y,7,0)</f>
        <v>#N/A</v>
      </c>
      <c r="W115" t="str">
        <f>intrim2!X118</f>
        <v/>
      </c>
      <c r="X115" t="str">
        <f t="shared" si="8"/>
        <v/>
      </c>
      <c r="Y115" s="35" t="str">
        <f>IFERROR(IF(O115="Unallocated",Q115-SUMIF($N$3:$N114,N115,$Y$3:Y114),IF(U115&gt;=V115,Q115*T115/U115,IF(U115&gt;=T115,T115*R115/S115,U115*Q115/S115))),"")</f>
        <v/>
      </c>
      <c r="AA115">
        <v>13</v>
      </c>
      <c r="AB115" t="str">
        <f>+intrim2!C118</f>
        <v/>
      </c>
      <c r="AC115" t="str">
        <f ca="1">+intrim2!D118</f>
        <v/>
      </c>
      <c r="AD115" t="str">
        <f t="shared" ca="1" si="7"/>
        <v/>
      </c>
      <c r="AE115" t="str">
        <f t="shared" si="6"/>
        <v/>
      </c>
      <c r="AF115" t="str">
        <f>IF(AB115="","",VLOOKUP(AD115,Intrim!U:AD,10,0))</f>
        <v/>
      </c>
    </row>
    <row r="116" spans="2:32" x14ac:dyDescent="0.25">
      <c r="B116" t="str">
        <f ca="1">IF(OR(intrim2!D119="Unallocated",intrim2!D119=""),"",intrim2!D119)</f>
        <v/>
      </c>
      <c r="C116" t="str">
        <f ca="1">IFERROR(VLOOKUP($F$3&amp;B116,Intrim!$U:$Z,6,0),"")</f>
        <v/>
      </c>
      <c r="J116" t="str">
        <f ca="1">IF(intrim2!O119="","",intrim2!O119)</f>
        <v/>
      </c>
      <c r="K116" t="str">
        <f ca="1">IFERROR(VLOOKUP(J116&amp;$F$3,Input!F:G,2,0),"")</f>
        <v/>
      </c>
      <c r="N116" t="e">
        <f>+intrim2!Y119</f>
        <v>#N/A</v>
      </c>
      <c r="O116" t="e">
        <f>+intrim2!Z119</f>
        <v>#N/A</v>
      </c>
      <c r="P116" t="e">
        <f>+intrim2!AA119</f>
        <v>#N/A</v>
      </c>
      <c r="Q116" t="e">
        <f ca="1">VLOOKUP(N116&amp;$P$3,Intrim!H:L,5,0)</f>
        <v>#N/A</v>
      </c>
      <c r="R116" t="e">
        <f>VLOOKUP(N116,Intrim!F:I,4,0)</f>
        <v>#N/A</v>
      </c>
      <c r="S116" t="e">
        <f>VLOOKUP(P116,Intrim!G:J,4,0)</f>
        <v>#N/A</v>
      </c>
      <c r="T116" t="e">
        <f>+intrim2!AB119</f>
        <v>#N/A</v>
      </c>
      <c r="U116" t="e">
        <f>VLOOKUP(P116,Intrim!$S$3:$AA$201,9,0)</f>
        <v>#N/A</v>
      </c>
      <c r="V116" t="e">
        <f>VLOOKUP(P116,Intrim!S:Y,7,0)</f>
        <v>#N/A</v>
      </c>
      <c r="W116" t="str">
        <f>intrim2!X119</f>
        <v/>
      </c>
      <c r="X116" t="str">
        <f t="shared" si="8"/>
        <v/>
      </c>
      <c r="Y116" s="35" t="str">
        <f>IFERROR(IF(O116="Unallocated",Q116-SUMIF($N$3:$N115,N116,$Y$3:Y115),IF(U116&gt;=V116,Q116*T116/U116,IF(U116&gt;=T116,T116*R116/S116,U116*Q116/S116))),"")</f>
        <v/>
      </c>
      <c r="AA116">
        <v>13</v>
      </c>
      <c r="AB116" t="str">
        <f>+intrim2!C119</f>
        <v/>
      </c>
      <c r="AC116" t="str">
        <f ca="1">+intrim2!D119</f>
        <v/>
      </c>
      <c r="AD116" t="str">
        <f t="shared" ca="1" si="7"/>
        <v/>
      </c>
      <c r="AE116" t="str">
        <f t="shared" si="6"/>
        <v/>
      </c>
      <c r="AF116" t="str">
        <f>IF(AB116="","",VLOOKUP(AD116,Intrim!U:AD,10,0))</f>
        <v/>
      </c>
    </row>
    <row r="117" spans="2:32" x14ac:dyDescent="0.25">
      <c r="B117" t="str">
        <f ca="1">IF(OR(intrim2!D120="Unallocated",intrim2!D120=""),"",intrim2!D120)</f>
        <v/>
      </c>
      <c r="C117" t="str">
        <f ca="1">IFERROR(VLOOKUP($F$3&amp;B117,Intrim!$U:$Z,6,0),"")</f>
        <v/>
      </c>
      <c r="J117" t="str">
        <f ca="1">IF(intrim2!O120="","",intrim2!O120)</f>
        <v/>
      </c>
      <c r="K117" t="str">
        <f ca="1">IFERROR(VLOOKUP(J117&amp;$F$3,Input!F:G,2,0),"")</f>
        <v/>
      </c>
      <c r="N117" t="e">
        <f>+intrim2!Y120</f>
        <v>#N/A</v>
      </c>
      <c r="O117" t="e">
        <f>+intrim2!Z120</f>
        <v>#N/A</v>
      </c>
      <c r="P117" t="e">
        <f>+intrim2!AA120</f>
        <v>#N/A</v>
      </c>
      <c r="Q117" t="e">
        <f ca="1">VLOOKUP(N117&amp;$P$3,Intrim!H:L,5,0)</f>
        <v>#N/A</v>
      </c>
      <c r="R117" t="e">
        <f>VLOOKUP(N117,Intrim!F:I,4,0)</f>
        <v>#N/A</v>
      </c>
      <c r="S117" t="e">
        <f>VLOOKUP(P117,Intrim!G:J,4,0)</f>
        <v>#N/A</v>
      </c>
      <c r="T117" t="e">
        <f>+intrim2!AB120</f>
        <v>#N/A</v>
      </c>
      <c r="U117" t="e">
        <f>VLOOKUP(P117,Intrim!$S$3:$AA$201,9,0)</f>
        <v>#N/A</v>
      </c>
      <c r="V117" t="e">
        <f>VLOOKUP(P117,Intrim!S:Y,7,0)</f>
        <v>#N/A</v>
      </c>
      <c r="W117" t="str">
        <f>intrim2!X120</f>
        <v/>
      </c>
      <c r="X117" t="str">
        <f t="shared" si="8"/>
        <v/>
      </c>
      <c r="Y117" s="35" t="str">
        <f>IFERROR(IF(O117="Unallocated",Q117-SUMIF($N$3:$N116,N117,$Y$3:Y116),IF(U117&gt;=V117,Q117*T117/U117,IF(U117&gt;=T117,T117*R117/S117,U117*Q117/S117))),"")</f>
        <v/>
      </c>
      <c r="AA117">
        <v>13</v>
      </c>
      <c r="AB117" t="str">
        <f>+intrim2!C120</f>
        <v/>
      </c>
      <c r="AC117" t="str">
        <f ca="1">+intrim2!D120</f>
        <v/>
      </c>
      <c r="AD117" t="str">
        <f t="shared" ca="1" si="7"/>
        <v/>
      </c>
      <c r="AE117" t="str">
        <f t="shared" si="6"/>
        <v/>
      </c>
      <c r="AF117" t="str">
        <f>IF(AB117="","",VLOOKUP(AD117,Intrim!U:AD,10,0))</f>
        <v/>
      </c>
    </row>
    <row r="118" spans="2:32" x14ac:dyDescent="0.25">
      <c r="B118" t="str">
        <f ca="1">IF(OR(intrim2!D121="Unallocated",intrim2!D121=""),"",intrim2!D121)</f>
        <v/>
      </c>
      <c r="C118" t="str">
        <f ca="1">IFERROR(VLOOKUP($F$3&amp;B118,Intrim!$U:$Z,6,0),"")</f>
        <v/>
      </c>
      <c r="J118" t="str">
        <f ca="1">IF(intrim2!O121="","",intrim2!O121)</f>
        <v/>
      </c>
      <c r="K118" t="str">
        <f ca="1">IFERROR(VLOOKUP(J118&amp;$F$3,Input!F:G,2,0),"")</f>
        <v/>
      </c>
      <c r="N118" t="e">
        <f>+intrim2!Y121</f>
        <v>#N/A</v>
      </c>
      <c r="O118" t="e">
        <f>+intrim2!Z121</f>
        <v>#N/A</v>
      </c>
      <c r="P118" t="e">
        <f>+intrim2!AA121</f>
        <v>#N/A</v>
      </c>
      <c r="Q118" t="e">
        <f ca="1">VLOOKUP(N118&amp;$P$3,Intrim!H:L,5,0)</f>
        <v>#N/A</v>
      </c>
      <c r="R118" t="e">
        <f>VLOOKUP(N118,Intrim!F:I,4,0)</f>
        <v>#N/A</v>
      </c>
      <c r="S118" t="e">
        <f>VLOOKUP(P118,Intrim!G:J,4,0)</f>
        <v>#N/A</v>
      </c>
      <c r="T118" t="e">
        <f>+intrim2!AB121</f>
        <v>#N/A</v>
      </c>
      <c r="U118" t="e">
        <f>VLOOKUP(P118,Intrim!$S$3:$AA$201,9,0)</f>
        <v>#N/A</v>
      </c>
      <c r="V118" t="e">
        <f>VLOOKUP(P118,Intrim!S:Y,7,0)</f>
        <v>#N/A</v>
      </c>
      <c r="W118" t="str">
        <f>intrim2!X121</f>
        <v/>
      </c>
      <c r="X118" t="str">
        <f t="shared" si="8"/>
        <v/>
      </c>
      <c r="Y118" s="35" t="str">
        <f>IFERROR(IF(O118="Unallocated",Q118-SUMIF($N$3:$N117,N118,$Y$3:Y117),IF(U118&gt;=V118,Q118*T118/U118,IF(U118&gt;=T118,T118*R118/S118,U118*Q118/S118))),"")</f>
        <v/>
      </c>
      <c r="AA118">
        <v>13</v>
      </c>
      <c r="AB118" t="str">
        <f>+intrim2!C121</f>
        <v/>
      </c>
      <c r="AC118" t="str">
        <f ca="1">+intrim2!D121</f>
        <v/>
      </c>
      <c r="AD118" t="str">
        <f t="shared" ca="1" si="7"/>
        <v/>
      </c>
      <c r="AE118" t="str">
        <f t="shared" si="6"/>
        <v/>
      </c>
      <c r="AF118" t="str">
        <f>IF(AB118="","",VLOOKUP(AD118,Intrim!U:AD,10,0))</f>
        <v/>
      </c>
    </row>
    <row r="119" spans="2:32" x14ac:dyDescent="0.25">
      <c r="B119" t="str">
        <f ca="1">IF(OR(intrim2!D122="Unallocated",intrim2!D122=""),"",intrim2!D122)</f>
        <v/>
      </c>
      <c r="C119" t="str">
        <f ca="1">IFERROR(VLOOKUP($F$3&amp;B119,Intrim!$U:$Z,6,0),"")</f>
        <v/>
      </c>
      <c r="J119" t="str">
        <f ca="1">IF(intrim2!O122="","",intrim2!O122)</f>
        <v/>
      </c>
      <c r="K119" t="str">
        <f ca="1">IFERROR(VLOOKUP(J119&amp;$F$3,Input!F:G,2,0),"")</f>
        <v/>
      </c>
      <c r="N119" t="e">
        <f>+intrim2!Y122</f>
        <v>#N/A</v>
      </c>
      <c r="O119" t="e">
        <f>+intrim2!Z122</f>
        <v>#N/A</v>
      </c>
      <c r="P119" t="e">
        <f>+intrim2!AA122</f>
        <v>#N/A</v>
      </c>
      <c r="Q119" t="e">
        <f ca="1">VLOOKUP(N119&amp;$P$3,Intrim!H:L,5,0)</f>
        <v>#N/A</v>
      </c>
      <c r="R119" t="e">
        <f>VLOOKUP(N119,Intrim!F:I,4,0)</f>
        <v>#N/A</v>
      </c>
      <c r="S119" t="e">
        <f>VLOOKUP(P119,Intrim!G:J,4,0)</f>
        <v>#N/A</v>
      </c>
      <c r="T119" t="e">
        <f>+intrim2!AB122</f>
        <v>#N/A</v>
      </c>
      <c r="U119" t="e">
        <f>VLOOKUP(P119,Intrim!$S$3:$AA$201,9,0)</f>
        <v>#N/A</v>
      </c>
      <c r="V119" t="e">
        <f>VLOOKUP(P119,Intrim!S:Y,7,0)</f>
        <v>#N/A</v>
      </c>
      <c r="W119" t="str">
        <f>intrim2!X122</f>
        <v/>
      </c>
      <c r="X119" t="str">
        <f t="shared" si="8"/>
        <v/>
      </c>
      <c r="Y119" s="35" t="str">
        <f>IFERROR(IF(O119="Unallocated",Q119-SUMIF($N$3:$N118,N119,$Y$3:Y118),IF(U119&gt;=V119,Q119*T119/U119,IF(U119&gt;=T119,T119*R119/S119,U119*Q119/S119))),"")</f>
        <v/>
      </c>
      <c r="AA119">
        <v>13</v>
      </c>
      <c r="AB119" t="str">
        <f>+intrim2!C122</f>
        <v/>
      </c>
      <c r="AC119" t="str">
        <f ca="1">+intrim2!D122</f>
        <v/>
      </c>
      <c r="AD119" t="str">
        <f t="shared" ca="1" si="7"/>
        <v/>
      </c>
      <c r="AE119" t="str">
        <f t="shared" si="6"/>
        <v/>
      </c>
      <c r="AF119" t="str">
        <f>IF(AB119="","",VLOOKUP(AD119,Intrim!U:AD,10,0))</f>
        <v/>
      </c>
    </row>
    <row r="120" spans="2:32" x14ac:dyDescent="0.25">
      <c r="B120" t="str">
        <f ca="1">IF(OR(intrim2!D123="Unallocated",intrim2!D123=""),"",intrim2!D123)</f>
        <v/>
      </c>
      <c r="C120" t="str">
        <f ca="1">IFERROR(VLOOKUP($F$3&amp;B120,Intrim!$U:$Z,6,0),"")</f>
        <v/>
      </c>
      <c r="J120" t="str">
        <f ca="1">IF(intrim2!O123="","",intrim2!O123)</f>
        <v/>
      </c>
      <c r="K120" t="str">
        <f ca="1">IFERROR(VLOOKUP(J120&amp;$F$3,Input!F:G,2,0),"")</f>
        <v/>
      </c>
      <c r="N120" t="e">
        <f>+intrim2!Y123</f>
        <v>#N/A</v>
      </c>
      <c r="O120" t="e">
        <f>+intrim2!Z123</f>
        <v>#N/A</v>
      </c>
      <c r="P120" t="e">
        <f>+intrim2!AA123</f>
        <v>#N/A</v>
      </c>
      <c r="Q120" t="e">
        <f ca="1">VLOOKUP(N120&amp;$P$3,Intrim!H:L,5,0)</f>
        <v>#N/A</v>
      </c>
      <c r="R120" t="e">
        <f>VLOOKUP(N120,Intrim!F:I,4,0)</f>
        <v>#N/A</v>
      </c>
      <c r="S120" t="e">
        <f>VLOOKUP(P120,Intrim!G:J,4,0)</f>
        <v>#N/A</v>
      </c>
      <c r="T120" t="e">
        <f>+intrim2!AB123</f>
        <v>#N/A</v>
      </c>
      <c r="U120" t="e">
        <f>VLOOKUP(P120,Intrim!$S$3:$AA$201,9,0)</f>
        <v>#N/A</v>
      </c>
      <c r="V120" t="e">
        <f>VLOOKUP(P120,Intrim!S:Y,7,0)</f>
        <v>#N/A</v>
      </c>
      <c r="W120" t="str">
        <f>intrim2!X123</f>
        <v/>
      </c>
      <c r="X120" t="str">
        <f t="shared" si="8"/>
        <v/>
      </c>
      <c r="Y120" s="35" t="str">
        <f>IFERROR(IF(O120="Unallocated",Q120-SUMIF($N$3:$N119,N120,$Y$3:Y119),IF(U120&gt;=V120,Q120*T120/U120,IF(U120&gt;=T120,T120*R120/S120,U120*Q120/S120))),"")</f>
        <v/>
      </c>
      <c r="AA120">
        <v>13</v>
      </c>
      <c r="AB120" t="str">
        <f>+intrim2!C123</f>
        <v/>
      </c>
      <c r="AC120" t="str">
        <f ca="1">+intrim2!D123</f>
        <v/>
      </c>
      <c r="AD120" t="str">
        <f t="shared" ca="1" si="7"/>
        <v/>
      </c>
      <c r="AE120" t="str">
        <f t="shared" si="6"/>
        <v/>
      </c>
      <c r="AF120" t="str">
        <f>IF(AB120="","",VLOOKUP(AD120,Intrim!U:AD,10,0))</f>
        <v/>
      </c>
    </row>
    <row r="121" spans="2:32" x14ac:dyDescent="0.25">
      <c r="B121" t="str">
        <f ca="1">IF(OR(intrim2!D124="Unallocated",intrim2!D124=""),"",intrim2!D124)</f>
        <v/>
      </c>
      <c r="C121" t="str">
        <f ca="1">IFERROR(VLOOKUP($F$3&amp;B121,Intrim!$U:$Z,6,0),"")</f>
        <v/>
      </c>
      <c r="J121" t="str">
        <f ca="1">IF(intrim2!O124="","",intrim2!O124)</f>
        <v/>
      </c>
      <c r="K121" t="str">
        <f ca="1">IFERROR(VLOOKUP(J121&amp;$F$3,Input!F:G,2,0),"")</f>
        <v/>
      </c>
      <c r="N121" t="e">
        <f>+intrim2!Y124</f>
        <v>#N/A</v>
      </c>
      <c r="O121" t="e">
        <f>+intrim2!Z124</f>
        <v>#N/A</v>
      </c>
      <c r="P121" t="e">
        <f>+intrim2!AA124</f>
        <v>#N/A</v>
      </c>
      <c r="Q121" t="e">
        <f ca="1">VLOOKUP(N121&amp;$P$3,Intrim!H:L,5,0)</f>
        <v>#N/A</v>
      </c>
      <c r="R121" t="e">
        <f>VLOOKUP(N121,Intrim!F:I,4,0)</f>
        <v>#N/A</v>
      </c>
      <c r="S121" t="e">
        <f>VLOOKUP(P121,Intrim!G:J,4,0)</f>
        <v>#N/A</v>
      </c>
      <c r="T121" t="e">
        <f>+intrim2!AB124</f>
        <v>#N/A</v>
      </c>
      <c r="U121" t="e">
        <f>VLOOKUP(P121,Intrim!$S$3:$AA$201,9,0)</f>
        <v>#N/A</v>
      </c>
      <c r="V121" t="e">
        <f>VLOOKUP(P121,Intrim!S:Y,7,0)</f>
        <v>#N/A</v>
      </c>
      <c r="W121" t="str">
        <f>intrim2!X124</f>
        <v/>
      </c>
      <c r="X121" t="str">
        <f t="shared" si="8"/>
        <v/>
      </c>
      <c r="Y121" s="35" t="str">
        <f>IFERROR(IF(O121="Unallocated",Q121-SUMIF($N$3:$N120,N121,$Y$3:Y120),IF(U121&gt;=V121,Q121*T121/U121,IF(U121&gt;=T121,T121*R121/S121,U121*Q121/S121))),"")</f>
        <v/>
      </c>
      <c r="AA121">
        <v>13</v>
      </c>
      <c r="AB121" t="str">
        <f>+intrim2!C124</f>
        <v/>
      </c>
      <c r="AC121" t="str">
        <f ca="1">+intrim2!D124</f>
        <v/>
      </c>
      <c r="AD121" t="str">
        <f t="shared" ca="1" si="7"/>
        <v/>
      </c>
      <c r="AE121" t="str">
        <f t="shared" si="6"/>
        <v/>
      </c>
      <c r="AF121" t="str">
        <f>IF(AB121="","",VLOOKUP(AD121,Intrim!U:AD,10,0))</f>
        <v/>
      </c>
    </row>
    <row r="122" spans="2:32" x14ac:dyDescent="0.25">
      <c r="B122" t="str">
        <f ca="1">IF(OR(intrim2!D125="Unallocated",intrim2!D125=""),"",intrim2!D125)</f>
        <v/>
      </c>
      <c r="C122" t="str">
        <f ca="1">IFERROR(VLOOKUP($F$3&amp;B122,Intrim!$U:$Z,6,0),"")</f>
        <v/>
      </c>
      <c r="J122" t="str">
        <f ca="1">IF(intrim2!O125="","",intrim2!O125)</f>
        <v/>
      </c>
      <c r="K122" t="str">
        <f ca="1">IFERROR(VLOOKUP(J122&amp;$F$3,Input!F:G,2,0),"")</f>
        <v/>
      </c>
      <c r="N122" t="e">
        <f>+intrim2!Y125</f>
        <v>#N/A</v>
      </c>
      <c r="O122" t="e">
        <f>+intrim2!Z125</f>
        <v>#N/A</v>
      </c>
      <c r="P122" t="e">
        <f>+intrim2!AA125</f>
        <v>#N/A</v>
      </c>
      <c r="Q122" t="e">
        <f ca="1">VLOOKUP(N122&amp;$P$3,Intrim!H:L,5,0)</f>
        <v>#N/A</v>
      </c>
      <c r="R122" t="e">
        <f>VLOOKUP(N122,Intrim!F:I,4,0)</f>
        <v>#N/A</v>
      </c>
      <c r="S122" t="e">
        <f>VLOOKUP(P122,Intrim!G:J,4,0)</f>
        <v>#N/A</v>
      </c>
      <c r="T122" t="e">
        <f>+intrim2!AB125</f>
        <v>#N/A</v>
      </c>
      <c r="U122" t="e">
        <f>VLOOKUP(P122,Intrim!$S$3:$AA$201,9,0)</f>
        <v>#N/A</v>
      </c>
      <c r="V122" t="e">
        <f>VLOOKUP(P122,Intrim!S:Y,7,0)</f>
        <v>#N/A</v>
      </c>
      <c r="W122" t="str">
        <f>intrim2!X125</f>
        <v/>
      </c>
      <c r="X122" t="str">
        <f t="shared" si="8"/>
        <v/>
      </c>
      <c r="Y122" s="35" t="str">
        <f>IFERROR(IF(O122="Unallocated",Q122-SUMIF($N$3:$N121,N122,$Y$3:Y121),IF(U122&gt;=V122,Q122*T122/U122,IF(U122&gt;=T122,T122*R122/S122,U122*Q122/S122))),"")</f>
        <v/>
      </c>
      <c r="AA122">
        <v>13</v>
      </c>
      <c r="AB122" t="str">
        <f>+intrim2!C125</f>
        <v/>
      </c>
      <c r="AC122" t="str">
        <f ca="1">+intrim2!D125</f>
        <v/>
      </c>
      <c r="AD122" t="str">
        <f t="shared" ca="1" si="7"/>
        <v/>
      </c>
      <c r="AE122" t="str">
        <f t="shared" si="6"/>
        <v/>
      </c>
      <c r="AF122" t="str">
        <f>IF(AB122="","",VLOOKUP(AD122,Intrim!U:AD,10,0))</f>
        <v/>
      </c>
    </row>
    <row r="123" spans="2:32" x14ac:dyDescent="0.25">
      <c r="B123" t="str">
        <f ca="1">IF(OR(intrim2!D126="Unallocated",intrim2!D126=""),"",intrim2!D126)</f>
        <v/>
      </c>
      <c r="C123" t="str">
        <f ca="1">IFERROR(VLOOKUP($F$3&amp;B123,Intrim!$U:$Z,6,0),"")</f>
        <v/>
      </c>
      <c r="J123" t="str">
        <f ca="1">IF(intrim2!O126="","",intrim2!O126)</f>
        <v/>
      </c>
      <c r="K123" t="str">
        <f ca="1">IFERROR(VLOOKUP(J123&amp;$F$3,Input!F:G,2,0),"")</f>
        <v/>
      </c>
      <c r="N123" t="e">
        <f>+intrim2!Y126</f>
        <v>#N/A</v>
      </c>
      <c r="O123" t="e">
        <f>+intrim2!Z126</f>
        <v>#N/A</v>
      </c>
      <c r="P123" t="e">
        <f>+intrim2!AA126</f>
        <v>#N/A</v>
      </c>
      <c r="Q123" t="e">
        <f ca="1">VLOOKUP(N123&amp;$P$3,Intrim!H:L,5,0)</f>
        <v>#N/A</v>
      </c>
      <c r="R123" t="e">
        <f>VLOOKUP(N123,Intrim!F:I,4,0)</f>
        <v>#N/A</v>
      </c>
      <c r="S123" t="e">
        <f>VLOOKUP(P123,Intrim!G:J,4,0)</f>
        <v>#N/A</v>
      </c>
      <c r="T123" t="e">
        <f>+intrim2!AB126</f>
        <v>#N/A</v>
      </c>
      <c r="U123" t="e">
        <f>VLOOKUP(P123,Intrim!$S$3:$AA$201,9,0)</f>
        <v>#N/A</v>
      </c>
      <c r="V123" t="e">
        <f>VLOOKUP(P123,Intrim!S:Y,7,0)</f>
        <v>#N/A</v>
      </c>
      <c r="W123" t="str">
        <f>intrim2!X126</f>
        <v/>
      </c>
      <c r="X123" t="str">
        <f t="shared" si="8"/>
        <v/>
      </c>
      <c r="Y123" s="35" t="str">
        <f>IFERROR(IF(O123="Unallocated",Q123-SUMIF($N$3:$N122,N123,$Y$3:Y122),IF(U123&gt;=V123,Q123*T123/U123,IF(U123&gt;=T123,T123*R123/S123,U123*Q123/S123))),"")</f>
        <v/>
      </c>
      <c r="AA123">
        <v>13</v>
      </c>
      <c r="AB123" t="str">
        <f>+intrim2!C126</f>
        <v/>
      </c>
      <c r="AC123" t="str">
        <f ca="1">+intrim2!D126</f>
        <v/>
      </c>
      <c r="AD123" t="str">
        <f t="shared" ca="1" si="7"/>
        <v/>
      </c>
      <c r="AE123" t="str">
        <f t="shared" si="6"/>
        <v/>
      </c>
      <c r="AF123" t="str">
        <f>IF(AB123="","",VLOOKUP(AD123,Intrim!U:AD,10,0))</f>
        <v/>
      </c>
    </row>
    <row r="124" spans="2:32" x14ac:dyDescent="0.25">
      <c r="B124" t="str">
        <f ca="1">IF(OR(intrim2!D127="Unallocated",intrim2!D127=""),"",intrim2!D127)</f>
        <v/>
      </c>
      <c r="C124" t="str">
        <f ca="1">IFERROR(VLOOKUP($F$3&amp;B124,Intrim!$U:$Z,6,0),"")</f>
        <v/>
      </c>
      <c r="J124" t="str">
        <f ca="1">IF(intrim2!O127="","",intrim2!O127)</f>
        <v/>
      </c>
      <c r="K124" t="str">
        <f ca="1">IFERROR(VLOOKUP(J124&amp;$F$3,Input!F:G,2,0),"")</f>
        <v/>
      </c>
      <c r="N124" t="e">
        <f>+intrim2!Y127</f>
        <v>#N/A</v>
      </c>
      <c r="O124" t="e">
        <f>+intrim2!Z127</f>
        <v>#N/A</v>
      </c>
      <c r="P124" t="e">
        <f>+intrim2!AA127</f>
        <v>#N/A</v>
      </c>
      <c r="Q124" t="e">
        <f ca="1">VLOOKUP(N124&amp;$P$3,Intrim!H:L,5,0)</f>
        <v>#N/A</v>
      </c>
      <c r="R124" t="e">
        <f>VLOOKUP(N124,Intrim!F:I,4,0)</f>
        <v>#N/A</v>
      </c>
      <c r="S124" t="e">
        <f>VLOOKUP(P124,Intrim!G:J,4,0)</f>
        <v>#N/A</v>
      </c>
      <c r="T124" t="e">
        <f>+intrim2!AB127</f>
        <v>#N/A</v>
      </c>
      <c r="U124" t="e">
        <f>VLOOKUP(P124,Intrim!$S$3:$AA$201,9,0)</f>
        <v>#N/A</v>
      </c>
      <c r="V124" t="e">
        <f>VLOOKUP(P124,Intrim!S:Y,7,0)</f>
        <v>#N/A</v>
      </c>
      <c r="W124" t="str">
        <f>intrim2!X127</f>
        <v/>
      </c>
      <c r="X124" t="str">
        <f t="shared" si="8"/>
        <v/>
      </c>
      <c r="Y124" s="35" t="str">
        <f>IFERROR(IF(O124="Unallocated",Q124-SUMIF($N$3:$N123,N124,$Y$3:Y123),IF(U124&gt;=V124,Q124*T124/U124,IF(U124&gt;=T124,T124*R124/S124,U124*Q124/S124))),"")</f>
        <v/>
      </c>
      <c r="AA124">
        <v>13</v>
      </c>
      <c r="AB124" t="str">
        <f>+intrim2!C127</f>
        <v/>
      </c>
      <c r="AC124" t="str">
        <f ca="1">+intrim2!D127</f>
        <v/>
      </c>
      <c r="AD124" t="str">
        <f t="shared" ca="1" si="7"/>
        <v/>
      </c>
      <c r="AE124" t="str">
        <f t="shared" si="6"/>
        <v/>
      </c>
      <c r="AF124" t="str">
        <f>IF(AB124="","",VLOOKUP(AD124,Intrim!U:AD,10,0))</f>
        <v/>
      </c>
    </row>
    <row r="125" spans="2:32" x14ac:dyDescent="0.25">
      <c r="B125" t="str">
        <f ca="1">IF(OR(intrim2!D128="Unallocated",intrim2!D128=""),"",intrim2!D128)</f>
        <v/>
      </c>
      <c r="C125" t="str">
        <f ca="1">IFERROR(VLOOKUP($F$3&amp;B125,Intrim!$U:$Z,6,0),"")</f>
        <v/>
      </c>
      <c r="J125" t="str">
        <f ca="1">IF(intrim2!O128="","",intrim2!O128)</f>
        <v/>
      </c>
      <c r="K125" t="str">
        <f ca="1">IFERROR(VLOOKUP(J125&amp;$F$3,Input!F:G,2,0),"")</f>
        <v/>
      </c>
      <c r="N125" t="e">
        <f>+intrim2!Y128</f>
        <v>#N/A</v>
      </c>
      <c r="O125" t="e">
        <f>+intrim2!Z128</f>
        <v>#N/A</v>
      </c>
      <c r="P125" t="e">
        <f>+intrim2!AA128</f>
        <v>#N/A</v>
      </c>
      <c r="Q125" t="e">
        <f ca="1">VLOOKUP(N125&amp;$P$3,Intrim!H:L,5,0)</f>
        <v>#N/A</v>
      </c>
      <c r="R125" t="e">
        <f>VLOOKUP(N125,Intrim!F:I,4,0)</f>
        <v>#N/A</v>
      </c>
      <c r="S125" t="e">
        <f>VLOOKUP(P125,Intrim!G:J,4,0)</f>
        <v>#N/A</v>
      </c>
      <c r="T125" t="e">
        <f>+intrim2!AB128</f>
        <v>#N/A</v>
      </c>
      <c r="U125" t="e">
        <f>VLOOKUP(P125,Intrim!$S$3:$AA$201,9,0)</f>
        <v>#N/A</v>
      </c>
      <c r="V125" t="e">
        <f>VLOOKUP(P125,Intrim!S:Y,7,0)</f>
        <v>#N/A</v>
      </c>
      <c r="W125" t="str">
        <f>intrim2!X128</f>
        <v/>
      </c>
      <c r="X125" t="str">
        <f t="shared" si="8"/>
        <v/>
      </c>
      <c r="Y125" s="35" t="str">
        <f>IFERROR(IF(O125="Unallocated",Q125-SUMIF($N$3:$N124,N125,$Y$3:Y124),IF(U125&gt;=V125,Q125*T125/U125,IF(U125&gt;=T125,T125*R125/S125,U125*Q125/S125))),"")</f>
        <v/>
      </c>
      <c r="AA125">
        <v>13</v>
      </c>
      <c r="AB125" t="str">
        <f>+intrim2!C128</f>
        <v/>
      </c>
      <c r="AC125" t="str">
        <f ca="1">+intrim2!D128</f>
        <v/>
      </c>
      <c r="AD125" t="str">
        <f t="shared" ca="1" si="7"/>
        <v/>
      </c>
      <c r="AE125" t="str">
        <f t="shared" si="6"/>
        <v/>
      </c>
      <c r="AF125" t="str">
        <f>IF(AB125="","",VLOOKUP(AD125,Intrim!U:AD,10,0))</f>
        <v/>
      </c>
    </row>
    <row r="126" spans="2:32" x14ac:dyDescent="0.25">
      <c r="B126" t="str">
        <f ca="1">IF(OR(intrim2!D129="Unallocated",intrim2!D129=""),"",intrim2!D129)</f>
        <v/>
      </c>
      <c r="C126" t="str">
        <f ca="1">IFERROR(VLOOKUP($F$3&amp;B126,Intrim!$U:$Z,6,0),"")</f>
        <v/>
      </c>
      <c r="J126" t="str">
        <f ca="1">IF(intrim2!O129="","",intrim2!O129)</f>
        <v/>
      </c>
      <c r="K126" t="str">
        <f ca="1">IFERROR(VLOOKUP(J126&amp;$F$3,Input!F:G,2,0),"")</f>
        <v/>
      </c>
      <c r="N126" t="e">
        <f>+intrim2!Y129</f>
        <v>#N/A</v>
      </c>
      <c r="O126" t="e">
        <f>+intrim2!Z129</f>
        <v>#N/A</v>
      </c>
      <c r="P126" t="e">
        <f>+intrim2!AA129</f>
        <v>#N/A</v>
      </c>
      <c r="Q126" t="e">
        <f ca="1">VLOOKUP(N126&amp;$P$3,Intrim!H:L,5,0)</f>
        <v>#N/A</v>
      </c>
      <c r="R126" t="e">
        <f>VLOOKUP(N126,Intrim!F:I,4,0)</f>
        <v>#N/A</v>
      </c>
      <c r="S126" t="e">
        <f>VLOOKUP(P126,Intrim!G:J,4,0)</f>
        <v>#N/A</v>
      </c>
      <c r="T126" t="e">
        <f>+intrim2!AB129</f>
        <v>#N/A</v>
      </c>
      <c r="U126" t="e">
        <f>VLOOKUP(P126,Intrim!$S$3:$AA$201,9,0)</f>
        <v>#N/A</v>
      </c>
      <c r="V126" t="e">
        <f>VLOOKUP(P126,Intrim!S:Y,7,0)</f>
        <v>#N/A</v>
      </c>
      <c r="W126" t="str">
        <f>intrim2!X129</f>
        <v/>
      </c>
      <c r="X126" t="str">
        <f t="shared" si="8"/>
        <v/>
      </c>
      <c r="Y126" s="35" t="str">
        <f>IFERROR(IF(O126="Unallocated",Q126-SUMIF($N$3:$N125,N126,$Y$3:Y125),IF(U126&gt;=V126,Q126*T126/U126,IF(U126&gt;=T126,T126*R126/S126,U126*Q126/S126))),"")</f>
        <v/>
      </c>
      <c r="AA126">
        <v>13</v>
      </c>
      <c r="AB126" t="str">
        <f>+intrim2!C129</f>
        <v/>
      </c>
      <c r="AC126" t="str">
        <f ca="1">+intrim2!D129</f>
        <v/>
      </c>
      <c r="AD126" t="str">
        <f t="shared" ca="1" si="7"/>
        <v/>
      </c>
      <c r="AE126" t="str">
        <f t="shared" si="6"/>
        <v/>
      </c>
      <c r="AF126" t="str">
        <f>IF(AB126="","",VLOOKUP(AD126,Intrim!U:AD,10,0))</f>
        <v/>
      </c>
    </row>
    <row r="127" spans="2:32" x14ac:dyDescent="0.25">
      <c r="B127" t="str">
        <f ca="1">IF(OR(intrim2!D130="Unallocated",intrim2!D130=""),"",intrim2!D130)</f>
        <v/>
      </c>
      <c r="C127" t="str">
        <f ca="1">IFERROR(VLOOKUP($F$3&amp;B127,Intrim!$U:$Z,6,0),"")</f>
        <v/>
      </c>
      <c r="J127" t="str">
        <f ca="1">IF(intrim2!O130="","",intrim2!O130)</f>
        <v/>
      </c>
      <c r="K127" t="str">
        <f ca="1">IFERROR(VLOOKUP(J127&amp;$F$3,Input!F:G,2,0),"")</f>
        <v/>
      </c>
      <c r="N127" t="e">
        <f>+intrim2!Y130</f>
        <v>#N/A</v>
      </c>
      <c r="O127" t="e">
        <f>+intrim2!Z130</f>
        <v>#N/A</v>
      </c>
      <c r="P127" t="e">
        <f>+intrim2!AA130</f>
        <v>#N/A</v>
      </c>
      <c r="Q127" t="e">
        <f ca="1">VLOOKUP(N127&amp;$P$3,Intrim!H:L,5,0)</f>
        <v>#N/A</v>
      </c>
      <c r="R127" t="e">
        <f>VLOOKUP(N127,Intrim!F:I,4,0)</f>
        <v>#N/A</v>
      </c>
      <c r="S127" t="e">
        <f>VLOOKUP(P127,Intrim!G:J,4,0)</f>
        <v>#N/A</v>
      </c>
      <c r="T127" t="e">
        <f>+intrim2!AB130</f>
        <v>#N/A</v>
      </c>
      <c r="U127" t="e">
        <f>VLOOKUP(P127,Intrim!$S$3:$AA$201,9,0)</f>
        <v>#N/A</v>
      </c>
      <c r="V127" t="e">
        <f>VLOOKUP(P127,Intrim!S:Y,7,0)</f>
        <v>#N/A</v>
      </c>
      <c r="W127" t="str">
        <f>intrim2!X130</f>
        <v/>
      </c>
      <c r="X127" t="str">
        <f t="shared" si="8"/>
        <v/>
      </c>
      <c r="Y127" s="35" t="str">
        <f>IFERROR(IF(O127="Unallocated",Q127-SUMIF($N$3:$N126,N127,$Y$3:Y126),IF(U127&gt;=V127,Q127*T127/U127,IF(U127&gt;=T127,T127*R127/S127,U127*Q127/S127))),"")</f>
        <v/>
      </c>
      <c r="AA127">
        <v>13</v>
      </c>
      <c r="AB127" t="str">
        <f>+intrim2!C130</f>
        <v/>
      </c>
      <c r="AC127" t="str">
        <f ca="1">+intrim2!D130</f>
        <v/>
      </c>
      <c r="AD127" t="str">
        <f t="shared" ca="1" si="7"/>
        <v/>
      </c>
      <c r="AE127" t="str">
        <f t="shared" si="6"/>
        <v/>
      </c>
      <c r="AF127" t="str">
        <f>IF(AB127="","",VLOOKUP(AD127,Intrim!U:AD,10,0))</f>
        <v/>
      </c>
    </row>
    <row r="128" spans="2:32" x14ac:dyDescent="0.25">
      <c r="B128" t="str">
        <f ca="1">IF(OR(intrim2!D131="Unallocated",intrim2!D131=""),"",intrim2!D131)</f>
        <v/>
      </c>
      <c r="C128" t="str">
        <f ca="1">IFERROR(VLOOKUP($F$3&amp;B128,Intrim!$U:$Z,6,0),"")</f>
        <v/>
      </c>
      <c r="J128" t="str">
        <f ca="1">IF(intrim2!O131="","",intrim2!O131)</f>
        <v/>
      </c>
      <c r="K128" t="str">
        <f ca="1">IFERROR(VLOOKUP(J128&amp;$F$3,Input!F:G,2,0),"")</f>
        <v/>
      </c>
      <c r="N128" t="e">
        <f>+intrim2!Y131</f>
        <v>#N/A</v>
      </c>
      <c r="O128" t="e">
        <f>+intrim2!Z131</f>
        <v>#N/A</v>
      </c>
      <c r="P128" t="e">
        <f>+intrim2!AA131</f>
        <v>#N/A</v>
      </c>
      <c r="Q128" t="e">
        <f ca="1">VLOOKUP(N128&amp;$P$3,Intrim!H:L,5,0)</f>
        <v>#N/A</v>
      </c>
      <c r="R128" t="e">
        <f>VLOOKUP(N128,Intrim!F:I,4,0)</f>
        <v>#N/A</v>
      </c>
      <c r="S128" t="e">
        <f>VLOOKUP(P128,Intrim!G:J,4,0)</f>
        <v>#N/A</v>
      </c>
      <c r="T128" t="e">
        <f>+intrim2!AB131</f>
        <v>#N/A</v>
      </c>
      <c r="U128" t="e">
        <f>VLOOKUP(P128,Intrim!$S$3:$AA$201,9,0)</f>
        <v>#N/A</v>
      </c>
      <c r="V128" t="e">
        <f>VLOOKUP(P128,Intrim!S:Y,7,0)</f>
        <v>#N/A</v>
      </c>
      <c r="W128" t="str">
        <f>intrim2!X131</f>
        <v/>
      </c>
      <c r="X128" t="str">
        <f t="shared" si="8"/>
        <v/>
      </c>
      <c r="Y128" s="35" t="str">
        <f>IFERROR(IF(O128="Unallocated",Q128-SUMIF($N$3:$N127,N128,$Y$3:Y127),IF(U128&gt;=V128,Q128*T128/U128,IF(U128&gt;=T128,T128*R128/S128,U128*Q128/S128))),"")</f>
        <v/>
      </c>
      <c r="AA128">
        <v>13</v>
      </c>
      <c r="AB128" t="str">
        <f>+intrim2!C131</f>
        <v/>
      </c>
      <c r="AC128" t="str">
        <f ca="1">+intrim2!D131</f>
        <v/>
      </c>
      <c r="AD128" t="str">
        <f t="shared" ca="1" si="7"/>
        <v/>
      </c>
      <c r="AE128" t="str">
        <f t="shared" si="6"/>
        <v/>
      </c>
      <c r="AF128" t="str">
        <f>IF(AB128="","",VLOOKUP(AD128,Intrim!U:AD,10,0))</f>
        <v/>
      </c>
    </row>
    <row r="129" spans="2:32" x14ac:dyDescent="0.25">
      <c r="B129" t="str">
        <f ca="1">IF(OR(intrim2!D132="Unallocated",intrim2!D132=""),"",intrim2!D132)</f>
        <v/>
      </c>
      <c r="C129" t="str">
        <f ca="1">IFERROR(VLOOKUP($F$3&amp;B129,Intrim!$U:$Z,6,0),"")</f>
        <v/>
      </c>
      <c r="J129" t="str">
        <f ca="1">IF(intrim2!O132="","",intrim2!O132)</f>
        <v/>
      </c>
      <c r="K129" t="str">
        <f ca="1">IFERROR(VLOOKUP(J129&amp;$F$3,Input!F:G,2,0),"")</f>
        <v/>
      </c>
      <c r="N129" t="e">
        <f>+intrim2!Y132</f>
        <v>#N/A</v>
      </c>
      <c r="O129" t="e">
        <f>+intrim2!Z132</f>
        <v>#N/A</v>
      </c>
      <c r="P129" t="e">
        <f>+intrim2!AA132</f>
        <v>#N/A</v>
      </c>
      <c r="Q129" t="e">
        <f ca="1">VLOOKUP(N129&amp;$P$3,Intrim!H:L,5,0)</f>
        <v>#N/A</v>
      </c>
      <c r="R129" t="e">
        <f>VLOOKUP(N129,Intrim!F:I,4,0)</f>
        <v>#N/A</v>
      </c>
      <c r="S129" t="e">
        <f>VLOOKUP(P129,Intrim!G:J,4,0)</f>
        <v>#N/A</v>
      </c>
      <c r="T129" t="e">
        <f>+intrim2!AB132</f>
        <v>#N/A</v>
      </c>
      <c r="U129" t="e">
        <f>VLOOKUP(P129,Intrim!$S$3:$AA$201,9,0)</f>
        <v>#N/A</v>
      </c>
      <c r="V129" t="e">
        <f>VLOOKUP(P129,Intrim!S:Y,7,0)</f>
        <v>#N/A</v>
      </c>
      <c r="W129" t="str">
        <f>intrim2!X132</f>
        <v/>
      </c>
      <c r="X129" t="str">
        <f t="shared" si="8"/>
        <v/>
      </c>
      <c r="Y129" s="35" t="str">
        <f>IFERROR(IF(O129="Unallocated",Q129-SUMIF($N$3:$N128,N129,$Y$3:Y128),IF(U129&gt;=V129,Q129*T129/U129,IF(U129&gt;=T129,T129*R129/S129,U129*Q129/S129))),"")</f>
        <v/>
      </c>
      <c r="AA129">
        <v>13</v>
      </c>
      <c r="AB129" t="str">
        <f>+intrim2!C132</f>
        <v/>
      </c>
      <c r="AC129" t="str">
        <f ca="1">+intrim2!D132</f>
        <v/>
      </c>
      <c r="AD129" t="str">
        <f t="shared" ca="1" si="7"/>
        <v/>
      </c>
      <c r="AE129" t="str">
        <f t="shared" si="6"/>
        <v/>
      </c>
      <c r="AF129" t="str">
        <f>IF(AB129="","",VLOOKUP(AD129,Intrim!U:AD,10,0))</f>
        <v/>
      </c>
    </row>
    <row r="130" spans="2:32" x14ac:dyDescent="0.25">
      <c r="B130" t="str">
        <f ca="1">IF(OR(intrim2!D133="Unallocated",intrim2!D133=""),"",intrim2!D133)</f>
        <v/>
      </c>
      <c r="C130" t="str">
        <f ca="1">IFERROR(VLOOKUP($F$3&amp;B130,Intrim!$U:$Z,6,0),"")</f>
        <v/>
      </c>
      <c r="J130" t="str">
        <f ca="1">IF(intrim2!O133="","",intrim2!O133)</f>
        <v/>
      </c>
      <c r="K130" t="str">
        <f ca="1">IFERROR(VLOOKUP(J130&amp;$F$3,Input!F:G,2,0),"")</f>
        <v/>
      </c>
      <c r="N130" t="e">
        <f>+intrim2!Y133</f>
        <v>#N/A</v>
      </c>
      <c r="O130" t="e">
        <f>+intrim2!Z133</f>
        <v>#N/A</v>
      </c>
      <c r="P130" t="e">
        <f>+intrim2!AA133</f>
        <v>#N/A</v>
      </c>
      <c r="Q130" t="e">
        <f ca="1">VLOOKUP(N130&amp;$P$3,Intrim!H:L,5,0)</f>
        <v>#N/A</v>
      </c>
      <c r="R130" t="e">
        <f>VLOOKUP(N130,Intrim!F:I,4,0)</f>
        <v>#N/A</v>
      </c>
      <c r="S130" t="e">
        <f>VLOOKUP(P130,Intrim!G:J,4,0)</f>
        <v>#N/A</v>
      </c>
      <c r="T130" t="e">
        <f>+intrim2!AB133</f>
        <v>#N/A</v>
      </c>
      <c r="U130" t="e">
        <f>VLOOKUP(P130,Intrim!$S$3:$AA$201,9,0)</f>
        <v>#N/A</v>
      </c>
      <c r="V130" t="e">
        <f>VLOOKUP(P130,Intrim!S:Y,7,0)</f>
        <v>#N/A</v>
      </c>
      <c r="W130" t="str">
        <f>intrim2!X133</f>
        <v/>
      </c>
      <c r="X130" t="str">
        <f t="shared" si="8"/>
        <v/>
      </c>
      <c r="Y130" s="35" t="str">
        <f>IFERROR(IF(O130="Unallocated",Q130-SUMIF($N$3:$N129,N130,$Y$3:Y129),IF(U130&gt;=V130,Q130*T130/U130,IF(U130&gt;=T130,T130*R130/S130,U130*Q130/S130))),"")</f>
        <v/>
      </c>
      <c r="AA130">
        <v>13</v>
      </c>
      <c r="AB130" t="str">
        <f>+intrim2!C133</f>
        <v/>
      </c>
      <c r="AC130" t="str">
        <f ca="1">+intrim2!D133</f>
        <v/>
      </c>
      <c r="AD130" t="str">
        <f t="shared" ca="1" si="7"/>
        <v/>
      </c>
      <c r="AE130" t="str">
        <f t="shared" si="6"/>
        <v/>
      </c>
      <c r="AF130" t="str">
        <f>IF(AB130="","",VLOOKUP(AD130,Intrim!U:AD,10,0))</f>
        <v/>
      </c>
    </row>
    <row r="131" spans="2:32" x14ac:dyDescent="0.25">
      <c r="B131" t="str">
        <f ca="1">IF(OR(intrim2!D134="Unallocated",intrim2!D134=""),"",intrim2!D134)</f>
        <v/>
      </c>
      <c r="C131" t="str">
        <f ca="1">IFERROR(VLOOKUP($F$3&amp;B131,Intrim!$U:$Z,6,0),"")</f>
        <v/>
      </c>
      <c r="J131" t="str">
        <f ca="1">IF(intrim2!O134="","",intrim2!O134)</f>
        <v/>
      </c>
      <c r="K131" t="str">
        <f ca="1">IFERROR(VLOOKUP(J131&amp;$F$3,Input!F:G,2,0),"")</f>
        <v/>
      </c>
      <c r="N131" t="e">
        <f>+intrim2!Y134</f>
        <v>#N/A</v>
      </c>
      <c r="O131" t="e">
        <f>+intrim2!Z134</f>
        <v>#N/A</v>
      </c>
      <c r="P131" t="e">
        <f>+intrim2!AA134</f>
        <v>#N/A</v>
      </c>
      <c r="Q131" t="e">
        <f ca="1">VLOOKUP(N131&amp;$P$3,Intrim!H:L,5,0)</f>
        <v>#N/A</v>
      </c>
      <c r="R131" t="e">
        <f>VLOOKUP(N131,Intrim!F:I,4,0)</f>
        <v>#N/A</v>
      </c>
      <c r="S131" t="e">
        <f>VLOOKUP(P131,Intrim!G:J,4,0)</f>
        <v>#N/A</v>
      </c>
      <c r="T131" t="e">
        <f>+intrim2!AB134</f>
        <v>#N/A</v>
      </c>
      <c r="U131" t="e">
        <f>VLOOKUP(P131,Intrim!$S$3:$AA$201,9,0)</f>
        <v>#N/A</v>
      </c>
      <c r="V131" t="e">
        <f>VLOOKUP(P131,Intrim!S:Y,7,0)</f>
        <v>#N/A</v>
      </c>
      <c r="W131" t="str">
        <f>intrim2!X134</f>
        <v/>
      </c>
      <c r="X131" t="str">
        <f t="shared" ref="X131:X150" si="9">IFERROR(N131&amp;" Tranche"&amp;W131&amp;" ("&amp;O131&amp;")","")</f>
        <v/>
      </c>
      <c r="Y131" s="35" t="str">
        <f>IFERROR(IF(O131="Unallocated",Q131-SUMIF($N$3:$N130,N131,$Y$3:Y130),IF(U131&gt;=V131,Q131*T131/U131,IF(U131&gt;=T131,T131*R131/S131,U131*Q131/S131))),"")</f>
        <v/>
      </c>
      <c r="AA131">
        <v>13</v>
      </c>
      <c r="AB131" t="str">
        <f>+intrim2!C134</f>
        <v/>
      </c>
      <c r="AC131" t="str">
        <f ca="1">+intrim2!D134</f>
        <v/>
      </c>
      <c r="AD131" t="str">
        <f t="shared" ca="1" si="7"/>
        <v/>
      </c>
      <c r="AE131" t="str">
        <f t="shared" si="6"/>
        <v/>
      </c>
      <c r="AF131" t="str">
        <f>IF(AB131="","",VLOOKUP(AD131,Intrim!U:AD,10,0))</f>
        <v/>
      </c>
    </row>
    <row r="132" spans="2:32" x14ac:dyDescent="0.25">
      <c r="B132" t="str">
        <f ca="1">IF(OR(intrim2!D135="Unallocated",intrim2!D135=""),"",intrim2!D135)</f>
        <v/>
      </c>
      <c r="C132" t="str">
        <f ca="1">IFERROR(VLOOKUP($F$3&amp;B132,Intrim!$U:$Z,6,0),"")</f>
        <v/>
      </c>
      <c r="J132" t="str">
        <f ca="1">IF(intrim2!O135="","",intrim2!O135)</f>
        <v/>
      </c>
      <c r="K132" t="str">
        <f ca="1">IFERROR(VLOOKUP(J132&amp;$F$3,Input!F:G,2,0),"")</f>
        <v/>
      </c>
      <c r="N132" t="e">
        <f>+intrim2!Y135</f>
        <v>#N/A</v>
      </c>
      <c r="O132" t="e">
        <f>+intrim2!Z135</f>
        <v>#N/A</v>
      </c>
      <c r="P132" t="e">
        <f>+intrim2!AA135</f>
        <v>#N/A</v>
      </c>
      <c r="Q132" t="e">
        <f ca="1">VLOOKUP(N132&amp;$P$3,Intrim!H:L,5,0)</f>
        <v>#N/A</v>
      </c>
      <c r="R132" t="e">
        <f>VLOOKUP(N132,Intrim!F:I,4,0)</f>
        <v>#N/A</v>
      </c>
      <c r="S132" t="e">
        <f>VLOOKUP(P132,Intrim!G:J,4,0)</f>
        <v>#N/A</v>
      </c>
      <c r="T132" t="e">
        <f>+intrim2!AB135</f>
        <v>#N/A</v>
      </c>
      <c r="U132" t="e">
        <f>VLOOKUP(P132,Intrim!$S$3:$AA$201,9,0)</f>
        <v>#N/A</v>
      </c>
      <c r="V132" t="e">
        <f>VLOOKUP(P132,Intrim!S:Y,7,0)</f>
        <v>#N/A</v>
      </c>
      <c r="W132" t="str">
        <f>intrim2!X135</f>
        <v/>
      </c>
      <c r="X132" t="str">
        <f t="shared" si="9"/>
        <v/>
      </c>
      <c r="Y132" s="35" t="str">
        <f>IFERROR(IF(O132="Unallocated",Q132-SUMIF($N$3:$N131,N132,$Y$3:Y131),IF(U132&gt;=V132,Q132*T132/U132,IF(U132&gt;=T132,T132*R132/S132,U132*Q132/S132))),"")</f>
        <v/>
      </c>
      <c r="AA132">
        <v>13</v>
      </c>
      <c r="AB132" t="str">
        <f>+intrim2!C135</f>
        <v/>
      </c>
      <c r="AC132" t="str">
        <f ca="1">+intrim2!D135</f>
        <v/>
      </c>
      <c r="AD132" t="str">
        <f t="shared" ca="1" si="7"/>
        <v/>
      </c>
      <c r="AE132" t="str">
        <f t="shared" si="6"/>
        <v/>
      </c>
      <c r="AF132" t="str">
        <f>IF(AB132="","",VLOOKUP(AD132,Intrim!U:AD,10,0))</f>
        <v/>
      </c>
    </row>
    <row r="133" spans="2:32" x14ac:dyDescent="0.25">
      <c r="B133" t="str">
        <f ca="1">IF(OR(intrim2!D136="Unallocated",intrim2!D136=""),"",intrim2!D136)</f>
        <v/>
      </c>
      <c r="C133" t="str">
        <f ca="1">IFERROR(VLOOKUP($F$3&amp;B133,Intrim!$U:$Z,6,0),"")</f>
        <v/>
      </c>
      <c r="J133" t="str">
        <f ca="1">IF(intrim2!O136="","",intrim2!O136)</f>
        <v/>
      </c>
      <c r="K133" t="str">
        <f ca="1">IFERROR(VLOOKUP(J133&amp;$F$3,Input!F:G,2,0),"")</f>
        <v/>
      </c>
      <c r="N133" t="e">
        <f>+intrim2!Y136</f>
        <v>#N/A</v>
      </c>
      <c r="O133" t="e">
        <f>+intrim2!Z136</f>
        <v>#N/A</v>
      </c>
      <c r="P133" t="e">
        <f>+intrim2!AA136</f>
        <v>#N/A</v>
      </c>
      <c r="Q133" t="e">
        <f ca="1">VLOOKUP(N133&amp;$P$3,Intrim!H:L,5,0)</f>
        <v>#N/A</v>
      </c>
      <c r="R133" t="e">
        <f>VLOOKUP(N133,Intrim!F:I,4,0)</f>
        <v>#N/A</v>
      </c>
      <c r="S133" t="e">
        <f>VLOOKUP(P133,Intrim!G:J,4,0)</f>
        <v>#N/A</v>
      </c>
      <c r="T133" t="e">
        <f>+intrim2!AB136</f>
        <v>#N/A</v>
      </c>
      <c r="U133" t="e">
        <f>VLOOKUP(P133,Intrim!$S$3:$AA$201,9,0)</f>
        <v>#N/A</v>
      </c>
      <c r="V133" t="e">
        <f>VLOOKUP(P133,Intrim!S:Y,7,0)</f>
        <v>#N/A</v>
      </c>
      <c r="W133" t="str">
        <f>intrim2!X136</f>
        <v/>
      </c>
      <c r="X133" t="str">
        <f t="shared" si="9"/>
        <v/>
      </c>
      <c r="Y133" s="35" t="str">
        <f>IFERROR(IF(O133="Unallocated",Q133-SUMIF($N$3:$N132,N133,$Y$3:Y132),IF(U133&gt;=V133,Q133*T133/U133,IF(U133&gt;=T133,T133*R133/S133,U133*Q133/S133))),"")</f>
        <v/>
      </c>
      <c r="AA133">
        <v>13</v>
      </c>
      <c r="AB133" t="str">
        <f>+intrim2!C136</f>
        <v/>
      </c>
      <c r="AC133" t="str">
        <f ca="1">+intrim2!D136</f>
        <v/>
      </c>
      <c r="AD133" t="str">
        <f t="shared" ca="1" si="7"/>
        <v/>
      </c>
      <c r="AE133" t="str">
        <f t="shared" si="6"/>
        <v/>
      </c>
      <c r="AF133" t="str">
        <f>IF(AB133="","",VLOOKUP(AD133,Intrim!U:AD,10,0))</f>
        <v/>
      </c>
    </row>
    <row r="134" spans="2:32" x14ac:dyDescent="0.25">
      <c r="B134" t="str">
        <f ca="1">IF(OR(intrim2!D137="Unallocated",intrim2!D137=""),"",intrim2!D137)</f>
        <v/>
      </c>
      <c r="C134" t="str">
        <f ca="1">IFERROR(VLOOKUP($F$3&amp;B134,Intrim!$U:$Z,6,0),"")</f>
        <v/>
      </c>
      <c r="J134" t="str">
        <f ca="1">IF(intrim2!O137="","",intrim2!O137)</f>
        <v/>
      </c>
      <c r="K134" t="str">
        <f ca="1">IFERROR(VLOOKUP(J134&amp;$F$3,Input!F:G,2,0),"")</f>
        <v/>
      </c>
      <c r="N134" t="e">
        <f>+intrim2!Y137</f>
        <v>#N/A</v>
      </c>
      <c r="O134" t="e">
        <f>+intrim2!Z137</f>
        <v>#N/A</v>
      </c>
      <c r="P134" t="e">
        <f>+intrim2!AA137</f>
        <v>#N/A</v>
      </c>
      <c r="Q134" t="e">
        <f ca="1">VLOOKUP(N134&amp;$P$3,Intrim!H:L,5,0)</f>
        <v>#N/A</v>
      </c>
      <c r="R134" t="e">
        <f>VLOOKUP(N134,Intrim!F:I,4,0)</f>
        <v>#N/A</v>
      </c>
      <c r="S134" t="e">
        <f>VLOOKUP(P134,Intrim!G:J,4,0)</f>
        <v>#N/A</v>
      </c>
      <c r="T134" t="e">
        <f>+intrim2!AB137</f>
        <v>#N/A</v>
      </c>
      <c r="U134" t="e">
        <f>VLOOKUP(P134,Intrim!$S$3:$AA$201,9,0)</f>
        <v>#N/A</v>
      </c>
      <c r="V134" t="e">
        <f>VLOOKUP(P134,Intrim!S:Y,7,0)</f>
        <v>#N/A</v>
      </c>
      <c r="W134" t="str">
        <f>intrim2!X137</f>
        <v/>
      </c>
      <c r="X134" t="str">
        <f t="shared" si="9"/>
        <v/>
      </c>
      <c r="Y134" s="35" t="str">
        <f>IFERROR(IF(O134="Unallocated",Q134-SUMIF($N$3:$N133,N134,$Y$3:Y133),IF(U134&gt;=V134,Q134*T134/U134,IF(U134&gt;=T134,T134*R134/S134,U134*Q134/S134))),"")</f>
        <v/>
      </c>
      <c r="AA134">
        <v>13</v>
      </c>
      <c r="AB134" t="str">
        <f>+intrim2!C137</f>
        <v/>
      </c>
      <c r="AC134" t="str">
        <f ca="1">+intrim2!D137</f>
        <v/>
      </c>
      <c r="AD134" t="str">
        <f t="shared" ca="1" si="7"/>
        <v/>
      </c>
      <c r="AE134" t="str">
        <f t="shared" ref="AE134:AE150" si="10">IF(AB134="","",AB134&amp;" Undrawn Tranche"&amp;AA134&amp;" ("&amp;AC134&amp;")")</f>
        <v/>
      </c>
      <c r="AF134" t="str">
        <f>IF(AB134="","",VLOOKUP(AD134,Intrim!U:AD,10,0))</f>
        <v/>
      </c>
    </row>
    <row r="135" spans="2:32" x14ac:dyDescent="0.25">
      <c r="B135" t="str">
        <f ca="1">IF(OR(intrim2!D138="Unallocated",intrim2!D138=""),"",intrim2!D138)</f>
        <v/>
      </c>
      <c r="C135" t="str">
        <f ca="1">IFERROR(VLOOKUP($F$3&amp;B135,Intrim!$U:$Z,6,0),"")</f>
        <v/>
      </c>
      <c r="J135" t="str">
        <f ca="1">IF(intrim2!O138="","",intrim2!O138)</f>
        <v/>
      </c>
      <c r="K135" t="str">
        <f ca="1">IFERROR(VLOOKUP(J135&amp;$F$3,Input!F:G,2,0),"")</f>
        <v/>
      </c>
      <c r="N135" t="e">
        <f>+intrim2!Y138</f>
        <v>#N/A</v>
      </c>
      <c r="O135" t="e">
        <f>+intrim2!Z138</f>
        <v>#N/A</v>
      </c>
      <c r="P135" t="e">
        <f>+intrim2!AA138</f>
        <v>#N/A</v>
      </c>
      <c r="Q135" t="e">
        <f ca="1">VLOOKUP(N135&amp;$P$3,Intrim!H:L,5,0)</f>
        <v>#N/A</v>
      </c>
      <c r="R135" t="e">
        <f>VLOOKUP(N135,Intrim!F:I,4,0)</f>
        <v>#N/A</v>
      </c>
      <c r="S135" t="e">
        <f>VLOOKUP(P135,Intrim!G:J,4,0)</f>
        <v>#N/A</v>
      </c>
      <c r="T135" t="e">
        <f>+intrim2!AB138</f>
        <v>#N/A</v>
      </c>
      <c r="U135" t="e">
        <f>VLOOKUP(P135,Intrim!$S$3:$AA$201,9,0)</f>
        <v>#N/A</v>
      </c>
      <c r="V135" t="e">
        <f>VLOOKUP(P135,Intrim!S:Y,7,0)</f>
        <v>#N/A</v>
      </c>
      <c r="W135" t="str">
        <f>intrim2!X138</f>
        <v/>
      </c>
      <c r="X135" t="str">
        <f t="shared" si="9"/>
        <v/>
      </c>
      <c r="Y135" s="35" t="str">
        <f>IFERROR(IF(O135="Unallocated",Q135-SUMIF($N$3:$N134,N135,$Y$3:Y134),IF(U135&gt;=V135,Q135*T135/U135,IF(U135&gt;=T135,T135*R135/S135,U135*Q135/S135))),"")</f>
        <v/>
      </c>
      <c r="AA135">
        <v>13</v>
      </c>
      <c r="AB135" t="str">
        <f>+intrim2!C138</f>
        <v/>
      </c>
      <c r="AC135" t="str">
        <f ca="1">+intrim2!D138</f>
        <v/>
      </c>
      <c r="AD135" t="str">
        <f t="shared" ca="1" si="7"/>
        <v/>
      </c>
      <c r="AE135" t="str">
        <f t="shared" si="10"/>
        <v/>
      </c>
      <c r="AF135" t="str">
        <f>IF(AB135="","",VLOOKUP(AD135,Intrim!U:AD,10,0))</f>
        <v/>
      </c>
    </row>
    <row r="136" spans="2:32" x14ac:dyDescent="0.25">
      <c r="B136" t="str">
        <f ca="1">IF(OR(intrim2!D139="Unallocated",intrim2!D139=""),"",intrim2!D139)</f>
        <v/>
      </c>
      <c r="C136" t="str">
        <f ca="1">IFERROR(VLOOKUP($F$3&amp;B136,Intrim!$U:$Z,6,0),"")</f>
        <v/>
      </c>
      <c r="J136" t="str">
        <f ca="1">IF(intrim2!O139="","",intrim2!O139)</f>
        <v/>
      </c>
      <c r="K136" t="str">
        <f ca="1">IFERROR(VLOOKUP(J136&amp;$F$3,Input!F:G,2,0),"")</f>
        <v/>
      </c>
      <c r="N136" t="e">
        <f>+intrim2!Y139</f>
        <v>#N/A</v>
      </c>
      <c r="O136" t="e">
        <f>+intrim2!Z139</f>
        <v>#N/A</v>
      </c>
      <c r="P136" t="e">
        <f>+intrim2!AA139</f>
        <v>#N/A</v>
      </c>
      <c r="Q136" t="e">
        <f ca="1">VLOOKUP(N136&amp;$P$3,Intrim!H:L,5,0)</f>
        <v>#N/A</v>
      </c>
      <c r="R136" t="e">
        <f>VLOOKUP(N136,Intrim!F:I,4,0)</f>
        <v>#N/A</v>
      </c>
      <c r="S136" t="e">
        <f>VLOOKUP(P136,Intrim!G:J,4,0)</f>
        <v>#N/A</v>
      </c>
      <c r="T136" t="e">
        <f>+intrim2!AB139</f>
        <v>#N/A</v>
      </c>
      <c r="U136" t="e">
        <f>VLOOKUP(P136,Intrim!$S$3:$AA$201,9,0)</f>
        <v>#N/A</v>
      </c>
      <c r="V136" t="e">
        <f>VLOOKUP(P136,Intrim!S:Y,7,0)</f>
        <v>#N/A</v>
      </c>
      <c r="W136" t="str">
        <f>intrim2!X139</f>
        <v/>
      </c>
      <c r="X136" t="str">
        <f t="shared" si="9"/>
        <v/>
      </c>
      <c r="Y136" s="35" t="str">
        <f>IFERROR(IF(O136="Unallocated",Q136-SUMIF($N$3:$N135,N136,$Y$3:Y135),IF(U136&gt;=V136,Q136*T136/U136,IF(U136&gt;=T136,T136*R136/S136,U136*Q136/S136))),"")</f>
        <v/>
      </c>
      <c r="AA136">
        <v>13</v>
      </c>
      <c r="AB136" t="str">
        <f>+intrim2!C139</f>
        <v/>
      </c>
      <c r="AC136" t="str">
        <f ca="1">+intrim2!D139</f>
        <v/>
      </c>
      <c r="AD136" t="str">
        <f t="shared" ca="1" si="7"/>
        <v/>
      </c>
      <c r="AE136" t="str">
        <f t="shared" si="10"/>
        <v/>
      </c>
      <c r="AF136" t="str">
        <f>IF(AB136="","",VLOOKUP(AD136,Intrim!U:AD,10,0))</f>
        <v/>
      </c>
    </row>
    <row r="137" spans="2:32" x14ac:dyDescent="0.25">
      <c r="B137" t="str">
        <f ca="1">IF(OR(intrim2!D140="Unallocated",intrim2!D140=""),"",intrim2!D140)</f>
        <v/>
      </c>
      <c r="C137" t="str">
        <f ca="1">IFERROR(VLOOKUP($F$3&amp;B137,Intrim!$U:$Z,6,0),"")</f>
        <v/>
      </c>
      <c r="J137" t="str">
        <f ca="1">IF(intrim2!O140="","",intrim2!O140)</f>
        <v/>
      </c>
      <c r="K137" t="str">
        <f ca="1">IFERROR(VLOOKUP(J137&amp;$F$3,Input!F:G,2,0),"")</f>
        <v/>
      </c>
      <c r="N137" t="e">
        <f>+intrim2!Y140</f>
        <v>#N/A</v>
      </c>
      <c r="O137" t="e">
        <f>+intrim2!Z140</f>
        <v>#N/A</v>
      </c>
      <c r="P137" t="e">
        <f>+intrim2!AA140</f>
        <v>#N/A</v>
      </c>
      <c r="Q137" t="e">
        <f ca="1">VLOOKUP(N137&amp;$P$3,Intrim!H:L,5,0)</f>
        <v>#N/A</v>
      </c>
      <c r="R137" t="e">
        <f>VLOOKUP(N137,Intrim!F:I,4,0)</f>
        <v>#N/A</v>
      </c>
      <c r="S137" t="e">
        <f>VLOOKUP(P137,Intrim!G:J,4,0)</f>
        <v>#N/A</v>
      </c>
      <c r="T137" t="e">
        <f>+intrim2!AB140</f>
        <v>#N/A</v>
      </c>
      <c r="U137" t="e">
        <f>VLOOKUP(P137,Intrim!$S$3:$AA$201,9,0)</f>
        <v>#N/A</v>
      </c>
      <c r="V137" t="e">
        <f>VLOOKUP(P137,Intrim!S:Y,7,0)</f>
        <v>#N/A</v>
      </c>
      <c r="W137" t="str">
        <f>intrim2!X140</f>
        <v/>
      </c>
      <c r="X137" t="str">
        <f t="shared" si="9"/>
        <v/>
      </c>
      <c r="Y137" s="35" t="str">
        <f>IFERROR(IF(O137="Unallocated",Q137-SUMIF($N$3:$N136,N137,$Y$3:Y136),IF(U137&gt;=V137,Q137*T137/U137,IF(U137&gt;=T137,T137*R137/S137,U137*Q137/S137))),"")</f>
        <v/>
      </c>
      <c r="AA137">
        <v>13</v>
      </c>
      <c r="AB137" t="str">
        <f>+intrim2!C140</f>
        <v/>
      </c>
      <c r="AC137" t="str">
        <f ca="1">+intrim2!D140</f>
        <v/>
      </c>
      <c r="AD137" t="str">
        <f t="shared" ca="1" si="7"/>
        <v/>
      </c>
      <c r="AE137" t="str">
        <f t="shared" si="10"/>
        <v/>
      </c>
      <c r="AF137" t="str">
        <f>IF(AB137="","",VLOOKUP(AD137,Intrim!U:AD,10,0))</f>
        <v/>
      </c>
    </row>
    <row r="138" spans="2:32" x14ac:dyDescent="0.25">
      <c r="B138" t="str">
        <f ca="1">IF(OR(intrim2!D141="Unallocated",intrim2!D141=""),"",intrim2!D141)</f>
        <v/>
      </c>
      <c r="C138" t="str">
        <f ca="1">IFERROR(VLOOKUP($F$3&amp;B138,Intrim!$U:$Z,6,0),"")</f>
        <v/>
      </c>
      <c r="J138" t="str">
        <f ca="1">IF(intrim2!O141="","",intrim2!O141)</f>
        <v/>
      </c>
      <c r="K138" t="str">
        <f ca="1">IFERROR(VLOOKUP(J138&amp;$F$3,Input!F:G,2,0),"")</f>
        <v/>
      </c>
      <c r="N138" t="e">
        <f>+intrim2!Y141</f>
        <v>#N/A</v>
      </c>
      <c r="O138" t="e">
        <f>+intrim2!Z141</f>
        <v>#N/A</v>
      </c>
      <c r="P138" t="e">
        <f>+intrim2!AA141</f>
        <v>#N/A</v>
      </c>
      <c r="Q138" t="e">
        <f ca="1">VLOOKUP(N138&amp;$P$3,Intrim!H:L,5,0)</f>
        <v>#N/A</v>
      </c>
      <c r="R138" t="e">
        <f>VLOOKUP(N138,Intrim!F:I,4,0)</f>
        <v>#N/A</v>
      </c>
      <c r="S138" t="e">
        <f>VLOOKUP(P138,Intrim!G:J,4,0)</f>
        <v>#N/A</v>
      </c>
      <c r="T138" t="e">
        <f>+intrim2!AB141</f>
        <v>#N/A</v>
      </c>
      <c r="U138" t="e">
        <f>VLOOKUP(P138,Intrim!$S$3:$AA$201,9,0)</f>
        <v>#N/A</v>
      </c>
      <c r="V138" t="e">
        <f>VLOOKUP(P138,Intrim!S:Y,7,0)</f>
        <v>#N/A</v>
      </c>
      <c r="W138" t="str">
        <f>intrim2!X141</f>
        <v/>
      </c>
      <c r="X138" t="str">
        <f t="shared" si="9"/>
        <v/>
      </c>
      <c r="Y138" s="35" t="str">
        <f>IFERROR(IF(O138="Unallocated",Q138-SUMIF($N$3:$N137,N138,$Y$3:Y137),IF(U138&gt;=V138,Q138*T138/U138,IF(U138&gt;=T138,T138*R138/S138,U138*Q138/S138))),"")</f>
        <v/>
      </c>
      <c r="AA138">
        <v>13</v>
      </c>
      <c r="AB138" t="str">
        <f>+intrim2!C141</f>
        <v/>
      </c>
      <c r="AC138" t="str">
        <f ca="1">+intrim2!D141</f>
        <v/>
      </c>
      <c r="AD138" t="str">
        <f t="shared" ca="1" si="7"/>
        <v/>
      </c>
      <c r="AE138" t="str">
        <f t="shared" si="10"/>
        <v/>
      </c>
      <c r="AF138" t="str">
        <f>IF(AB138="","",VLOOKUP(AD138,Intrim!U:AD,10,0))</f>
        <v/>
      </c>
    </row>
    <row r="139" spans="2:32" x14ac:dyDescent="0.25">
      <c r="B139" t="str">
        <f ca="1">IF(OR(intrim2!D142="Unallocated",intrim2!D142=""),"",intrim2!D142)</f>
        <v/>
      </c>
      <c r="C139" t="str">
        <f ca="1">IFERROR(VLOOKUP($F$3&amp;B139,Intrim!$U:$Z,6,0),"")</f>
        <v/>
      </c>
      <c r="J139" t="str">
        <f ca="1">IF(intrim2!O142="","",intrim2!O142)</f>
        <v/>
      </c>
      <c r="K139" t="str">
        <f ca="1">IFERROR(VLOOKUP(J139&amp;$F$3,Input!F:G,2,0),"")</f>
        <v/>
      </c>
      <c r="N139" t="e">
        <f>+intrim2!Y142</f>
        <v>#N/A</v>
      </c>
      <c r="O139" t="e">
        <f>+intrim2!Z142</f>
        <v>#N/A</v>
      </c>
      <c r="P139" t="e">
        <f>+intrim2!AA142</f>
        <v>#N/A</v>
      </c>
      <c r="Q139" t="e">
        <f ca="1">VLOOKUP(N139&amp;$P$3,Intrim!H:L,5,0)</f>
        <v>#N/A</v>
      </c>
      <c r="R139" t="e">
        <f>VLOOKUP(N139,Intrim!F:I,4,0)</f>
        <v>#N/A</v>
      </c>
      <c r="S139" t="e">
        <f>VLOOKUP(P139,Intrim!G:J,4,0)</f>
        <v>#N/A</v>
      </c>
      <c r="T139" t="e">
        <f>+intrim2!AB142</f>
        <v>#N/A</v>
      </c>
      <c r="U139" t="e">
        <f>VLOOKUP(P139,Intrim!$S$3:$AA$201,9,0)</f>
        <v>#N/A</v>
      </c>
      <c r="V139" t="e">
        <f>VLOOKUP(P139,Intrim!S:Y,7,0)</f>
        <v>#N/A</v>
      </c>
      <c r="W139" t="str">
        <f>intrim2!X142</f>
        <v/>
      </c>
      <c r="X139" t="str">
        <f t="shared" si="9"/>
        <v/>
      </c>
      <c r="Y139" s="35" t="str">
        <f>IFERROR(IF(O139="Unallocated",Q139-SUMIF($N$3:$N138,N139,$Y$3:Y138),IF(U139&gt;=V139,Q139*T139/U139,IF(U139&gt;=T139,T139*R139/S139,U139*Q139/S139))),"")</f>
        <v/>
      </c>
      <c r="AA139">
        <v>13</v>
      </c>
      <c r="AB139" t="str">
        <f>+intrim2!C142</f>
        <v/>
      </c>
      <c r="AC139" t="str">
        <f ca="1">+intrim2!D142</f>
        <v/>
      </c>
      <c r="AD139" t="str">
        <f t="shared" ca="1" si="7"/>
        <v/>
      </c>
      <c r="AE139" t="str">
        <f t="shared" si="10"/>
        <v/>
      </c>
      <c r="AF139" t="str">
        <f>IF(AB139="","",VLOOKUP(AD139,Intrim!U:AD,10,0))</f>
        <v/>
      </c>
    </row>
    <row r="140" spans="2:32" x14ac:dyDescent="0.25">
      <c r="B140" t="str">
        <f ca="1">IF(OR(intrim2!D143="Unallocated",intrim2!D143=""),"",intrim2!D143)</f>
        <v/>
      </c>
      <c r="C140" t="str">
        <f ca="1">IFERROR(VLOOKUP($F$3&amp;B140,Intrim!$U:$Z,6,0),"")</f>
        <v/>
      </c>
      <c r="J140" t="str">
        <f ca="1">IF(intrim2!O143="","",intrim2!O143)</f>
        <v/>
      </c>
      <c r="K140" t="str">
        <f ca="1">IFERROR(VLOOKUP(J140&amp;$F$3,Input!F:G,2,0),"")</f>
        <v/>
      </c>
      <c r="N140" t="e">
        <f>+intrim2!Y143</f>
        <v>#N/A</v>
      </c>
      <c r="O140" t="e">
        <f>+intrim2!Z143</f>
        <v>#N/A</v>
      </c>
      <c r="P140" t="e">
        <f>+intrim2!AA143</f>
        <v>#N/A</v>
      </c>
      <c r="Q140" t="e">
        <f ca="1">VLOOKUP(N140&amp;$P$3,Intrim!H:L,5,0)</f>
        <v>#N/A</v>
      </c>
      <c r="R140" t="e">
        <f>VLOOKUP(N140,Intrim!F:I,4,0)</f>
        <v>#N/A</v>
      </c>
      <c r="S140" t="e">
        <f>VLOOKUP(P140,Intrim!G:J,4,0)</f>
        <v>#N/A</v>
      </c>
      <c r="T140" t="e">
        <f>+intrim2!AB143</f>
        <v>#N/A</v>
      </c>
      <c r="U140" t="e">
        <f>VLOOKUP(P140,Intrim!$S$3:$AA$201,9,0)</f>
        <v>#N/A</v>
      </c>
      <c r="V140" t="e">
        <f>VLOOKUP(P140,Intrim!S:Y,7,0)</f>
        <v>#N/A</v>
      </c>
      <c r="W140" t="str">
        <f>intrim2!X143</f>
        <v/>
      </c>
      <c r="X140" t="str">
        <f t="shared" si="9"/>
        <v/>
      </c>
      <c r="Y140" s="35" t="str">
        <f>IFERROR(IF(O140="Unallocated",Q140-SUMIF($N$3:$N139,N140,$Y$3:Y139),IF(U140&gt;=V140,Q140*T140/U140,IF(U140&gt;=T140,T140*R140/S140,U140*Q140/S140))),"")</f>
        <v/>
      </c>
      <c r="AA140">
        <v>13</v>
      </c>
      <c r="AB140" t="str">
        <f>+intrim2!C143</f>
        <v/>
      </c>
      <c r="AC140" t="str">
        <f ca="1">+intrim2!D143</f>
        <v/>
      </c>
      <c r="AD140" t="str">
        <f t="shared" ca="1" si="7"/>
        <v/>
      </c>
      <c r="AE140" t="str">
        <f t="shared" si="10"/>
        <v/>
      </c>
      <c r="AF140" t="str">
        <f>IF(AB140="","",VLOOKUP(AD140,Intrim!U:AD,10,0))</f>
        <v/>
      </c>
    </row>
    <row r="141" spans="2:32" x14ac:dyDescent="0.25">
      <c r="B141" t="str">
        <f ca="1">IF(OR(intrim2!D144="Unallocated",intrim2!D144=""),"",intrim2!D144)</f>
        <v/>
      </c>
      <c r="C141" t="str">
        <f ca="1">IFERROR(VLOOKUP($F$3&amp;B141,Intrim!$U:$Z,6,0),"")</f>
        <v/>
      </c>
      <c r="J141" t="str">
        <f ca="1">IF(intrim2!O144="","",intrim2!O144)</f>
        <v/>
      </c>
      <c r="K141" t="str">
        <f ca="1">IFERROR(VLOOKUP(J141&amp;$F$3,Input!F:G,2,0),"")</f>
        <v/>
      </c>
      <c r="N141" t="e">
        <f>+intrim2!Y144</f>
        <v>#N/A</v>
      </c>
      <c r="O141" t="e">
        <f>+intrim2!Z144</f>
        <v>#N/A</v>
      </c>
      <c r="P141" t="e">
        <f>+intrim2!AA144</f>
        <v>#N/A</v>
      </c>
      <c r="Q141" t="e">
        <f ca="1">VLOOKUP(N141&amp;$P$3,Intrim!H:L,5,0)</f>
        <v>#N/A</v>
      </c>
      <c r="R141" t="e">
        <f>VLOOKUP(N141,Intrim!F:I,4,0)</f>
        <v>#N/A</v>
      </c>
      <c r="S141" t="e">
        <f>VLOOKUP(P141,Intrim!G:J,4,0)</f>
        <v>#N/A</v>
      </c>
      <c r="T141" t="e">
        <f>+intrim2!AB144</f>
        <v>#N/A</v>
      </c>
      <c r="U141" t="e">
        <f>VLOOKUP(P141,Intrim!$S$3:$AA$201,9,0)</f>
        <v>#N/A</v>
      </c>
      <c r="V141" t="e">
        <f>VLOOKUP(P141,Intrim!S:Y,7,0)</f>
        <v>#N/A</v>
      </c>
      <c r="W141" t="str">
        <f>intrim2!X144</f>
        <v/>
      </c>
      <c r="X141" t="str">
        <f t="shared" si="9"/>
        <v/>
      </c>
      <c r="Y141" s="35" t="str">
        <f>IFERROR(IF(O141="Unallocated",Q141-SUMIF($N$3:$N140,N141,$Y$3:Y140),IF(U141&gt;=V141,Q141*T141/U141,IF(U141&gt;=T141,T141*R141/S141,U141*Q141/S141))),"")</f>
        <v/>
      </c>
      <c r="AA141">
        <v>13</v>
      </c>
      <c r="AB141" t="str">
        <f>+intrim2!C144</f>
        <v/>
      </c>
      <c r="AC141" t="str">
        <f ca="1">+intrim2!D144</f>
        <v/>
      </c>
      <c r="AD141" t="str">
        <f t="shared" ca="1" si="7"/>
        <v/>
      </c>
      <c r="AE141" t="str">
        <f t="shared" si="10"/>
        <v/>
      </c>
      <c r="AF141" t="str">
        <f>IF(AB141="","",VLOOKUP(AD141,Intrim!U:AD,10,0))</f>
        <v/>
      </c>
    </row>
    <row r="142" spans="2:32" x14ac:dyDescent="0.25">
      <c r="B142" t="str">
        <f ca="1">IF(OR(intrim2!D145="Unallocated",intrim2!D145=""),"",intrim2!D145)</f>
        <v/>
      </c>
      <c r="C142" t="str">
        <f ca="1">IFERROR(VLOOKUP($F$3&amp;B142,Intrim!$U:$Z,6,0),"")</f>
        <v/>
      </c>
      <c r="J142" t="str">
        <f ca="1">IF(intrim2!O145="","",intrim2!O145)</f>
        <v/>
      </c>
      <c r="K142" t="str">
        <f ca="1">IFERROR(VLOOKUP(J142&amp;$F$3,Input!F:G,2,0),"")</f>
        <v/>
      </c>
      <c r="N142" t="e">
        <f>+intrim2!Y145</f>
        <v>#N/A</v>
      </c>
      <c r="O142" t="e">
        <f>+intrim2!Z145</f>
        <v>#N/A</v>
      </c>
      <c r="P142" t="e">
        <f>+intrim2!AA145</f>
        <v>#N/A</v>
      </c>
      <c r="Q142" t="e">
        <f ca="1">VLOOKUP(N142&amp;$P$3,Intrim!H:L,5,0)</f>
        <v>#N/A</v>
      </c>
      <c r="R142" t="e">
        <f>VLOOKUP(N142,Intrim!F:I,4,0)</f>
        <v>#N/A</v>
      </c>
      <c r="S142" t="e">
        <f>VLOOKUP(P142,Intrim!G:J,4,0)</f>
        <v>#N/A</v>
      </c>
      <c r="T142" t="e">
        <f>+intrim2!AB145</f>
        <v>#N/A</v>
      </c>
      <c r="U142" t="e">
        <f>VLOOKUP(P142,Intrim!$S$3:$AA$201,9,0)</f>
        <v>#N/A</v>
      </c>
      <c r="V142" t="e">
        <f>VLOOKUP(P142,Intrim!S:Y,7,0)</f>
        <v>#N/A</v>
      </c>
      <c r="W142" t="str">
        <f>intrim2!X145</f>
        <v/>
      </c>
      <c r="X142" t="str">
        <f t="shared" si="9"/>
        <v/>
      </c>
      <c r="Y142" s="35" t="str">
        <f>IFERROR(IF(O142="Unallocated",Q142-SUMIF($N$3:$N141,N142,$Y$3:Y141),IF(U142&gt;=V142,Q142*T142/U142,IF(U142&gt;=T142,T142*R142/S142,U142*Q142/S142))),"")</f>
        <v/>
      </c>
      <c r="AA142">
        <v>13</v>
      </c>
      <c r="AB142" t="str">
        <f>+intrim2!C145</f>
        <v/>
      </c>
      <c r="AC142" t="str">
        <f ca="1">+intrim2!D145</f>
        <v/>
      </c>
      <c r="AD142" t="str">
        <f t="shared" ca="1" si="7"/>
        <v/>
      </c>
      <c r="AE142" t="str">
        <f t="shared" si="10"/>
        <v/>
      </c>
      <c r="AF142" t="str">
        <f>IF(AB142="","",VLOOKUP(AD142,Intrim!U:AD,10,0))</f>
        <v/>
      </c>
    </row>
    <row r="143" spans="2:32" x14ac:dyDescent="0.25">
      <c r="B143" t="str">
        <f ca="1">IF(OR(intrim2!D146="Unallocated",intrim2!D146=""),"",intrim2!D146)</f>
        <v/>
      </c>
      <c r="C143" t="str">
        <f ca="1">IFERROR(VLOOKUP($F$3&amp;B143,Intrim!$U:$Z,6,0),"")</f>
        <v/>
      </c>
      <c r="J143" t="str">
        <f ca="1">IF(intrim2!O146="","",intrim2!O146)</f>
        <v/>
      </c>
      <c r="K143" t="str">
        <f ca="1">IFERROR(VLOOKUP(J143&amp;$F$3,Input!F:G,2,0),"")</f>
        <v/>
      </c>
      <c r="N143" t="e">
        <f>+intrim2!Y146</f>
        <v>#N/A</v>
      </c>
      <c r="O143" t="e">
        <f>+intrim2!Z146</f>
        <v>#N/A</v>
      </c>
      <c r="P143" t="e">
        <f>+intrim2!AA146</f>
        <v>#N/A</v>
      </c>
      <c r="Q143" t="e">
        <f ca="1">VLOOKUP(N143&amp;$P$3,Intrim!H:L,5,0)</f>
        <v>#N/A</v>
      </c>
      <c r="R143" t="e">
        <f>VLOOKUP(N143,Intrim!F:I,4,0)</f>
        <v>#N/A</v>
      </c>
      <c r="S143" t="e">
        <f>VLOOKUP(P143,Intrim!G:J,4,0)</f>
        <v>#N/A</v>
      </c>
      <c r="T143" t="e">
        <f>+intrim2!AB146</f>
        <v>#N/A</v>
      </c>
      <c r="U143" t="e">
        <f>VLOOKUP(P143,Intrim!$S$3:$AA$201,9,0)</f>
        <v>#N/A</v>
      </c>
      <c r="V143" t="e">
        <f>VLOOKUP(P143,Intrim!S:Y,7,0)</f>
        <v>#N/A</v>
      </c>
      <c r="W143" t="str">
        <f>intrim2!X146</f>
        <v/>
      </c>
      <c r="X143" t="str">
        <f t="shared" si="9"/>
        <v/>
      </c>
      <c r="Y143" s="35" t="str">
        <f>IFERROR(IF(O143="Unallocated",Q143-SUMIF($N$3:$N142,N143,$Y$3:Y142),IF(U143&gt;=V143,Q143*T143/U143,IF(U143&gt;=T143,T143*R143/S143,U143*Q143/S143))),"")</f>
        <v/>
      </c>
      <c r="AA143">
        <v>13</v>
      </c>
      <c r="AB143" t="str">
        <f>+intrim2!C146</f>
        <v/>
      </c>
      <c r="AC143" t="str">
        <f ca="1">+intrim2!D146</f>
        <v/>
      </c>
      <c r="AD143" t="str">
        <f t="shared" ca="1" si="7"/>
        <v/>
      </c>
      <c r="AE143" t="str">
        <f t="shared" si="10"/>
        <v/>
      </c>
      <c r="AF143" t="str">
        <f>IF(AB143="","",VLOOKUP(AD143,Intrim!U:AD,10,0))</f>
        <v/>
      </c>
    </row>
    <row r="144" spans="2:32" x14ac:dyDescent="0.25">
      <c r="B144" t="str">
        <f ca="1">IF(OR(intrim2!D147="Unallocated",intrim2!D147=""),"",intrim2!D147)</f>
        <v/>
      </c>
      <c r="C144" t="str">
        <f ca="1">IFERROR(VLOOKUP($F$3&amp;B144,Intrim!$U:$Z,6,0),"")</f>
        <v/>
      </c>
      <c r="J144" t="str">
        <f ca="1">IF(intrim2!O147="","",intrim2!O147)</f>
        <v/>
      </c>
      <c r="K144" t="str">
        <f ca="1">IFERROR(VLOOKUP(J144&amp;$F$3,Input!F:G,2,0),"")</f>
        <v/>
      </c>
      <c r="N144" t="e">
        <f>+intrim2!Y147</f>
        <v>#N/A</v>
      </c>
      <c r="O144" t="e">
        <f>+intrim2!Z147</f>
        <v>#N/A</v>
      </c>
      <c r="P144" t="e">
        <f>+intrim2!AA147</f>
        <v>#N/A</v>
      </c>
      <c r="Q144" t="e">
        <f ca="1">VLOOKUP(N144&amp;$P$3,Intrim!H:L,5,0)</f>
        <v>#N/A</v>
      </c>
      <c r="R144" t="e">
        <f>VLOOKUP(N144,Intrim!F:I,4,0)</f>
        <v>#N/A</v>
      </c>
      <c r="S144" t="e">
        <f>VLOOKUP(P144,Intrim!G:J,4,0)</f>
        <v>#N/A</v>
      </c>
      <c r="T144" t="e">
        <f>+intrim2!AB147</f>
        <v>#N/A</v>
      </c>
      <c r="U144" t="e">
        <f>VLOOKUP(P144,Intrim!$S$3:$AA$201,9,0)</f>
        <v>#N/A</v>
      </c>
      <c r="V144" t="e">
        <f>VLOOKUP(P144,Intrim!S:Y,7,0)</f>
        <v>#N/A</v>
      </c>
      <c r="W144" t="str">
        <f>intrim2!X147</f>
        <v/>
      </c>
      <c r="X144" t="str">
        <f t="shared" si="9"/>
        <v/>
      </c>
      <c r="Y144" s="35" t="str">
        <f>IFERROR(IF(O144="Unallocated",Q144-SUMIF($N$3:$N143,N144,$Y$3:Y143),IF(U144&gt;=V144,Q144*T144/U144,IF(U144&gt;=T144,T144*R144/S144,U144*Q144/S144))),"")</f>
        <v/>
      </c>
      <c r="AA144">
        <v>13</v>
      </c>
      <c r="AB144" t="str">
        <f>+intrim2!C147</f>
        <v/>
      </c>
      <c r="AC144" t="str">
        <f ca="1">+intrim2!D147</f>
        <v/>
      </c>
      <c r="AD144" t="str">
        <f t="shared" ref="AD144:AD150" ca="1" si="11">AB144&amp;AC144</f>
        <v/>
      </c>
      <c r="AE144" t="str">
        <f t="shared" si="10"/>
        <v/>
      </c>
      <c r="AF144" t="str">
        <f>IF(AB144="","",VLOOKUP(AD144,Intrim!U:AD,10,0))</f>
        <v/>
      </c>
    </row>
    <row r="145" spans="2:32" x14ac:dyDescent="0.25">
      <c r="B145" t="str">
        <f ca="1">IF(OR(intrim2!D148="Unallocated",intrim2!D148=""),"",intrim2!D148)</f>
        <v/>
      </c>
      <c r="C145" t="str">
        <f ca="1">IFERROR(VLOOKUP($F$3&amp;B145,Intrim!$U:$Z,6,0),"")</f>
        <v/>
      </c>
      <c r="J145" t="str">
        <f ca="1">IF(intrim2!O148="","",intrim2!O148)</f>
        <v/>
      </c>
      <c r="K145" t="str">
        <f ca="1">IFERROR(VLOOKUP(J145&amp;$F$3,Input!F:G,2,0),"")</f>
        <v/>
      </c>
      <c r="N145" t="e">
        <f>+intrim2!Y148</f>
        <v>#N/A</v>
      </c>
      <c r="O145" t="e">
        <f>+intrim2!Z148</f>
        <v>#N/A</v>
      </c>
      <c r="P145" t="e">
        <f>+intrim2!AA148</f>
        <v>#N/A</v>
      </c>
      <c r="Q145" t="e">
        <f ca="1">VLOOKUP(N145&amp;$P$3,Intrim!H:L,5,0)</f>
        <v>#N/A</v>
      </c>
      <c r="R145" t="e">
        <f>VLOOKUP(N145,Intrim!F:I,4,0)</f>
        <v>#N/A</v>
      </c>
      <c r="S145" t="e">
        <f>VLOOKUP(P145,Intrim!G:J,4,0)</f>
        <v>#N/A</v>
      </c>
      <c r="T145" t="e">
        <f>+intrim2!AB148</f>
        <v>#N/A</v>
      </c>
      <c r="U145" t="e">
        <f>VLOOKUP(P145,Intrim!$S$3:$AA$201,9,0)</f>
        <v>#N/A</v>
      </c>
      <c r="V145" t="e">
        <f>VLOOKUP(P145,Intrim!S:Y,7,0)</f>
        <v>#N/A</v>
      </c>
      <c r="W145" t="str">
        <f>intrim2!X148</f>
        <v/>
      </c>
      <c r="X145" t="str">
        <f t="shared" si="9"/>
        <v/>
      </c>
      <c r="Y145" s="35" t="str">
        <f>IFERROR(IF(O145="Unallocated",Q145-SUMIF($N$3:$N144,N145,$Y$3:Y144),IF(U145&gt;=V145,Q145*T145/U145,IF(U145&gt;=T145,T145*R145/S145,U145*Q145/S145))),"")</f>
        <v/>
      </c>
      <c r="AA145">
        <v>13</v>
      </c>
      <c r="AB145" t="str">
        <f>+intrim2!C148</f>
        <v/>
      </c>
      <c r="AC145" t="str">
        <f ca="1">+intrim2!D148</f>
        <v/>
      </c>
      <c r="AD145" t="str">
        <f t="shared" ca="1" si="11"/>
        <v/>
      </c>
      <c r="AE145" t="str">
        <f t="shared" si="10"/>
        <v/>
      </c>
      <c r="AF145" t="str">
        <f>IF(AB145="","",VLOOKUP(AD145,Intrim!U:AD,10,0))</f>
        <v/>
      </c>
    </row>
    <row r="146" spans="2:32" x14ac:dyDescent="0.25">
      <c r="B146" t="str">
        <f ca="1">IF(OR(intrim2!D149="Unallocated",intrim2!D149=""),"",intrim2!D149)</f>
        <v/>
      </c>
      <c r="C146" t="str">
        <f ca="1">IFERROR(VLOOKUP($F$3&amp;B146,Intrim!$U:$Z,6,0),"")</f>
        <v/>
      </c>
      <c r="J146" t="str">
        <f ca="1">IF(intrim2!O149="","",intrim2!O149)</f>
        <v/>
      </c>
      <c r="K146" t="str">
        <f ca="1">IFERROR(VLOOKUP(J146&amp;$F$3,Input!F:G,2,0),"")</f>
        <v/>
      </c>
      <c r="N146" t="e">
        <f>+intrim2!Y149</f>
        <v>#N/A</v>
      </c>
      <c r="O146" t="e">
        <f>+intrim2!Z149</f>
        <v>#N/A</v>
      </c>
      <c r="P146" t="e">
        <f>+intrim2!AA149</f>
        <v>#N/A</v>
      </c>
      <c r="Q146" t="e">
        <f ca="1">VLOOKUP(N146&amp;$P$3,Intrim!H:L,5,0)</f>
        <v>#N/A</v>
      </c>
      <c r="R146" t="e">
        <f>VLOOKUP(N146,Intrim!F:I,4,0)</f>
        <v>#N/A</v>
      </c>
      <c r="S146" t="e">
        <f>VLOOKUP(P146,Intrim!G:J,4,0)</f>
        <v>#N/A</v>
      </c>
      <c r="T146" t="e">
        <f>+intrim2!AB149</f>
        <v>#N/A</v>
      </c>
      <c r="U146" t="e">
        <f>VLOOKUP(P146,Intrim!$S$3:$AA$201,9,0)</f>
        <v>#N/A</v>
      </c>
      <c r="V146" t="e">
        <f>VLOOKUP(P146,Intrim!S:Y,7,0)</f>
        <v>#N/A</v>
      </c>
      <c r="W146" t="str">
        <f>intrim2!X149</f>
        <v/>
      </c>
      <c r="X146" t="str">
        <f t="shared" si="9"/>
        <v/>
      </c>
      <c r="Y146" s="35" t="str">
        <f>IFERROR(IF(O146="Unallocated",Q146-SUMIF($N$3:$N145,N146,$Y$3:Y145),IF(U146&gt;=V146,Q146*T146/U146,IF(U146&gt;=T146,T146*R146/S146,U146*Q146/S146))),"")</f>
        <v/>
      </c>
      <c r="AA146">
        <v>13</v>
      </c>
      <c r="AB146" t="str">
        <f>+intrim2!C149</f>
        <v/>
      </c>
      <c r="AC146" t="str">
        <f ca="1">+intrim2!D149</f>
        <v/>
      </c>
      <c r="AD146" t="str">
        <f t="shared" ca="1" si="11"/>
        <v/>
      </c>
      <c r="AE146" t="str">
        <f t="shared" si="10"/>
        <v/>
      </c>
      <c r="AF146" t="str">
        <f>IF(AB146="","",VLOOKUP(AD146,Intrim!U:AD,10,0))</f>
        <v/>
      </c>
    </row>
    <row r="147" spans="2:32" x14ac:dyDescent="0.25">
      <c r="B147" t="str">
        <f ca="1">IF(OR(intrim2!D150="Unallocated",intrim2!D150=""),"",intrim2!D150)</f>
        <v/>
      </c>
      <c r="C147" t="str">
        <f ca="1">IFERROR(VLOOKUP($F$3&amp;B147,Intrim!$U:$Z,6,0),"")</f>
        <v/>
      </c>
      <c r="J147" t="str">
        <f ca="1">IF(intrim2!O150="","",intrim2!O150)</f>
        <v/>
      </c>
      <c r="K147" t="str">
        <f ca="1">IFERROR(VLOOKUP(J147&amp;$F$3,Input!F:G,2,0),"")</f>
        <v/>
      </c>
      <c r="N147" t="e">
        <f>+intrim2!Y150</f>
        <v>#N/A</v>
      </c>
      <c r="O147" t="e">
        <f>+intrim2!Z150</f>
        <v>#N/A</v>
      </c>
      <c r="P147" t="e">
        <f>+intrim2!AA150</f>
        <v>#N/A</v>
      </c>
      <c r="Q147" t="e">
        <f ca="1">VLOOKUP(N147&amp;$P$3,Intrim!H:L,5,0)</f>
        <v>#N/A</v>
      </c>
      <c r="R147" t="e">
        <f>VLOOKUP(N147,Intrim!F:I,4,0)</f>
        <v>#N/A</v>
      </c>
      <c r="S147" t="e">
        <f>VLOOKUP(P147,Intrim!G:J,4,0)</f>
        <v>#N/A</v>
      </c>
      <c r="T147" t="e">
        <f>+intrim2!AB150</f>
        <v>#N/A</v>
      </c>
      <c r="U147" t="e">
        <f>VLOOKUP(P147,Intrim!$S$3:$AA$201,9,0)</f>
        <v>#N/A</v>
      </c>
      <c r="V147" t="e">
        <f>VLOOKUP(P147,Intrim!S:Y,7,0)</f>
        <v>#N/A</v>
      </c>
      <c r="W147" t="str">
        <f>intrim2!X150</f>
        <v/>
      </c>
      <c r="X147" t="str">
        <f t="shared" si="9"/>
        <v/>
      </c>
      <c r="Y147" s="35" t="str">
        <f>IFERROR(IF(O147="Unallocated",Q147-SUMIF($N$3:$N146,N147,$Y$3:Y146),IF(U147&gt;=V147,Q147*T147/U147,IF(U147&gt;=T147,T147*R147/S147,U147*Q147/S147))),"")</f>
        <v/>
      </c>
      <c r="AA147">
        <v>13</v>
      </c>
      <c r="AB147" t="str">
        <f>+intrim2!C150</f>
        <v/>
      </c>
      <c r="AC147" t="str">
        <f ca="1">+intrim2!D150</f>
        <v/>
      </c>
      <c r="AD147" t="str">
        <f t="shared" ca="1" si="11"/>
        <v/>
      </c>
      <c r="AE147" t="str">
        <f t="shared" si="10"/>
        <v/>
      </c>
      <c r="AF147" t="str">
        <f>IF(AB147="","",VLOOKUP(AD147,Intrim!U:AD,10,0))</f>
        <v/>
      </c>
    </row>
    <row r="148" spans="2:32" x14ac:dyDescent="0.25">
      <c r="B148" t="str">
        <f ca="1">IF(OR(intrim2!D151="Unallocated",intrim2!D151=""),"",intrim2!D151)</f>
        <v/>
      </c>
      <c r="C148" t="str">
        <f ca="1">IFERROR(VLOOKUP($F$3&amp;B148,Intrim!$U:$Z,6,0),"")</f>
        <v/>
      </c>
      <c r="J148" t="str">
        <f ca="1">IF(intrim2!O151="","",intrim2!O151)</f>
        <v/>
      </c>
      <c r="K148" t="str">
        <f ca="1">IFERROR(VLOOKUP(J148&amp;$F$3,Input!F:G,2,0),"")</f>
        <v/>
      </c>
      <c r="N148" t="e">
        <f>+intrim2!Y151</f>
        <v>#N/A</v>
      </c>
      <c r="O148" t="e">
        <f>+intrim2!Z151</f>
        <v>#N/A</v>
      </c>
      <c r="P148" t="e">
        <f>+intrim2!AA151</f>
        <v>#N/A</v>
      </c>
      <c r="Q148" t="e">
        <f ca="1">VLOOKUP(N148&amp;$P$3,Intrim!H:L,5,0)</f>
        <v>#N/A</v>
      </c>
      <c r="R148" t="e">
        <f>VLOOKUP(N148,Intrim!F:I,4,0)</f>
        <v>#N/A</v>
      </c>
      <c r="S148" t="e">
        <f>VLOOKUP(P148,Intrim!G:J,4,0)</f>
        <v>#N/A</v>
      </c>
      <c r="T148" t="e">
        <f>+intrim2!AB151</f>
        <v>#N/A</v>
      </c>
      <c r="U148" t="e">
        <f>VLOOKUP(P148,Intrim!$S$3:$AA$201,9,0)</f>
        <v>#N/A</v>
      </c>
      <c r="V148" t="e">
        <f>VLOOKUP(P148,Intrim!S:Y,7,0)</f>
        <v>#N/A</v>
      </c>
      <c r="W148" t="str">
        <f>intrim2!X151</f>
        <v/>
      </c>
      <c r="X148" t="str">
        <f t="shared" si="9"/>
        <v/>
      </c>
      <c r="Y148" s="35" t="str">
        <f>IFERROR(IF(O148="Unallocated",Q148-SUMIF($N$3:$N147,N148,$Y$3:Y147),IF(U148&gt;=V148,Q148*T148/U148,IF(U148&gt;=T148,T148*R148/S148,U148*Q148/S148))),"")</f>
        <v/>
      </c>
      <c r="AA148">
        <v>13</v>
      </c>
      <c r="AB148" t="str">
        <f>+intrim2!C151</f>
        <v/>
      </c>
      <c r="AC148" t="str">
        <f ca="1">+intrim2!D151</f>
        <v/>
      </c>
      <c r="AD148" t="str">
        <f t="shared" ca="1" si="11"/>
        <v/>
      </c>
      <c r="AE148" t="str">
        <f t="shared" si="10"/>
        <v/>
      </c>
      <c r="AF148" t="str">
        <f>IF(AB148="","",VLOOKUP(AD148,Intrim!U:AD,10,0))</f>
        <v/>
      </c>
    </row>
    <row r="149" spans="2:32" x14ac:dyDescent="0.25">
      <c r="B149" t="str">
        <f ca="1">IF(OR(intrim2!D152="Unallocated",intrim2!D152=""),"",intrim2!D152)</f>
        <v/>
      </c>
      <c r="C149" t="str">
        <f ca="1">IFERROR(VLOOKUP($F$3&amp;B149,Intrim!$U:$Z,6,0),"")</f>
        <v/>
      </c>
      <c r="J149" t="str">
        <f ca="1">IF(intrim2!O152="","",intrim2!O152)</f>
        <v/>
      </c>
      <c r="K149" t="str">
        <f ca="1">IFERROR(VLOOKUP(J149&amp;$F$3,Input!F:G,2,0),"")</f>
        <v/>
      </c>
      <c r="N149" t="e">
        <f>+intrim2!Y152</f>
        <v>#N/A</v>
      </c>
      <c r="O149" t="e">
        <f>+intrim2!Z152</f>
        <v>#N/A</v>
      </c>
      <c r="P149" t="e">
        <f>+intrim2!AA152</f>
        <v>#N/A</v>
      </c>
      <c r="Q149" t="e">
        <f ca="1">VLOOKUP(N149&amp;$P$3,Intrim!H:L,5,0)</f>
        <v>#N/A</v>
      </c>
      <c r="R149" t="e">
        <f>VLOOKUP(N149,Intrim!F:I,4,0)</f>
        <v>#N/A</v>
      </c>
      <c r="S149" t="e">
        <f>VLOOKUP(P149,Intrim!G:J,4,0)</f>
        <v>#N/A</v>
      </c>
      <c r="T149" t="e">
        <f>+intrim2!AB152</f>
        <v>#N/A</v>
      </c>
      <c r="U149" t="e">
        <f>VLOOKUP(P149,Intrim!$S$3:$AA$201,9,0)</f>
        <v>#N/A</v>
      </c>
      <c r="V149" t="e">
        <f>VLOOKUP(P149,Intrim!S:Y,7,0)</f>
        <v>#N/A</v>
      </c>
      <c r="W149" t="str">
        <f>intrim2!X152</f>
        <v/>
      </c>
      <c r="X149" t="str">
        <f t="shared" si="9"/>
        <v/>
      </c>
      <c r="Y149" s="35" t="str">
        <f>IFERROR(IF(O149="Unallocated",Q149-SUMIF($N$3:$N148,N149,$Y$3:Y148),IF(U149&gt;=V149,Q149*T149/U149,IF(U149&gt;=T149,T149*R149/S149,U149*Q149/S149))),"")</f>
        <v/>
      </c>
      <c r="AA149">
        <v>13</v>
      </c>
      <c r="AB149" t="str">
        <f>+intrim2!C152</f>
        <v/>
      </c>
      <c r="AC149" t="str">
        <f ca="1">+intrim2!D152</f>
        <v/>
      </c>
      <c r="AD149" t="str">
        <f t="shared" ca="1" si="11"/>
        <v/>
      </c>
      <c r="AE149" t="str">
        <f t="shared" si="10"/>
        <v/>
      </c>
      <c r="AF149" t="str">
        <f>IF(AB149="","",VLOOKUP(AD149,Intrim!U:AD,10,0))</f>
        <v/>
      </c>
    </row>
    <row r="150" spans="2:32" x14ac:dyDescent="0.25">
      <c r="B150" t="str">
        <f ca="1">IF(OR(intrim2!D153="Unallocated",intrim2!D153=""),"",intrim2!D153)</f>
        <v/>
      </c>
      <c r="C150" t="str">
        <f ca="1">IFERROR(VLOOKUP($F$3&amp;B150,Intrim!$U:$Z,6,0),"")</f>
        <v/>
      </c>
      <c r="J150" t="str">
        <f ca="1">IF(intrim2!O153="","",intrim2!O153)</f>
        <v/>
      </c>
      <c r="K150" t="str">
        <f ca="1">IFERROR(VLOOKUP(J150&amp;$F$3,Input!F:G,2,0),"")</f>
        <v/>
      </c>
      <c r="N150" t="e">
        <f>+intrim2!Y153</f>
        <v>#N/A</v>
      </c>
      <c r="O150" t="e">
        <f>+intrim2!Z153</f>
        <v>#N/A</v>
      </c>
      <c r="P150" t="e">
        <f>+intrim2!AA153</f>
        <v>#N/A</v>
      </c>
      <c r="Q150" t="e">
        <f ca="1">VLOOKUP(N150&amp;$P$3,Intrim!H:L,5,0)</f>
        <v>#N/A</v>
      </c>
      <c r="R150" t="e">
        <f>VLOOKUP(N150,Intrim!F:I,4,0)</f>
        <v>#N/A</v>
      </c>
      <c r="S150" t="e">
        <f>VLOOKUP(P150,Intrim!G:J,4,0)</f>
        <v>#N/A</v>
      </c>
      <c r="T150" t="e">
        <f>+intrim2!AB153</f>
        <v>#N/A</v>
      </c>
      <c r="U150" t="e">
        <f>VLOOKUP(P150,Intrim!$S$3:$AA$201,9,0)</f>
        <v>#N/A</v>
      </c>
      <c r="V150" t="e">
        <f>VLOOKUP(P150,Intrim!S:Y,7,0)</f>
        <v>#N/A</v>
      </c>
      <c r="W150" t="str">
        <f>intrim2!X153</f>
        <v/>
      </c>
      <c r="X150" t="str">
        <f t="shared" si="9"/>
        <v/>
      </c>
      <c r="Y150" s="35" t="str">
        <f>IFERROR(IF(O150="Unallocated",Q150-SUMIF($N$3:$N149,N150,$Y$3:Y149),IF(U150&gt;=V150,Q150*T150/U150,IF(U150&gt;=T150,T150*R150/S150,U150*Q150/S150))),"")</f>
        <v/>
      </c>
      <c r="AA150">
        <v>13</v>
      </c>
      <c r="AB150" t="str">
        <f>+intrim2!C153</f>
        <v/>
      </c>
      <c r="AC150" t="str">
        <f ca="1">+intrim2!D153</f>
        <v/>
      </c>
      <c r="AD150" t="str">
        <f t="shared" ca="1" si="11"/>
        <v/>
      </c>
      <c r="AE150" t="str">
        <f t="shared" si="10"/>
        <v/>
      </c>
      <c r="AF150" t="str">
        <f>IF(AB150="","",VLOOKUP(AD150,Intrim!U:AD,10,0))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1CF95-C853-48C0-A6A9-DC9D4B97034B}">
  <sheetPr codeName="工作表1">
    <tabColor theme="8" tint="0.59999389629810485"/>
  </sheetPr>
  <dimension ref="B1:R107"/>
  <sheetViews>
    <sheetView zoomScale="85" zoomScaleNormal="85" workbookViewId="0"/>
  </sheetViews>
  <sheetFormatPr defaultRowHeight="16.5" x14ac:dyDescent="0.25"/>
  <cols>
    <col min="1" max="1" width="1.25" customWidth="1"/>
    <col min="2" max="2" width="28.5" customWidth="1"/>
    <col min="3" max="3" width="12.875" customWidth="1"/>
    <col min="4" max="4" width="2.125" customWidth="1"/>
    <col min="5" max="5" width="23.5" customWidth="1"/>
    <col min="6" max="6" width="11.375" customWidth="1"/>
    <col min="7" max="7" width="2.875" customWidth="1"/>
    <col min="8" max="8" width="25.875" customWidth="1"/>
    <col min="9" max="9" width="10.625" customWidth="1"/>
    <col min="10" max="10" width="4.5" customWidth="1"/>
    <col min="11" max="11" width="30.125" bestFit="1" customWidth="1"/>
    <col min="12" max="12" width="14.75" customWidth="1"/>
    <col min="13" max="13" width="4" customWidth="1"/>
    <col min="14" max="14" width="38.75" customWidth="1"/>
    <col min="15" max="15" width="17" customWidth="1"/>
  </cols>
  <sheetData>
    <row r="1" spans="2:18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8" t="s">
        <v>57</v>
      </c>
      <c r="N1" s="38"/>
      <c r="O1" s="2"/>
      <c r="Q1" s="30"/>
      <c r="R1" s="30"/>
    </row>
    <row r="2" spans="2:18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Q2" s="30"/>
      <c r="R2" s="30"/>
    </row>
    <row r="3" spans="2:18" ht="36.75" customHeight="1" x14ac:dyDescent="0.25">
      <c r="B3" s="29" t="str">
        <f>"Allocated Result of Facility " &amp;E6</f>
        <v>Allocated Result of Facility HKG-XX5</v>
      </c>
      <c r="C3" s="29"/>
      <c r="D3" s="29"/>
      <c r="E3" s="29"/>
      <c r="F3" s="29"/>
      <c r="G3" s="29"/>
      <c r="H3" s="29"/>
      <c r="I3" s="29"/>
      <c r="J3" s="29"/>
      <c r="K3" s="29"/>
      <c r="L3" s="2"/>
      <c r="M3" s="2"/>
      <c r="N3" s="2"/>
      <c r="O3" s="2"/>
      <c r="Q3" s="30"/>
      <c r="R3" s="30"/>
    </row>
    <row r="4" spans="2:18" ht="31.5" customHeight="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Q4" s="30"/>
      <c r="R4" s="30">
        <f ca="1">MATCH("Y",$R$5:$R$205,0)+4</f>
        <v>12</v>
      </c>
    </row>
    <row r="5" spans="2:18" s="15" customFormat="1" ht="31.5" x14ac:dyDescent="0.25">
      <c r="B5" s="16" t="str">
        <f>+intrim3!B2</f>
        <v>Guarantee</v>
      </c>
      <c r="C5" s="16" t="str">
        <f>+intrim3!C2</f>
        <v>Guarantee Amount</v>
      </c>
      <c r="D5" s="17"/>
      <c r="E5" s="19" t="str">
        <f>+intrim3!F2</f>
        <v>Facility</v>
      </c>
      <c r="F5" s="19" t="str">
        <f>+intrim3!G2</f>
        <v>Undrawn amount</v>
      </c>
      <c r="G5" s="17"/>
      <c r="H5" s="21" t="str">
        <f>+intrim3!J2</f>
        <v>Contract Reference</v>
      </c>
      <c r="I5" s="21" t="str">
        <f>+intrim3!K2</f>
        <v>Drawn Amount</v>
      </c>
      <c r="J5" s="17"/>
      <c r="K5" s="23" t="str">
        <f>intrim3!X2</f>
        <v>Drawn Tranche</v>
      </c>
      <c r="L5" s="23" t="str">
        <f>intrim3!Y2</f>
        <v>Allocated Drawn Amount</v>
      </c>
      <c r="M5" s="17"/>
      <c r="N5" s="23" t="str">
        <f>+intrim3!AE2</f>
        <v>Undrawn Tranche</v>
      </c>
      <c r="O5" s="23" t="str">
        <f>+intrim3!AF2</f>
        <v>Allocated Undrawn Amount</v>
      </c>
      <c r="Q5" s="31" t="str">
        <f>TRIM(B5&amp;C5&amp;E5&amp;F5&amp;H5&amp;I5&amp;K5&amp;L5&amp;N5&amp;O5)</f>
        <v>GuaranteeGuarantee AmountFacilityUndrawn amountContract ReferenceDrawn AmountDrawn TrancheAllocated Drawn AmountUndrawn TrancheAllocated Undrawn Amount</v>
      </c>
      <c r="R5" s="32" t="str">
        <f>IF(Q5="","Y","N")</f>
        <v>N</v>
      </c>
    </row>
    <row r="6" spans="2:18" x14ac:dyDescent="0.25">
      <c r="B6" s="18" t="str">
        <f ca="1">+intrim3!B3</f>
        <v>HKG-GH4</v>
      </c>
      <c r="C6" s="33">
        <f ca="1">+intrim3!C3</f>
        <v>5</v>
      </c>
      <c r="D6" s="2"/>
      <c r="E6" s="20" t="str">
        <f>+intrim3!F3</f>
        <v>HKG-XX5</v>
      </c>
      <c r="F6" s="20">
        <f>+intrim3!G3</f>
        <v>45</v>
      </c>
      <c r="G6" s="2"/>
      <c r="H6" s="22" t="str">
        <f ca="1">+intrim3!J3</f>
        <v>HKG-AB1</v>
      </c>
      <c r="I6" s="22">
        <f ca="1">+intrim3!K3</f>
        <v>10</v>
      </c>
      <c r="J6" s="2"/>
      <c r="K6" s="24" t="str">
        <f ca="1">intrim3!X3</f>
        <v>HKG-AB1 Tranche1 (HKG-GH4)</v>
      </c>
      <c r="L6" s="25">
        <f ca="1">intrim3!Y3</f>
        <v>0.11029411764705883</v>
      </c>
      <c r="M6" s="2"/>
      <c r="N6" s="24" t="str">
        <f ca="1">+intrim3!AE3</f>
        <v>HKG-XX5 Undrawn Tranche1 (HKG-GH4)</v>
      </c>
      <c r="O6" s="25">
        <f ca="1">+intrim3!AF3</f>
        <v>2.8125</v>
      </c>
      <c r="Q6" s="31" t="str">
        <f t="shared" ref="Q6:Q69" ca="1" si="0">TRIM(B6&amp;C6&amp;E6&amp;F6&amp;H6&amp;I6&amp;K6&amp;L6&amp;N6&amp;O6)</f>
        <v>HKG-GH45HKG-XX545HKG-AB110HKG-AB1 Tranche1 (HKG-GH4)0.110294117647059HKG-XX5 Undrawn Tranche1 (HKG-GH4)2.8125</v>
      </c>
      <c r="R6" s="32" t="str">
        <f t="shared" ref="R6:R69" ca="1" si="1">IF(Q6="","Y","N")</f>
        <v>N</v>
      </c>
    </row>
    <row r="7" spans="2:18" x14ac:dyDescent="0.25">
      <c r="B7" s="18" t="str">
        <f ca="1">+intrim3!B4</f>
        <v>HKG-GH5</v>
      </c>
      <c r="C7" s="33">
        <f ca="1">+intrim3!C4</f>
        <v>75</v>
      </c>
      <c r="D7" s="2"/>
      <c r="E7" s="2"/>
      <c r="F7" s="2"/>
      <c r="G7" s="2"/>
      <c r="H7" s="22" t="str">
        <f ca="1">+intrim3!J4</f>
        <v>HKG-AB2</v>
      </c>
      <c r="I7" s="22">
        <f ca="1">+intrim3!K4</f>
        <v>20</v>
      </c>
      <c r="J7" s="2"/>
      <c r="K7" s="24" t="str">
        <f ca="1">intrim3!X4</f>
        <v>HKG-AB1 Tranche2 (HKG-GH5)</v>
      </c>
      <c r="L7" s="25">
        <f ca="1">intrim3!Y4</f>
        <v>1.6544117647058822</v>
      </c>
      <c r="M7" s="2"/>
      <c r="N7" s="24" t="str">
        <f ca="1">+intrim3!AE4</f>
        <v>HKG-XX5 Undrawn Tranche2 (HKG-GH5)</v>
      </c>
      <c r="O7" s="25">
        <f ca="1">+intrim3!AF4</f>
        <v>42.1875</v>
      </c>
      <c r="Q7" s="31" t="str">
        <f t="shared" ca="1" si="0"/>
        <v>HKG-GH575HKG-AB220HKG-AB1 Tranche2 (HKG-GH5)1.65441176470588HKG-XX5 Undrawn Tranche2 (HKG-GH5)42.1875</v>
      </c>
      <c r="R7" s="32" t="str">
        <f t="shared" ca="1" si="1"/>
        <v>N</v>
      </c>
    </row>
    <row r="8" spans="2:18" x14ac:dyDescent="0.25">
      <c r="B8" s="18" t="str">
        <f ca="1">+intrim3!B5</f>
        <v/>
      </c>
      <c r="C8" s="33" t="str">
        <f ca="1">+intrim3!C5</f>
        <v/>
      </c>
      <c r="D8" s="2"/>
      <c r="E8" s="2"/>
      <c r="F8" s="2"/>
      <c r="G8" s="2"/>
      <c r="H8" s="22" t="str">
        <f ca="1">+intrim3!J5</f>
        <v/>
      </c>
      <c r="I8" s="22" t="str">
        <f ca="1">+intrim3!K5</f>
        <v/>
      </c>
      <c r="J8" s="2"/>
      <c r="K8" s="24" t="str">
        <f ca="1">intrim3!X5</f>
        <v>HKG-AB1 Tranche3 (Unallocated)</v>
      </c>
      <c r="L8" s="25">
        <f ca="1">intrim3!Y5</f>
        <v>0</v>
      </c>
      <c r="M8" s="2"/>
      <c r="N8" s="24" t="str">
        <f ca="1">+intrim3!AE5</f>
        <v>HKG-XX5 Undrawn Tranche3 (Unallocated)</v>
      </c>
      <c r="O8" s="25">
        <f ca="1">+intrim3!AF5</f>
        <v>0</v>
      </c>
      <c r="Q8" s="31" t="str">
        <f t="shared" ca="1" si="0"/>
        <v>HKG-AB1 Tranche3 (Unallocated)0HKG-XX5 Undrawn Tranche3 (Unallocated)0</v>
      </c>
      <c r="R8" s="32" t="str">
        <f t="shared" ca="1" si="1"/>
        <v>N</v>
      </c>
    </row>
    <row r="9" spans="2:18" x14ac:dyDescent="0.25">
      <c r="B9" s="18" t="str">
        <f ca="1">+intrim3!B6</f>
        <v/>
      </c>
      <c r="C9" s="33" t="str">
        <f ca="1">+intrim3!C6</f>
        <v/>
      </c>
      <c r="D9" s="2"/>
      <c r="E9" s="2"/>
      <c r="F9" s="2"/>
      <c r="G9" s="2"/>
      <c r="H9" s="22" t="str">
        <f ca="1">+intrim3!J6</f>
        <v/>
      </c>
      <c r="I9" s="22" t="str">
        <f ca="1">+intrim3!K6</f>
        <v/>
      </c>
      <c r="J9" s="2"/>
      <c r="K9" s="24" t="str">
        <f ca="1">intrim3!X6</f>
        <v>HKG-AB2 Tranche1 (HKG-GH4)</v>
      </c>
      <c r="L9" s="25">
        <f ca="1">intrim3!Y6</f>
        <v>0.22058823529411767</v>
      </c>
      <c r="M9" s="2"/>
      <c r="N9" s="24" t="str">
        <f>+intrim3!AE6</f>
        <v/>
      </c>
      <c r="O9" s="25" t="str">
        <f>+intrim3!AF6</f>
        <v/>
      </c>
      <c r="Q9" s="31" t="str">
        <f t="shared" ca="1" si="0"/>
        <v>HKG-AB2 Tranche1 (HKG-GH4)0.220588235294118</v>
      </c>
      <c r="R9" s="32" t="str">
        <f t="shared" ca="1" si="1"/>
        <v>N</v>
      </c>
    </row>
    <row r="10" spans="2:18" x14ac:dyDescent="0.25">
      <c r="B10" s="18" t="str">
        <f ca="1">+intrim3!B7</f>
        <v/>
      </c>
      <c r="C10" s="18" t="str">
        <f ca="1">+intrim3!C7</f>
        <v/>
      </c>
      <c r="D10" s="2"/>
      <c r="E10" s="2"/>
      <c r="F10" s="2"/>
      <c r="G10" s="2"/>
      <c r="H10" s="22" t="str">
        <f ca="1">+intrim3!J7</f>
        <v/>
      </c>
      <c r="I10" s="22" t="str">
        <f ca="1">+intrim3!K7</f>
        <v/>
      </c>
      <c r="J10" s="2"/>
      <c r="K10" s="24" t="str">
        <f ca="1">intrim3!X7</f>
        <v>HKG-AB2 Tranche2 (HKG-GH5)</v>
      </c>
      <c r="L10" s="25">
        <f ca="1">intrim3!Y7</f>
        <v>3.3088235294117645</v>
      </c>
      <c r="M10" s="2"/>
      <c r="N10" s="24" t="str">
        <f>+intrim3!AE7</f>
        <v/>
      </c>
      <c r="O10" s="25" t="str">
        <f>+intrim3!AF7</f>
        <v/>
      </c>
      <c r="Q10" s="31" t="str">
        <f t="shared" ca="1" si="0"/>
        <v>HKG-AB2 Tranche2 (HKG-GH5)3.30882352941176</v>
      </c>
      <c r="R10" s="32" t="str">
        <f t="shared" ca="1" si="1"/>
        <v>N</v>
      </c>
    </row>
    <row r="11" spans="2:18" x14ac:dyDescent="0.25">
      <c r="B11" s="18" t="str">
        <f ca="1">+intrim3!B8</f>
        <v/>
      </c>
      <c r="C11" s="18" t="str">
        <f ca="1">+intrim3!C8</f>
        <v/>
      </c>
      <c r="D11" s="2"/>
      <c r="E11" s="2"/>
      <c r="F11" s="2"/>
      <c r="G11" s="2"/>
      <c r="H11" s="22" t="str">
        <f ca="1">+intrim3!J8</f>
        <v/>
      </c>
      <c r="I11" s="22" t="str">
        <f ca="1">+intrim3!K8</f>
        <v/>
      </c>
      <c r="J11" s="2"/>
      <c r="K11" s="24" t="str">
        <f ca="1">intrim3!X8</f>
        <v>HKG-AB2 Tranche3 (Unallocated)</v>
      </c>
      <c r="L11" s="25">
        <f ca="1">intrim3!Y8</f>
        <v>0</v>
      </c>
      <c r="M11" s="2"/>
      <c r="N11" s="24" t="str">
        <f>+intrim3!AE8</f>
        <v/>
      </c>
      <c r="O11" s="25" t="str">
        <f>+intrim3!AF8</f>
        <v/>
      </c>
      <c r="Q11" s="31" t="str">
        <f t="shared" ca="1" si="0"/>
        <v>HKG-AB2 Tranche3 (Unallocated)0</v>
      </c>
      <c r="R11" s="32" t="str">
        <f t="shared" ca="1" si="1"/>
        <v>N</v>
      </c>
    </row>
    <row r="12" spans="2:18" x14ac:dyDescent="0.25">
      <c r="B12" s="18" t="str">
        <f ca="1">+intrim3!B9</f>
        <v/>
      </c>
      <c r="C12" s="18" t="str">
        <f ca="1">+intrim3!C9</f>
        <v/>
      </c>
      <c r="D12" s="2"/>
      <c r="E12" s="2"/>
      <c r="F12" s="2"/>
      <c r="G12" s="2"/>
      <c r="H12" s="22" t="str">
        <f ca="1">+intrim3!J9</f>
        <v/>
      </c>
      <c r="I12" s="22" t="str">
        <f ca="1">+intrim3!K9</f>
        <v/>
      </c>
      <c r="J12" s="2"/>
      <c r="K12" s="24" t="str">
        <f>intrim3!X9</f>
        <v/>
      </c>
      <c r="L12" s="25" t="str">
        <f>intrim3!Y9</f>
        <v/>
      </c>
      <c r="M12" s="2"/>
      <c r="N12" s="24" t="str">
        <f>+intrim3!AE9</f>
        <v/>
      </c>
      <c r="O12" s="25" t="str">
        <f>+intrim3!AF9</f>
        <v/>
      </c>
      <c r="Q12" s="31" t="str">
        <f t="shared" ca="1" si="0"/>
        <v/>
      </c>
      <c r="R12" s="32" t="str">
        <f t="shared" ca="1" si="1"/>
        <v>Y</v>
      </c>
    </row>
    <row r="13" spans="2:18" x14ac:dyDescent="0.25">
      <c r="B13" s="18" t="str">
        <f ca="1">+intrim3!B10</f>
        <v/>
      </c>
      <c r="C13" s="18" t="str">
        <f ca="1">+intrim3!C10</f>
        <v/>
      </c>
      <c r="D13" s="2"/>
      <c r="E13" s="2"/>
      <c r="F13" s="2"/>
      <c r="G13" s="2"/>
      <c r="H13" s="22" t="str">
        <f ca="1">+intrim3!J10</f>
        <v/>
      </c>
      <c r="I13" s="22" t="str">
        <f ca="1">+intrim3!K10</f>
        <v/>
      </c>
      <c r="J13" s="2"/>
      <c r="K13" s="24" t="str">
        <f>intrim3!X10</f>
        <v/>
      </c>
      <c r="L13" s="25" t="str">
        <f>intrim3!Y10</f>
        <v/>
      </c>
      <c r="M13" s="2"/>
      <c r="N13" s="24" t="str">
        <f>+intrim3!AE10</f>
        <v/>
      </c>
      <c r="O13" s="25" t="str">
        <f>+intrim3!AF10</f>
        <v/>
      </c>
      <c r="Q13" s="31" t="str">
        <f t="shared" ca="1" si="0"/>
        <v/>
      </c>
      <c r="R13" s="32" t="str">
        <f t="shared" ca="1" si="1"/>
        <v>Y</v>
      </c>
    </row>
    <row r="14" spans="2:18" x14ac:dyDescent="0.25">
      <c r="B14" s="18" t="str">
        <f ca="1">+intrim3!B11</f>
        <v/>
      </c>
      <c r="C14" s="18" t="str">
        <f ca="1">+intrim3!C11</f>
        <v/>
      </c>
      <c r="D14" s="2"/>
      <c r="E14" s="2"/>
      <c r="F14" s="2"/>
      <c r="G14" s="2"/>
      <c r="H14" s="22" t="str">
        <f ca="1">+intrim3!J11</f>
        <v/>
      </c>
      <c r="I14" s="22" t="str">
        <f ca="1">+intrim3!K11</f>
        <v/>
      </c>
      <c r="J14" s="2"/>
      <c r="K14" s="24" t="str">
        <f>intrim3!X11</f>
        <v/>
      </c>
      <c r="L14" s="25" t="str">
        <f>intrim3!Y11</f>
        <v/>
      </c>
      <c r="M14" s="2"/>
      <c r="N14" s="24" t="str">
        <f>+intrim3!AE11</f>
        <v/>
      </c>
      <c r="O14" s="25" t="str">
        <f>+intrim3!AF11</f>
        <v/>
      </c>
      <c r="Q14" s="31" t="str">
        <f t="shared" ca="1" si="0"/>
        <v/>
      </c>
      <c r="R14" s="32" t="str">
        <f t="shared" ca="1" si="1"/>
        <v>Y</v>
      </c>
    </row>
    <row r="15" spans="2:18" x14ac:dyDescent="0.25">
      <c r="B15" s="18" t="str">
        <f ca="1">+intrim3!B12</f>
        <v/>
      </c>
      <c r="C15" s="18" t="str">
        <f ca="1">+intrim3!C12</f>
        <v/>
      </c>
      <c r="D15" s="2"/>
      <c r="E15" s="2"/>
      <c r="F15" s="2"/>
      <c r="G15" s="2"/>
      <c r="H15" s="22" t="str">
        <f ca="1">+intrim3!J12</f>
        <v/>
      </c>
      <c r="I15" s="22" t="str">
        <f ca="1">+intrim3!K12</f>
        <v/>
      </c>
      <c r="J15" s="2"/>
      <c r="K15" s="24" t="str">
        <f>intrim3!X12</f>
        <v/>
      </c>
      <c r="L15" s="25" t="str">
        <f>intrim3!Y12</f>
        <v/>
      </c>
      <c r="M15" s="2"/>
      <c r="N15" s="24" t="str">
        <f>+intrim3!AE12</f>
        <v/>
      </c>
      <c r="O15" s="25" t="str">
        <f>+intrim3!AF12</f>
        <v/>
      </c>
      <c r="Q15" s="31" t="str">
        <f t="shared" ca="1" si="0"/>
        <v/>
      </c>
      <c r="R15" s="32" t="str">
        <f t="shared" ca="1" si="1"/>
        <v>Y</v>
      </c>
    </row>
    <row r="16" spans="2:18" x14ac:dyDescent="0.25">
      <c r="B16" s="18" t="str">
        <f ca="1">+intrim3!B13</f>
        <v/>
      </c>
      <c r="C16" s="18" t="str">
        <f ca="1">+intrim3!C13</f>
        <v/>
      </c>
      <c r="D16" s="2"/>
      <c r="E16" s="2"/>
      <c r="F16" s="2"/>
      <c r="G16" s="2"/>
      <c r="H16" s="22" t="str">
        <f ca="1">+intrim3!J13</f>
        <v/>
      </c>
      <c r="I16" s="22" t="str">
        <f ca="1">+intrim3!K13</f>
        <v/>
      </c>
      <c r="J16" s="2"/>
      <c r="K16" s="24" t="str">
        <f>intrim3!X13</f>
        <v/>
      </c>
      <c r="L16" s="25" t="str">
        <f>intrim3!Y13</f>
        <v/>
      </c>
      <c r="M16" s="2"/>
      <c r="N16" s="24" t="str">
        <f>+intrim3!AE13</f>
        <v/>
      </c>
      <c r="O16" s="25" t="str">
        <f>+intrim3!AF13</f>
        <v/>
      </c>
      <c r="Q16" s="31" t="str">
        <f t="shared" ca="1" si="0"/>
        <v/>
      </c>
      <c r="R16" s="32" t="str">
        <f t="shared" ca="1" si="1"/>
        <v>Y</v>
      </c>
    </row>
    <row r="17" spans="2:18" x14ac:dyDescent="0.25">
      <c r="B17" s="18" t="str">
        <f ca="1">+intrim3!B14</f>
        <v/>
      </c>
      <c r="C17" s="18" t="str">
        <f ca="1">+intrim3!C14</f>
        <v/>
      </c>
      <c r="D17" s="2"/>
      <c r="E17" s="2"/>
      <c r="F17" s="2"/>
      <c r="G17" s="2"/>
      <c r="H17" s="22" t="str">
        <f ca="1">+intrim3!J14</f>
        <v/>
      </c>
      <c r="I17" s="22" t="str">
        <f ca="1">+intrim3!K14</f>
        <v/>
      </c>
      <c r="J17" s="2"/>
      <c r="K17" s="24" t="str">
        <f>intrim3!X14</f>
        <v/>
      </c>
      <c r="L17" s="25" t="str">
        <f>intrim3!Y14</f>
        <v/>
      </c>
      <c r="M17" s="2"/>
      <c r="N17" s="24" t="str">
        <f>+intrim3!AE14</f>
        <v/>
      </c>
      <c r="O17" s="25" t="str">
        <f>+intrim3!AF14</f>
        <v/>
      </c>
      <c r="Q17" s="31" t="str">
        <f t="shared" ca="1" si="0"/>
        <v/>
      </c>
      <c r="R17" s="32" t="str">
        <f t="shared" ca="1" si="1"/>
        <v>Y</v>
      </c>
    </row>
    <row r="18" spans="2:18" x14ac:dyDescent="0.25">
      <c r="B18" s="18" t="str">
        <f ca="1">+intrim3!B15</f>
        <v/>
      </c>
      <c r="C18" s="18" t="str">
        <f ca="1">+intrim3!C15</f>
        <v/>
      </c>
      <c r="D18" s="2"/>
      <c r="E18" s="2"/>
      <c r="F18" s="2"/>
      <c r="G18" s="2"/>
      <c r="H18" s="22" t="str">
        <f ca="1">+intrim3!J15</f>
        <v/>
      </c>
      <c r="I18" s="22" t="str">
        <f ca="1">+intrim3!K15</f>
        <v/>
      </c>
      <c r="J18" s="2"/>
      <c r="K18" s="24" t="str">
        <f>intrim3!X15</f>
        <v/>
      </c>
      <c r="L18" s="25" t="str">
        <f>intrim3!Y15</f>
        <v/>
      </c>
      <c r="M18" s="2"/>
      <c r="N18" s="24" t="str">
        <f>+intrim3!AE15</f>
        <v/>
      </c>
      <c r="O18" s="25" t="str">
        <f>+intrim3!AF15</f>
        <v/>
      </c>
      <c r="Q18" s="31" t="str">
        <f t="shared" ca="1" si="0"/>
        <v/>
      </c>
      <c r="R18" s="32" t="str">
        <f t="shared" ca="1" si="1"/>
        <v>Y</v>
      </c>
    </row>
    <row r="19" spans="2:18" x14ac:dyDescent="0.25">
      <c r="B19" s="18" t="str">
        <f ca="1">+intrim3!B16</f>
        <v/>
      </c>
      <c r="C19" s="18" t="str">
        <f ca="1">+intrim3!C16</f>
        <v/>
      </c>
      <c r="D19" s="2"/>
      <c r="E19" s="2"/>
      <c r="F19" s="2"/>
      <c r="G19" s="2"/>
      <c r="H19" s="22" t="str">
        <f ca="1">+intrim3!J16</f>
        <v/>
      </c>
      <c r="I19" s="22" t="str">
        <f ca="1">+intrim3!K16</f>
        <v/>
      </c>
      <c r="J19" s="2"/>
      <c r="K19" s="24" t="str">
        <f>intrim3!X16</f>
        <v/>
      </c>
      <c r="L19" s="25" t="str">
        <f>intrim3!Y16</f>
        <v/>
      </c>
      <c r="M19" s="2"/>
      <c r="N19" s="24" t="str">
        <f>+intrim3!AE16</f>
        <v/>
      </c>
      <c r="O19" s="25" t="str">
        <f>+intrim3!AF16</f>
        <v/>
      </c>
      <c r="Q19" s="31" t="str">
        <f t="shared" ca="1" si="0"/>
        <v/>
      </c>
      <c r="R19" s="32" t="str">
        <f t="shared" ca="1" si="1"/>
        <v>Y</v>
      </c>
    </row>
    <row r="20" spans="2:18" x14ac:dyDescent="0.25">
      <c r="B20" s="18" t="str">
        <f ca="1">+intrim3!B17</f>
        <v/>
      </c>
      <c r="C20" s="18" t="str">
        <f ca="1">+intrim3!C17</f>
        <v/>
      </c>
      <c r="D20" s="2"/>
      <c r="E20" s="2"/>
      <c r="F20" s="2"/>
      <c r="G20" s="2"/>
      <c r="H20" s="22" t="str">
        <f ca="1">+intrim3!J17</f>
        <v/>
      </c>
      <c r="I20" s="22" t="str">
        <f ca="1">+intrim3!K17</f>
        <v/>
      </c>
      <c r="J20" s="2"/>
      <c r="K20" s="24" t="str">
        <f>intrim3!X17</f>
        <v/>
      </c>
      <c r="L20" s="25" t="str">
        <f>intrim3!Y17</f>
        <v/>
      </c>
      <c r="M20" s="2"/>
      <c r="N20" s="24" t="str">
        <f>+intrim3!AE17</f>
        <v/>
      </c>
      <c r="O20" s="25" t="str">
        <f>+intrim3!AF17</f>
        <v/>
      </c>
      <c r="Q20" s="31" t="str">
        <f t="shared" ca="1" si="0"/>
        <v/>
      </c>
      <c r="R20" s="32" t="str">
        <f t="shared" ca="1" si="1"/>
        <v>Y</v>
      </c>
    </row>
    <row r="21" spans="2:18" x14ac:dyDescent="0.25">
      <c r="B21" s="18" t="str">
        <f ca="1">+intrim3!B18</f>
        <v/>
      </c>
      <c r="C21" s="18" t="str">
        <f ca="1">+intrim3!C18</f>
        <v/>
      </c>
      <c r="D21" s="2"/>
      <c r="E21" s="2"/>
      <c r="F21" s="2"/>
      <c r="G21" s="2"/>
      <c r="H21" s="22" t="str">
        <f ca="1">+intrim3!J18</f>
        <v/>
      </c>
      <c r="I21" s="22" t="str">
        <f ca="1">+intrim3!K18</f>
        <v/>
      </c>
      <c r="J21" s="2"/>
      <c r="K21" s="24" t="str">
        <f>intrim3!X18</f>
        <v/>
      </c>
      <c r="L21" s="25" t="str">
        <f>intrim3!Y18</f>
        <v/>
      </c>
      <c r="M21" s="2"/>
      <c r="N21" s="24" t="str">
        <f>+intrim3!AE18</f>
        <v/>
      </c>
      <c r="O21" s="25" t="str">
        <f>+intrim3!AF18</f>
        <v/>
      </c>
      <c r="Q21" s="31" t="str">
        <f t="shared" ca="1" si="0"/>
        <v/>
      </c>
      <c r="R21" s="32" t="str">
        <f t="shared" ca="1" si="1"/>
        <v>Y</v>
      </c>
    </row>
    <row r="22" spans="2:18" x14ac:dyDescent="0.25">
      <c r="B22" s="18" t="str">
        <f ca="1">+intrim3!B19</f>
        <v/>
      </c>
      <c r="C22" s="18" t="str">
        <f ca="1">+intrim3!C19</f>
        <v/>
      </c>
      <c r="D22" s="2"/>
      <c r="E22" s="2"/>
      <c r="F22" s="2"/>
      <c r="G22" s="2"/>
      <c r="H22" s="22" t="str">
        <f ca="1">+intrim3!J19</f>
        <v/>
      </c>
      <c r="I22" s="22" t="str">
        <f ca="1">+intrim3!K19</f>
        <v/>
      </c>
      <c r="J22" s="2"/>
      <c r="K22" s="24" t="str">
        <f>intrim3!X19</f>
        <v/>
      </c>
      <c r="L22" s="25" t="str">
        <f>intrim3!Y19</f>
        <v/>
      </c>
      <c r="M22" s="2"/>
      <c r="N22" s="24" t="str">
        <f>+intrim3!AE19</f>
        <v/>
      </c>
      <c r="O22" s="25" t="str">
        <f>+intrim3!AF19</f>
        <v/>
      </c>
      <c r="Q22" s="31" t="str">
        <f t="shared" ca="1" si="0"/>
        <v/>
      </c>
      <c r="R22" s="32" t="str">
        <f t="shared" ca="1" si="1"/>
        <v>Y</v>
      </c>
    </row>
    <row r="23" spans="2:18" x14ac:dyDescent="0.25">
      <c r="B23" s="18" t="str">
        <f ca="1">+intrim3!B20</f>
        <v/>
      </c>
      <c r="C23" s="18" t="str">
        <f ca="1">+intrim3!C20</f>
        <v/>
      </c>
      <c r="D23" s="2"/>
      <c r="E23" s="2"/>
      <c r="F23" s="2"/>
      <c r="G23" s="2"/>
      <c r="H23" s="22" t="str">
        <f ca="1">+intrim3!J20</f>
        <v/>
      </c>
      <c r="I23" s="22" t="str">
        <f ca="1">+intrim3!K20</f>
        <v/>
      </c>
      <c r="J23" s="2"/>
      <c r="K23" s="24" t="str">
        <f>intrim3!X20</f>
        <v/>
      </c>
      <c r="L23" s="25" t="str">
        <f>intrim3!Y20</f>
        <v/>
      </c>
      <c r="M23" s="2"/>
      <c r="N23" s="24" t="str">
        <f>+intrim3!AE20</f>
        <v/>
      </c>
      <c r="O23" s="25" t="str">
        <f>+intrim3!AF20</f>
        <v/>
      </c>
      <c r="Q23" s="31" t="str">
        <f t="shared" ca="1" si="0"/>
        <v/>
      </c>
      <c r="R23" s="32" t="str">
        <f t="shared" ca="1" si="1"/>
        <v>Y</v>
      </c>
    </row>
    <row r="24" spans="2:18" x14ac:dyDescent="0.25">
      <c r="B24" s="18" t="str">
        <f ca="1">+intrim3!B21</f>
        <v/>
      </c>
      <c r="C24" s="18" t="str">
        <f ca="1">+intrim3!C21</f>
        <v/>
      </c>
      <c r="D24" s="2"/>
      <c r="E24" s="2"/>
      <c r="F24" s="2"/>
      <c r="G24" s="2"/>
      <c r="H24" s="22" t="str">
        <f ca="1">+intrim3!J21</f>
        <v/>
      </c>
      <c r="I24" s="22" t="str">
        <f ca="1">+intrim3!K21</f>
        <v/>
      </c>
      <c r="J24" s="2"/>
      <c r="K24" s="24" t="str">
        <f>intrim3!X21</f>
        <v/>
      </c>
      <c r="L24" s="25" t="str">
        <f>intrim3!Y21</f>
        <v/>
      </c>
      <c r="M24" s="2"/>
      <c r="N24" s="24" t="str">
        <f>+intrim3!AE21</f>
        <v/>
      </c>
      <c r="O24" s="25" t="str">
        <f>+intrim3!AF21</f>
        <v/>
      </c>
      <c r="Q24" s="31" t="str">
        <f t="shared" ca="1" si="0"/>
        <v/>
      </c>
      <c r="R24" s="32" t="str">
        <f t="shared" ca="1" si="1"/>
        <v>Y</v>
      </c>
    </row>
    <row r="25" spans="2:18" x14ac:dyDescent="0.25">
      <c r="B25" s="18" t="str">
        <f ca="1">+intrim3!B22</f>
        <v/>
      </c>
      <c r="C25" s="18" t="str">
        <f ca="1">+intrim3!C22</f>
        <v/>
      </c>
      <c r="D25" s="2"/>
      <c r="E25" s="2"/>
      <c r="F25" s="2"/>
      <c r="G25" s="2"/>
      <c r="H25" s="22" t="str">
        <f ca="1">+intrim3!J22</f>
        <v/>
      </c>
      <c r="I25" s="22" t="str">
        <f ca="1">+intrim3!K22</f>
        <v/>
      </c>
      <c r="J25" s="2"/>
      <c r="K25" s="24" t="str">
        <f>intrim3!X22</f>
        <v/>
      </c>
      <c r="L25" s="25" t="str">
        <f>intrim3!Y22</f>
        <v/>
      </c>
      <c r="M25" s="2"/>
      <c r="N25" s="24" t="str">
        <f>+intrim3!AE22</f>
        <v/>
      </c>
      <c r="O25" s="25" t="str">
        <f>+intrim3!AF22</f>
        <v/>
      </c>
      <c r="Q25" s="31" t="str">
        <f t="shared" ca="1" si="0"/>
        <v/>
      </c>
      <c r="R25" s="32" t="str">
        <f t="shared" ca="1" si="1"/>
        <v>Y</v>
      </c>
    </row>
    <row r="26" spans="2:18" x14ac:dyDescent="0.25">
      <c r="B26" s="18" t="str">
        <f ca="1">+intrim3!B23</f>
        <v/>
      </c>
      <c r="C26" s="18" t="str">
        <f ca="1">+intrim3!C23</f>
        <v/>
      </c>
      <c r="D26" s="2"/>
      <c r="E26" s="2"/>
      <c r="F26" s="2"/>
      <c r="G26" s="2"/>
      <c r="H26" s="22" t="str">
        <f ca="1">+intrim3!J23</f>
        <v/>
      </c>
      <c r="I26" s="22" t="str">
        <f ca="1">+intrim3!K23</f>
        <v/>
      </c>
      <c r="J26" s="2"/>
      <c r="K26" s="24" t="str">
        <f>intrim3!X23</f>
        <v/>
      </c>
      <c r="L26" s="25" t="str">
        <f>intrim3!Y23</f>
        <v/>
      </c>
      <c r="M26" s="2"/>
      <c r="N26" s="24" t="str">
        <f>+intrim3!AE23</f>
        <v/>
      </c>
      <c r="O26" s="25" t="str">
        <f>+intrim3!AF23</f>
        <v/>
      </c>
      <c r="Q26" s="31" t="str">
        <f t="shared" ca="1" si="0"/>
        <v/>
      </c>
      <c r="R26" s="32" t="str">
        <f t="shared" ca="1" si="1"/>
        <v>Y</v>
      </c>
    </row>
    <row r="27" spans="2:18" x14ac:dyDescent="0.25">
      <c r="B27" s="18" t="str">
        <f ca="1">+intrim3!B24</f>
        <v/>
      </c>
      <c r="C27" s="18" t="str">
        <f ca="1">+intrim3!C24</f>
        <v/>
      </c>
      <c r="D27" s="2"/>
      <c r="E27" s="2"/>
      <c r="F27" s="2"/>
      <c r="G27" s="2"/>
      <c r="H27" s="22" t="str">
        <f ca="1">+intrim3!J24</f>
        <v/>
      </c>
      <c r="I27" s="22" t="str">
        <f ca="1">+intrim3!K24</f>
        <v/>
      </c>
      <c r="J27" s="2"/>
      <c r="K27" s="24" t="str">
        <f>intrim3!X24</f>
        <v/>
      </c>
      <c r="L27" s="25" t="str">
        <f>intrim3!Y24</f>
        <v/>
      </c>
      <c r="M27" s="2"/>
      <c r="N27" s="24" t="str">
        <f>+intrim3!AE24</f>
        <v/>
      </c>
      <c r="O27" s="25" t="str">
        <f>+intrim3!AF24</f>
        <v/>
      </c>
      <c r="Q27" s="31" t="str">
        <f t="shared" ca="1" si="0"/>
        <v/>
      </c>
      <c r="R27" s="32" t="str">
        <f t="shared" ca="1" si="1"/>
        <v>Y</v>
      </c>
    </row>
    <row r="28" spans="2:18" x14ac:dyDescent="0.25">
      <c r="B28" s="18" t="str">
        <f ca="1">+intrim3!B25</f>
        <v/>
      </c>
      <c r="C28" s="18" t="str">
        <f ca="1">+intrim3!C25</f>
        <v/>
      </c>
      <c r="D28" s="2"/>
      <c r="E28" s="2"/>
      <c r="F28" s="2"/>
      <c r="G28" s="2"/>
      <c r="H28" s="22" t="str">
        <f ca="1">+intrim3!J25</f>
        <v/>
      </c>
      <c r="I28" s="22" t="str">
        <f ca="1">+intrim3!K25</f>
        <v/>
      </c>
      <c r="J28" s="2"/>
      <c r="K28" s="24" t="str">
        <f>intrim3!X25</f>
        <v/>
      </c>
      <c r="L28" s="25" t="str">
        <f>intrim3!Y25</f>
        <v/>
      </c>
      <c r="M28" s="2"/>
      <c r="N28" s="24" t="str">
        <f>+intrim3!AE25</f>
        <v/>
      </c>
      <c r="O28" s="25" t="str">
        <f>+intrim3!AF25</f>
        <v/>
      </c>
      <c r="Q28" s="31" t="str">
        <f t="shared" ca="1" si="0"/>
        <v/>
      </c>
      <c r="R28" s="32" t="str">
        <f t="shared" ca="1" si="1"/>
        <v>Y</v>
      </c>
    </row>
    <row r="29" spans="2:18" x14ac:dyDescent="0.25">
      <c r="B29" s="18" t="str">
        <f ca="1">+intrim3!B26</f>
        <v/>
      </c>
      <c r="C29" s="18" t="str">
        <f ca="1">+intrim3!C26</f>
        <v/>
      </c>
      <c r="D29" s="2"/>
      <c r="E29" s="2"/>
      <c r="F29" s="2"/>
      <c r="G29" s="2"/>
      <c r="H29" s="22" t="str">
        <f ca="1">+intrim3!J26</f>
        <v/>
      </c>
      <c r="I29" s="22" t="str">
        <f ca="1">+intrim3!K26</f>
        <v/>
      </c>
      <c r="J29" s="2"/>
      <c r="K29" s="24" t="str">
        <f>intrim3!X26</f>
        <v/>
      </c>
      <c r="L29" s="25" t="str">
        <f>intrim3!Y26</f>
        <v/>
      </c>
      <c r="M29" s="2"/>
      <c r="N29" s="24" t="str">
        <f>+intrim3!AE26</f>
        <v/>
      </c>
      <c r="O29" s="25" t="str">
        <f>+intrim3!AF26</f>
        <v/>
      </c>
      <c r="Q29" s="31" t="str">
        <f t="shared" ca="1" si="0"/>
        <v/>
      </c>
      <c r="R29" s="32" t="str">
        <f t="shared" ca="1" si="1"/>
        <v>Y</v>
      </c>
    </row>
    <row r="30" spans="2:18" x14ac:dyDescent="0.25">
      <c r="B30" s="18" t="str">
        <f ca="1">+intrim3!B27</f>
        <v/>
      </c>
      <c r="C30" s="18" t="str">
        <f ca="1">+intrim3!C27</f>
        <v/>
      </c>
      <c r="D30" s="2"/>
      <c r="E30" s="2"/>
      <c r="F30" s="2"/>
      <c r="G30" s="2"/>
      <c r="H30" s="22" t="str">
        <f ca="1">+intrim3!J27</f>
        <v/>
      </c>
      <c r="I30" s="22" t="str">
        <f ca="1">+intrim3!K27</f>
        <v/>
      </c>
      <c r="J30" s="2"/>
      <c r="K30" s="24" t="str">
        <f>intrim3!X27</f>
        <v/>
      </c>
      <c r="L30" s="25" t="str">
        <f>intrim3!Y27</f>
        <v/>
      </c>
      <c r="M30" s="2"/>
      <c r="N30" s="24" t="str">
        <f>+intrim3!AE27</f>
        <v/>
      </c>
      <c r="O30" s="25" t="str">
        <f>+intrim3!AF27</f>
        <v/>
      </c>
      <c r="Q30" s="31" t="str">
        <f t="shared" ca="1" si="0"/>
        <v/>
      </c>
      <c r="R30" s="32" t="str">
        <f t="shared" ca="1" si="1"/>
        <v>Y</v>
      </c>
    </row>
    <row r="31" spans="2:18" x14ac:dyDescent="0.25">
      <c r="B31" s="18" t="str">
        <f ca="1">+intrim3!B28</f>
        <v/>
      </c>
      <c r="C31" s="18" t="str">
        <f ca="1">+intrim3!C28</f>
        <v/>
      </c>
      <c r="D31" s="2"/>
      <c r="E31" s="2"/>
      <c r="F31" s="2"/>
      <c r="G31" s="2"/>
      <c r="H31" s="22" t="str">
        <f ca="1">+intrim3!J28</f>
        <v/>
      </c>
      <c r="I31" s="22" t="str">
        <f ca="1">+intrim3!K28</f>
        <v/>
      </c>
      <c r="J31" s="2"/>
      <c r="K31" s="24" t="str">
        <f>intrim3!X28</f>
        <v/>
      </c>
      <c r="L31" s="25" t="str">
        <f>intrim3!Y28</f>
        <v/>
      </c>
      <c r="M31" s="2"/>
      <c r="N31" s="24" t="str">
        <f>+intrim3!AE28</f>
        <v/>
      </c>
      <c r="O31" s="25" t="str">
        <f>+intrim3!AF28</f>
        <v/>
      </c>
      <c r="Q31" s="31" t="str">
        <f t="shared" ca="1" si="0"/>
        <v/>
      </c>
      <c r="R31" s="32" t="str">
        <f t="shared" ca="1" si="1"/>
        <v>Y</v>
      </c>
    </row>
    <row r="32" spans="2:18" x14ac:dyDescent="0.25">
      <c r="B32" s="18" t="str">
        <f ca="1">+intrim3!B29</f>
        <v/>
      </c>
      <c r="C32" s="18" t="str">
        <f ca="1">+intrim3!C29</f>
        <v/>
      </c>
      <c r="D32" s="2"/>
      <c r="E32" s="2"/>
      <c r="F32" s="2"/>
      <c r="G32" s="2"/>
      <c r="H32" s="22" t="str">
        <f ca="1">+intrim3!J29</f>
        <v/>
      </c>
      <c r="I32" s="22" t="str">
        <f ca="1">+intrim3!K29</f>
        <v/>
      </c>
      <c r="J32" s="2"/>
      <c r="K32" s="24" t="str">
        <f>intrim3!X29</f>
        <v/>
      </c>
      <c r="L32" s="25" t="str">
        <f>intrim3!Y29</f>
        <v/>
      </c>
      <c r="M32" s="2"/>
      <c r="N32" s="24" t="str">
        <f>+intrim3!AE29</f>
        <v/>
      </c>
      <c r="O32" s="25" t="str">
        <f>+intrim3!AF29</f>
        <v/>
      </c>
      <c r="Q32" s="31" t="str">
        <f t="shared" ca="1" si="0"/>
        <v/>
      </c>
      <c r="R32" s="32" t="str">
        <f t="shared" ca="1" si="1"/>
        <v>Y</v>
      </c>
    </row>
    <row r="33" spans="2:18" x14ac:dyDescent="0.25">
      <c r="B33" s="18" t="str">
        <f ca="1">+intrim3!B30</f>
        <v/>
      </c>
      <c r="C33" s="18" t="str">
        <f ca="1">+intrim3!C30</f>
        <v/>
      </c>
      <c r="D33" s="2"/>
      <c r="E33" s="2"/>
      <c r="F33" s="2"/>
      <c r="G33" s="2"/>
      <c r="H33" s="22" t="str">
        <f ca="1">+intrim3!J30</f>
        <v/>
      </c>
      <c r="I33" s="22" t="str">
        <f ca="1">+intrim3!K30</f>
        <v/>
      </c>
      <c r="J33" s="2"/>
      <c r="K33" s="24" t="str">
        <f>intrim3!X30</f>
        <v/>
      </c>
      <c r="L33" s="25" t="str">
        <f>intrim3!Y30</f>
        <v/>
      </c>
      <c r="M33" s="2"/>
      <c r="N33" s="24" t="str">
        <f>+intrim3!AE30</f>
        <v/>
      </c>
      <c r="O33" s="25" t="str">
        <f>+intrim3!AF30</f>
        <v/>
      </c>
      <c r="Q33" s="31" t="str">
        <f t="shared" ca="1" si="0"/>
        <v/>
      </c>
      <c r="R33" s="32" t="str">
        <f t="shared" ca="1" si="1"/>
        <v>Y</v>
      </c>
    </row>
    <row r="34" spans="2:18" x14ac:dyDescent="0.25">
      <c r="B34" s="18" t="str">
        <f ca="1">+intrim3!B31</f>
        <v/>
      </c>
      <c r="C34" s="18" t="str">
        <f ca="1">+intrim3!C31</f>
        <v/>
      </c>
      <c r="D34" s="2"/>
      <c r="E34" s="2"/>
      <c r="F34" s="2"/>
      <c r="G34" s="2"/>
      <c r="H34" s="22" t="str">
        <f ca="1">+intrim3!J31</f>
        <v/>
      </c>
      <c r="I34" s="22" t="str">
        <f ca="1">+intrim3!K31</f>
        <v/>
      </c>
      <c r="J34" s="2"/>
      <c r="K34" s="24" t="str">
        <f>intrim3!X31</f>
        <v/>
      </c>
      <c r="L34" s="25" t="str">
        <f>intrim3!Y31</f>
        <v/>
      </c>
      <c r="M34" s="2"/>
      <c r="N34" s="24" t="str">
        <f>+intrim3!AE31</f>
        <v/>
      </c>
      <c r="O34" s="25" t="str">
        <f>+intrim3!AF31</f>
        <v/>
      </c>
      <c r="Q34" s="31" t="str">
        <f t="shared" ca="1" si="0"/>
        <v/>
      </c>
      <c r="R34" s="32" t="str">
        <f t="shared" ca="1" si="1"/>
        <v>Y</v>
      </c>
    </row>
    <row r="35" spans="2:18" x14ac:dyDescent="0.25">
      <c r="B35" s="18" t="str">
        <f ca="1">+intrim3!B32</f>
        <v/>
      </c>
      <c r="C35" s="18" t="str">
        <f ca="1">+intrim3!C32</f>
        <v/>
      </c>
      <c r="D35" s="2"/>
      <c r="E35" s="2"/>
      <c r="F35" s="2"/>
      <c r="G35" s="2"/>
      <c r="H35" s="22" t="str">
        <f ca="1">+intrim3!J32</f>
        <v/>
      </c>
      <c r="I35" s="22" t="str">
        <f ca="1">+intrim3!K32</f>
        <v/>
      </c>
      <c r="J35" s="2"/>
      <c r="K35" s="24" t="str">
        <f>intrim3!X32</f>
        <v/>
      </c>
      <c r="L35" s="25" t="str">
        <f>intrim3!Y32</f>
        <v/>
      </c>
      <c r="M35" s="2"/>
      <c r="N35" s="24" t="str">
        <f>+intrim3!AE32</f>
        <v/>
      </c>
      <c r="O35" s="25" t="str">
        <f>+intrim3!AF32</f>
        <v/>
      </c>
      <c r="Q35" s="31" t="str">
        <f t="shared" ca="1" si="0"/>
        <v/>
      </c>
      <c r="R35" s="32" t="str">
        <f t="shared" ca="1" si="1"/>
        <v>Y</v>
      </c>
    </row>
    <row r="36" spans="2:18" x14ac:dyDescent="0.25">
      <c r="B36" s="18" t="str">
        <f ca="1">+intrim3!B33</f>
        <v/>
      </c>
      <c r="C36" s="18" t="str">
        <f ca="1">+intrim3!C33</f>
        <v/>
      </c>
      <c r="D36" s="2"/>
      <c r="E36" s="2"/>
      <c r="F36" s="2"/>
      <c r="G36" s="2"/>
      <c r="H36" s="22" t="str">
        <f ca="1">+intrim3!J33</f>
        <v/>
      </c>
      <c r="I36" s="22" t="str">
        <f ca="1">+intrim3!K33</f>
        <v/>
      </c>
      <c r="J36" s="2"/>
      <c r="K36" s="24" t="str">
        <f>intrim3!X33</f>
        <v/>
      </c>
      <c r="L36" s="25" t="str">
        <f>intrim3!Y33</f>
        <v/>
      </c>
      <c r="M36" s="2"/>
      <c r="N36" s="24" t="str">
        <f>+intrim3!AE33</f>
        <v/>
      </c>
      <c r="O36" s="25" t="str">
        <f>+intrim3!AF33</f>
        <v/>
      </c>
      <c r="Q36" s="31" t="str">
        <f t="shared" ca="1" si="0"/>
        <v/>
      </c>
      <c r="R36" s="32" t="str">
        <f t="shared" ca="1" si="1"/>
        <v>Y</v>
      </c>
    </row>
    <row r="37" spans="2:18" x14ac:dyDescent="0.25">
      <c r="B37" s="18" t="str">
        <f ca="1">+intrim3!B34</f>
        <v/>
      </c>
      <c r="C37" s="18" t="str">
        <f ca="1">+intrim3!C34</f>
        <v/>
      </c>
      <c r="D37" s="2"/>
      <c r="E37" s="2"/>
      <c r="F37" s="2"/>
      <c r="G37" s="2"/>
      <c r="H37" s="22" t="str">
        <f ca="1">+intrim3!J34</f>
        <v/>
      </c>
      <c r="I37" s="22" t="str">
        <f ca="1">+intrim3!K34</f>
        <v/>
      </c>
      <c r="J37" s="2"/>
      <c r="K37" s="24" t="str">
        <f>intrim3!X34</f>
        <v/>
      </c>
      <c r="L37" s="25" t="str">
        <f>intrim3!Y34</f>
        <v/>
      </c>
      <c r="M37" s="2"/>
      <c r="N37" s="24" t="str">
        <f>+intrim3!AE34</f>
        <v/>
      </c>
      <c r="O37" s="25" t="str">
        <f>+intrim3!AF34</f>
        <v/>
      </c>
      <c r="Q37" s="31" t="str">
        <f t="shared" ca="1" si="0"/>
        <v/>
      </c>
      <c r="R37" s="32" t="str">
        <f t="shared" ca="1" si="1"/>
        <v>Y</v>
      </c>
    </row>
    <row r="38" spans="2:18" x14ac:dyDescent="0.25">
      <c r="B38" s="18" t="str">
        <f ca="1">+intrim3!B35</f>
        <v/>
      </c>
      <c r="C38" s="18" t="str">
        <f ca="1">+intrim3!C35</f>
        <v/>
      </c>
      <c r="D38" s="2"/>
      <c r="E38" s="2"/>
      <c r="F38" s="2"/>
      <c r="G38" s="2"/>
      <c r="H38" s="22" t="str">
        <f ca="1">+intrim3!J35</f>
        <v/>
      </c>
      <c r="I38" s="22" t="str">
        <f ca="1">+intrim3!K35</f>
        <v/>
      </c>
      <c r="J38" s="2"/>
      <c r="K38" s="24" t="str">
        <f>intrim3!X35</f>
        <v/>
      </c>
      <c r="L38" s="25" t="str">
        <f>intrim3!Y35</f>
        <v/>
      </c>
      <c r="M38" s="2"/>
      <c r="N38" s="24" t="str">
        <f>+intrim3!AE35</f>
        <v/>
      </c>
      <c r="O38" s="25" t="str">
        <f>+intrim3!AF35</f>
        <v/>
      </c>
      <c r="Q38" s="31" t="str">
        <f t="shared" ca="1" si="0"/>
        <v/>
      </c>
      <c r="R38" s="32" t="str">
        <f t="shared" ca="1" si="1"/>
        <v>Y</v>
      </c>
    </row>
    <row r="39" spans="2:18" x14ac:dyDescent="0.25">
      <c r="B39" s="18" t="str">
        <f ca="1">+intrim3!B36</f>
        <v/>
      </c>
      <c r="C39" s="18" t="str">
        <f ca="1">+intrim3!C36</f>
        <v/>
      </c>
      <c r="D39" s="2"/>
      <c r="E39" s="2"/>
      <c r="F39" s="2"/>
      <c r="G39" s="2"/>
      <c r="H39" s="22" t="str">
        <f ca="1">+intrim3!J36</f>
        <v/>
      </c>
      <c r="I39" s="22" t="str">
        <f ca="1">+intrim3!K36</f>
        <v/>
      </c>
      <c r="J39" s="2"/>
      <c r="K39" s="24" t="str">
        <f>intrim3!X36</f>
        <v/>
      </c>
      <c r="L39" s="25" t="str">
        <f>intrim3!Y36</f>
        <v/>
      </c>
      <c r="M39" s="2"/>
      <c r="N39" s="24" t="str">
        <f>+intrim3!AE36</f>
        <v/>
      </c>
      <c r="O39" s="25" t="str">
        <f>+intrim3!AF36</f>
        <v/>
      </c>
      <c r="Q39" s="31" t="str">
        <f t="shared" ca="1" si="0"/>
        <v/>
      </c>
      <c r="R39" s="32" t="str">
        <f t="shared" ca="1" si="1"/>
        <v>Y</v>
      </c>
    </row>
    <row r="40" spans="2:18" x14ac:dyDescent="0.25">
      <c r="B40" s="18" t="str">
        <f ca="1">+intrim3!B37</f>
        <v/>
      </c>
      <c r="C40" s="18" t="str">
        <f ca="1">+intrim3!C37</f>
        <v/>
      </c>
      <c r="D40" s="2"/>
      <c r="E40" s="2"/>
      <c r="F40" s="2"/>
      <c r="G40" s="2"/>
      <c r="H40" s="22" t="str">
        <f ca="1">+intrim3!J37</f>
        <v/>
      </c>
      <c r="I40" s="22" t="str">
        <f ca="1">+intrim3!K37</f>
        <v/>
      </c>
      <c r="J40" s="2"/>
      <c r="K40" s="24" t="str">
        <f>intrim3!X37</f>
        <v/>
      </c>
      <c r="L40" s="25" t="str">
        <f>intrim3!Y37</f>
        <v/>
      </c>
      <c r="M40" s="2"/>
      <c r="N40" s="24" t="str">
        <f>+intrim3!AE37</f>
        <v/>
      </c>
      <c r="O40" s="25" t="str">
        <f>+intrim3!AF37</f>
        <v/>
      </c>
      <c r="Q40" s="31" t="str">
        <f t="shared" ca="1" si="0"/>
        <v/>
      </c>
      <c r="R40" s="32" t="str">
        <f t="shared" ca="1" si="1"/>
        <v>Y</v>
      </c>
    </row>
    <row r="41" spans="2:18" x14ac:dyDescent="0.25">
      <c r="B41" s="18" t="str">
        <f ca="1">+intrim3!B38</f>
        <v/>
      </c>
      <c r="C41" s="18" t="str">
        <f ca="1">+intrim3!C38</f>
        <v/>
      </c>
      <c r="D41" s="2"/>
      <c r="E41" s="2"/>
      <c r="F41" s="2"/>
      <c r="G41" s="2"/>
      <c r="H41" s="22" t="str">
        <f ca="1">+intrim3!J38</f>
        <v/>
      </c>
      <c r="I41" s="22" t="str">
        <f ca="1">+intrim3!K38</f>
        <v/>
      </c>
      <c r="J41" s="2"/>
      <c r="K41" s="24" t="str">
        <f>intrim3!X38</f>
        <v/>
      </c>
      <c r="L41" s="25" t="str">
        <f>intrim3!Y38</f>
        <v/>
      </c>
      <c r="M41" s="2"/>
      <c r="N41" s="24" t="str">
        <f>+intrim3!AE38</f>
        <v/>
      </c>
      <c r="O41" s="25" t="str">
        <f>+intrim3!AF38</f>
        <v/>
      </c>
      <c r="Q41" s="31" t="str">
        <f t="shared" ca="1" si="0"/>
        <v/>
      </c>
      <c r="R41" s="32" t="str">
        <f t="shared" ca="1" si="1"/>
        <v>Y</v>
      </c>
    </row>
    <row r="42" spans="2:18" x14ac:dyDescent="0.25">
      <c r="B42" s="18" t="str">
        <f ca="1">+intrim3!B39</f>
        <v/>
      </c>
      <c r="C42" s="18" t="str">
        <f ca="1">+intrim3!C39</f>
        <v/>
      </c>
      <c r="D42" s="2"/>
      <c r="E42" s="2"/>
      <c r="F42" s="2"/>
      <c r="G42" s="2"/>
      <c r="H42" s="22" t="str">
        <f ca="1">+intrim3!J39</f>
        <v/>
      </c>
      <c r="I42" s="22" t="str">
        <f ca="1">+intrim3!K39</f>
        <v/>
      </c>
      <c r="J42" s="2"/>
      <c r="K42" s="24" t="str">
        <f>intrim3!X39</f>
        <v/>
      </c>
      <c r="L42" s="25" t="str">
        <f>intrim3!Y39</f>
        <v/>
      </c>
      <c r="M42" s="2"/>
      <c r="N42" s="24" t="str">
        <f>+intrim3!AE39</f>
        <v/>
      </c>
      <c r="O42" s="25" t="str">
        <f>+intrim3!AF39</f>
        <v/>
      </c>
      <c r="Q42" s="31" t="str">
        <f t="shared" ca="1" si="0"/>
        <v/>
      </c>
      <c r="R42" s="32" t="str">
        <f t="shared" ca="1" si="1"/>
        <v>Y</v>
      </c>
    </row>
    <row r="43" spans="2:18" x14ac:dyDescent="0.25">
      <c r="B43" s="18" t="str">
        <f ca="1">+intrim3!B40</f>
        <v/>
      </c>
      <c r="C43" s="18" t="str">
        <f ca="1">+intrim3!C40</f>
        <v/>
      </c>
      <c r="D43" s="2"/>
      <c r="E43" s="2"/>
      <c r="F43" s="2"/>
      <c r="G43" s="2"/>
      <c r="H43" s="22" t="str">
        <f ca="1">+intrim3!J40</f>
        <v/>
      </c>
      <c r="I43" s="22" t="str">
        <f ca="1">+intrim3!K40</f>
        <v/>
      </c>
      <c r="J43" s="2"/>
      <c r="K43" s="24" t="str">
        <f>intrim3!X40</f>
        <v/>
      </c>
      <c r="L43" s="25" t="str">
        <f>intrim3!Y40</f>
        <v/>
      </c>
      <c r="M43" s="2"/>
      <c r="N43" s="24" t="str">
        <f>+intrim3!AE40</f>
        <v/>
      </c>
      <c r="O43" s="25" t="str">
        <f>+intrim3!AF40</f>
        <v/>
      </c>
      <c r="Q43" s="31" t="str">
        <f t="shared" ca="1" si="0"/>
        <v/>
      </c>
      <c r="R43" s="32" t="str">
        <f t="shared" ca="1" si="1"/>
        <v>Y</v>
      </c>
    </row>
    <row r="44" spans="2:18" x14ac:dyDescent="0.25">
      <c r="B44" s="18" t="str">
        <f ca="1">+intrim3!B41</f>
        <v/>
      </c>
      <c r="C44" s="18" t="str">
        <f ca="1">+intrim3!C41</f>
        <v/>
      </c>
      <c r="D44" s="2"/>
      <c r="E44" s="2"/>
      <c r="F44" s="2"/>
      <c r="G44" s="2"/>
      <c r="H44" s="22" t="str">
        <f ca="1">+intrim3!J41</f>
        <v/>
      </c>
      <c r="I44" s="22" t="str">
        <f ca="1">+intrim3!K41</f>
        <v/>
      </c>
      <c r="J44" s="2"/>
      <c r="K44" s="24" t="str">
        <f>intrim3!X41</f>
        <v/>
      </c>
      <c r="L44" s="25" t="str">
        <f>intrim3!Y41</f>
        <v/>
      </c>
      <c r="M44" s="2"/>
      <c r="N44" s="24" t="str">
        <f>+intrim3!AE41</f>
        <v/>
      </c>
      <c r="O44" s="25" t="str">
        <f>+intrim3!AF41</f>
        <v/>
      </c>
      <c r="Q44" s="31" t="str">
        <f t="shared" ca="1" si="0"/>
        <v/>
      </c>
      <c r="R44" s="32" t="str">
        <f t="shared" ca="1" si="1"/>
        <v>Y</v>
      </c>
    </row>
    <row r="45" spans="2:18" x14ac:dyDescent="0.25">
      <c r="B45" s="18" t="str">
        <f ca="1">+intrim3!B42</f>
        <v/>
      </c>
      <c r="C45" s="18" t="str">
        <f ca="1">+intrim3!C42</f>
        <v/>
      </c>
      <c r="D45" s="2"/>
      <c r="E45" s="2"/>
      <c r="F45" s="2"/>
      <c r="G45" s="2"/>
      <c r="H45" s="22" t="str">
        <f ca="1">+intrim3!J42</f>
        <v/>
      </c>
      <c r="I45" s="22" t="str">
        <f ca="1">+intrim3!K42</f>
        <v/>
      </c>
      <c r="J45" s="2"/>
      <c r="K45" s="24" t="str">
        <f>intrim3!X42</f>
        <v/>
      </c>
      <c r="L45" s="25" t="str">
        <f>intrim3!Y42</f>
        <v/>
      </c>
      <c r="M45" s="2"/>
      <c r="N45" s="24" t="str">
        <f>+intrim3!AE42</f>
        <v/>
      </c>
      <c r="O45" s="25" t="str">
        <f>+intrim3!AF42</f>
        <v/>
      </c>
      <c r="Q45" s="31" t="str">
        <f t="shared" ca="1" si="0"/>
        <v/>
      </c>
      <c r="R45" s="32" t="str">
        <f t="shared" ca="1" si="1"/>
        <v>Y</v>
      </c>
    </row>
    <row r="46" spans="2:18" x14ac:dyDescent="0.25">
      <c r="B46" s="18" t="str">
        <f ca="1">+intrim3!B43</f>
        <v/>
      </c>
      <c r="C46" s="18" t="str">
        <f ca="1">+intrim3!C43</f>
        <v/>
      </c>
      <c r="D46" s="2"/>
      <c r="E46" s="2"/>
      <c r="F46" s="2"/>
      <c r="G46" s="2"/>
      <c r="H46" s="22" t="str">
        <f ca="1">+intrim3!J43</f>
        <v/>
      </c>
      <c r="I46" s="22" t="str">
        <f ca="1">+intrim3!K43</f>
        <v/>
      </c>
      <c r="J46" s="2"/>
      <c r="K46" s="24" t="str">
        <f>intrim3!X43</f>
        <v/>
      </c>
      <c r="L46" s="25" t="str">
        <f>intrim3!Y43</f>
        <v/>
      </c>
      <c r="M46" s="2"/>
      <c r="N46" s="24" t="str">
        <f>+intrim3!AE43</f>
        <v/>
      </c>
      <c r="O46" s="25" t="str">
        <f>+intrim3!AF43</f>
        <v/>
      </c>
      <c r="Q46" s="31" t="str">
        <f t="shared" ca="1" si="0"/>
        <v/>
      </c>
      <c r="R46" s="32" t="str">
        <f t="shared" ca="1" si="1"/>
        <v>Y</v>
      </c>
    </row>
    <row r="47" spans="2:18" x14ac:dyDescent="0.25">
      <c r="B47" s="18" t="str">
        <f ca="1">+intrim3!B44</f>
        <v/>
      </c>
      <c r="C47" s="18" t="str">
        <f ca="1">+intrim3!C44</f>
        <v/>
      </c>
      <c r="D47" s="2"/>
      <c r="E47" s="2"/>
      <c r="F47" s="2"/>
      <c r="G47" s="2"/>
      <c r="H47" s="22" t="str">
        <f ca="1">+intrim3!J44</f>
        <v/>
      </c>
      <c r="I47" s="22" t="str">
        <f ca="1">+intrim3!K44</f>
        <v/>
      </c>
      <c r="J47" s="2"/>
      <c r="K47" s="24" t="str">
        <f>intrim3!X44</f>
        <v/>
      </c>
      <c r="L47" s="25" t="str">
        <f>intrim3!Y44</f>
        <v/>
      </c>
      <c r="M47" s="2"/>
      <c r="N47" s="24" t="str">
        <f>+intrim3!AE44</f>
        <v/>
      </c>
      <c r="O47" s="25" t="str">
        <f>+intrim3!AF44</f>
        <v/>
      </c>
      <c r="Q47" s="31" t="str">
        <f t="shared" ca="1" si="0"/>
        <v/>
      </c>
      <c r="R47" s="32" t="str">
        <f t="shared" ca="1" si="1"/>
        <v>Y</v>
      </c>
    </row>
    <row r="48" spans="2:18" x14ac:dyDescent="0.25">
      <c r="B48" s="18" t="str">
        <f ca="1">+intrim3!B45</f>
        <v/>
      </c>
      <c r="C48" s="18" t="str">
        <f ca="1">+intrim3!C45</f>
        <v/>
      </c>
      <c r="D48" s="2"/>
      <c r="E48" s="2"/>
      <c r="F48" s="2"/>
      <c r="G48" s="2"/>
      <c r="H48" s="22" t="str">
        <f ca="1">+intrim3!J45</f>
        <v/>
      </c>
      <c r="I48" s="22" t="str">
        <f ca="1">+intrim3!K45</f>
        <v/>
      </c>
      <c r="J48" s="2"/>
      <c r="K48" s="24" t="str">
        <f>intrim3!X45</f>
        <v/>
      </c>
      <c r="L48" s="25" t="str">
        <f>intrim3!Y45</f>
        <v/>
      </c>
      <c r="M48" s="2"/>
      <c r="N48" s="24" t="str">
        <f>+intrim3!AE45</f>
        <v/>
      </c>
      <c r="O48" s="25" t="str">
        <f>+intrim3!AF45</f>
        <v/>
      </c>
      <c r="Q48" s="31" t="str">
        <f t="shared" ca="1" si="0"/>
        <v/>
      </c>
      <c r="R48" s="32" t="str">
        <f t="shared" ca="1" si="1"/>
        <v>Y</v>
      </c>
    </row>
    <row r="49" spans="2:18" x14ac:dyDescent="0.25">
      <c r="B49" s="18" t="str">
        <f ca="1">+intrim3!B46</f>
        <v/>
      </c>
      <c r="C49" s="18" t="str">
        <f ca="1">+intrim3!C46</f>
        <v/>
      </c>
      <c r="D49" s="2"/>
      <c r="E49" s="2"/>
      <c r="F49" s="2"/>
      <c r="G49" s="2"/>
      <c r="H49" s="22" t="str">
        <f ca="1">+intrim3!J46</f>
        <v/>
      </c>
      <c r="I49" s="22" t="str">
        <f ca="1">+intrim3!K46</f>
        <v/>
      </c>
      <c r="J49" s="2"/>
      <c r="K49" s="24" t="str">
        <f>intrim3!X46</f>
        <v/>
      </c>
      <c r="L49" s="25" t="str">
        <f>intrim3!Y46</f>
        <v/>
      </c>
      <c r="M49" s="2"/>
      <c r="N49" s="24" t="str">
        <f>+intrim3!AE46</f>
        <v/>
      </c>
      <c r="O49" s="25" t="str">
        <f>+intrim3!AF46</f>
        <v/>
      </c>
      <c r="Q49" s="31" t="str">
        <f t="shared" ca="1" si="0"/>
        <v/>
      </c>
      <c r="R49" s="32" t="str">
        <f t="shared" ca="1" si="1"/>
        <v>Y</v>
      </c>
    </row>
    <row r="50" spans="2:18" x14ac:dyDescent="0.25">
      <c r="B50" s="18" t="str">
        <f ca="1">+intrim3!B47</f>
        <v/>
      </c>
      <c r="C50" s="18" t="str">
        <f ca="1">+intrim3!C47</f>
        <v/>
      </c>
      <c r="D50" s="2"/>
      <c r="E50" s="2"/>
      <c r="F50" s="2"/>
      <c r="G50" s="2"/>
      <c r="H50" s="22" t="str">
        <f ca="1">+intrim3!J47</f>
        <v/>
      </c>
      <c r="I50" s="22" t="str">
        <f ca="1">+intrim3!K47</f>
        <v/>
      </c>
      <c r="J50" s="2"/>
      <c r="K50" s="24" t="str">
        <f>intrim3!X47</f>
        <v/>
      </c>
      <c r="L50" s="25" t="str">
        <f>intrim3!Y47</f>
        <v/>
      </c>
      <c r="M50" s="2"/>
      <c r="N50" s="24" t="str">
        <f>+intrim3!AE47</f>
        <v/>
      </c>
      <c r="O50" s="25" t="str">
        <f>+intrim3!AF47</f>
        <v/>
      </c>
      <c r="Q50" s="31" t="str">
        <f t="shared" ca="1" si="0"/>
        <v/>
      </c>
      <c r="R50" s="32" t="str">
        <f t="shared" ca="1" si="1"/>
        <v>Y</v>
      </c>
    </row>
    <row r="51" spans="2:18" x14ac:dyDescent="0.25">
      <c r="B51" s="18" t="str">
        <f ca="1">+intrim3!B48</f>
        <v/>
      </c>
      <c r="C51" s="18" t="str">
        <f ca="1">+intrim3!C48</f>
        <v/>
      </c>
      <c r="D51" s="2"/>
      <c r="E51" s="2"/>
      <c r="F51" s="2"/>
      <c r="G51" s="2"/>
      <c r="H51" s="22" t="str">
        <f ca="1">+intrim3!J48</f>
        <v/>
      </c>
      <c r="I51" s="22" t="str">
        <f ca="1">+intrim3!K48</f>
        <v/>
      </c>
      <c r="J51" s="2"/>
      <c r="K51" s="24" t="str">
        <f>intrim3!X48</f>
        <v/>
      </c>
      <c r="L51" s="25" t="str">
        <f>intrim3!Y48</f>
        <v/>
      </c>
      <c r="M51" s="2"/>
      <c r="N51" s="24" t="str">
        <f>+intrim3!AE48</f>
        <v/>
      </c>
      <c r="O51" s="25" t="str">
        <f>+intrim3!AF48</f>
        <v/>
      </c>
      <c r="Q51" s="31" t="str">
        <f t="shared" ca="1" si="0"/>
        <v/>
      </c>
      <c r="R51" s="32" t="str">
        <f t="shared" ca="1" si="1"/>
        <v>Y</v>
      </c>
    </row>
    <row r="52" spans="2:18" x14ac:dyDescent="0.25">
      <c r="B52" s="18" t="str">
        <f ca="1">+intrim3!B49</f>
        <v/>
      </c>
      <c r="C52" s="18" t="str">
        <f ca="1">+intrim3!C49</f>
        <v/>
      </c>
      <c r="D52" s="2"/>
      <c r="E52" s="2"/>
      <c r="F52" s="2"/>
      <c r="G52" s="2"/>
      <c r="H52" s="22" t="str">
        <f ca="1">+intrim3!J49</f>
        <v/>
      </c>
      <c r="I52" s="22" t="str">
        <f ca="1">+intrim3!K49</f>
        <v/>
      </c>
      <c r="J52" s="2"/>
      <c r="K52" s="24" t="str">
        <f>intrim3!X49</f>
        <v/>
      </c>
      <c r="L52" s="25" t="str">
        <f>intrim3!Y49</f>
        <v/>
      </c>
      <c r="M52" s="2"/>
      <c r="N52" s="24" t="str">
        <f>+intrim3!AE49</f>
        <v/>
      </c>
      <c r="O52" s="25" t="str">
        <f>+intrim3!AF49</f>
        <v/>
      </c>
      <c r="Q52" s="31" t="str">
        <f t="shared" ca="1" si="0"/>
        <v/>
      </c>
      <c r="R52" s="32" t="str">
        <f t="shared" ca="1" si="1"/>
        <v>Y</v>
      </c>
    </row>
    <row r="53" spans="2:18" x14ac:dyDescent="0.25">
      <c r="B53" s="18" t="str">
        <f ca="1">+intrim3!B50</f>
        <v/>
      </c>
      <c r="C53" s="18" t="str">
        <f ca="1">+intrim3!C50</f>
        <v/>
      </c>
      <c r="D53" s="2"/>
      <c r="E53" s="2"/>
      <c r="F53" s="2"/>
      <c r="G53" s="2"/>
      <c r="H53" s="22" t="str">
        <f ca="1">+intrim3!J50</f>
        <v/>
      </c>
      <c r="I53" s="22" t="str">
        <f ca="1">+intrim3!K50</f>
        <v/>
      </c>
      <c r="J53" s="2"/>
      <c r="K53" s="24" t="str">
        <f>intrim3!X50</f>
        <v/>
      </c>
      <c r="L53" s="25" t="str">
        <f>intrim3!Y50</f>
        <v/>
      </c>
      <c r="M53" s="2"/>
      <c r="N53" s="24" t="str">
        <f>+intrim3!AE50</f>
        <v/>
      </c>
      <c r="O53" s="25" t="str">
        <f>+intrim3!AF50</f>
        <v/>
      </c>
      <c r="Q53" s="31" t="str">
        <f t="shared" ca="1" si="0"/>
        <v/>
      </c>
      <c r="R53" s="32" t="str">
        <f t="shared" ca="1" si="1"/>
        <v>Y</v>
      </c>
    </row>
    <row r="54" spans="2:18" x14ac:dyDescent="0.25">
      <c r="B54" s="18" t="str">
        <f ca="1">+intrim3!B51</f>
        <v/>
      </c>
      <c r="C54" s="18" t="str">
        <f ca="1">+intrim3!C51</f>
        <v/>
      </c>
      <c r="D54" s="2"/>
      <c r="E54" s="2"/>
      <c r="F54" s="2"/>
      <c r="G54" s="2"/>
      <c r="H54" s="22" t="str">
        <f ca="1">+intrim3!J51</f>
        <v/>
      </c>
      <c r="I54" s="22" t="str">
        <f ca="1">+intrim3!K51</f>
        <v/>
      </c>
      <c r="J54" s="2"/>
      <c r="K54" s="24" t="str">
        <f>intrim3!X51</f>
        <v/>
      </c>
      <c r="L54" s="25" t="str">
        <f>intrim3!Y51</f>
        <v/>
      </c>
      <c r="M54" s="2"/>
      <c r="N54" s="24" t="str">
        <f>+intrim3!AE51</f>
        <v/>
      </c>
      <c r="O54" s="25" t="str">
        <f>+intrim3!AF51</f>
        <v/>
      </c>
      <c r="Q54" s="31" t="str">
        <f t="shared" ca="1" si="0"/>
        <v/>
      </c>
      <c r="R54" s="32" t="str">
        <f t="shared" ca="1" si="1"/>
        <v>Y</v>
      </c>
    </row>
    <row r="55" spans="2:18" x14ac:dyDescent="0.25">
      <c r="B55" s="18" t="str">
        <f ca="1">+intrim3!B52</f>
        <v/>
      </c>
      <c r="C55" s="18" t="str">
        <f ca="1">+intrim3!C52</f>
        <v/>
      </c>
      <c r="D55" s="2"/>
      <c r="E55" s="2"/>
      <c r="F55" s="2"/>
      <c r="G55" s="2"/>
      <c r="H55" s="22" t="str">
        <f ca="1">+intrim3!J52</f>
        <v/>
      </c>
      <c r="I55" s="22" t="str">
        <f ca="1">+intrim3!K52</f>
        <v/>
      </c>
      <c r="J55" s="2"/>
      <c r="K55" s="24" t="str">
        <f>intrim3!X52</f>
        <v/>
      </c>
      <c r="L55" s="25" t="str">
        <f>intrim3!Y52</f>
        <v/>
      </c>
      <c r="M55" s="2"/>
      <c r="N55" s="24" t="str">
        <f>+intrim3!AE52</f>
        <v/>
      </c>
      <c r="O55" s="25" t="str">
        <f>+intrim3!AF52</f>
        <v/>
      </c>
      <c r="Q55" s="31" t="str">
        <f t="shared" ca="1" si="0"/>
        <v/>
      </c>
      <c r="R55" s="32" t="str">
        <f t="shared" ca="1" si="1"/>
        <v>Y</v>
      </c>
    </row>
    <row r="56" spans="2:18" x14ac:dyDescent="0.25">
      <c r="B56" s="18" t="str">
        <f ca="1">+intrim3!B53</f>
        <v/>
      </c>
      <c r="C56" s="18" t="str">
        <f ca="1">+intrim3!C53</f>
        <v/>
      </c>
      <c r="D56" s="2"/>
      <c r="E56" s="2"/>
      <c r="F56" s="2"/>
      <c r="G56" s="2"/>
      <c r="H56" s="22" t="str">
        <f ca="1">+intrim3!J53</f>
        <v/>
      </c>
      <c r="I56" s="22" t="str">
        <f ca="1">+intrim3!K53</f>
        <v/>
      </c>
      <c r="J56" s="2"/>
      <c r="K56" s="24" t="str">
        <f>intrim3!X53</f>
        <v/>
      </c>
      <c r="L56" s="25" t="str">
        <f>intrim3!Y53</f>
        <v/>
      </c>
      <c r="M56" s="2"/>
      <c r="N56" s="24" t="str">
        <f>+intrim3!AE53</f>
        <v/>
      </c>
      <c r="O56" s="25" t="str">
        <f>+intrim3!AF53</f>
        <v/>
      </c>
      <c r="Q56" s="31" t="str">
        <f t="shared" ca="1" si="0"/>
        <v/>
      </c>
      <c r="R56" s="32" t="str">
        <f t="shared" ca="1" si="1"/>
        <v>Y</v>
      </c>
    </row>
    <row r="57" spans="2:18" x14ac:dyDescent="0.25">
      <c r="B57" s="18" t="str">
        <f ca="1">+intrim3!B54</f>
        <v/>
      </c>
      <c r="C57" s="18" t="str">
        <f ca="1">+intrim3!C54</f>
        <v/>
      </c>
      <c r="D57" s="2"/>
      <c r="E57" s="2"/>
      <c r="F57" s="2"/>
      <c r="G57" s="2"/>
      <c r="H57" s="22" t="str">
        <f ca="1">+intrim3!J54</f>
        <v/>
      </c>
      <c r="I57" s="22" t="str">
        <f ca="1">+intrim3!K54</f>
        <v/>
      </c>
      <c r="J57" s="2"/>
      <c r="K57" s="24" t="str">
        <f>intrim3!X54</f>
        <v/>
      </c>
      <c r="L57" s="25" t="str">
        <f>intrim3!Y54</f>
        <v/>
      </c>
      <c r="M57" s="2"/>
      <c r="N57" s="24" t="str">
        <f>+intrim3!AE54</f>
        <v/>
      </c>
      <c r="O57" s="25" t="str">
        <f>+intrim3!AF54</f>
        <v/>
      </c>
      <c r="Q57" s="31" t="str">
        <f t="shared" ca="1" si="0"/>
        <v/>
      </c>
      <c r="R57" s="32" t="str">
        <f t="shared" ca="1" si="1"/>
        <v>Y</v>
      </c>
    </row>
    <row r="58" spans="2:18" x14ac:dyDescent="0.25">
      <c r="B58" s="18" t="str">
        <f ca="1">+intrim3!B55</f>
        <v/>
      </c>
      <c r="C58" s="18" t="str">
        <f ca="1">+intrim3!C55</f>
        <v/>
      </c>
      <c r="D58" s="2"/>
      <c r="E58" s="2"/>
      <c r="F58" s="2"/>
      <c r="G58" s="2"/>
      <c r="H58" s="22" t="str">
        <f ca="1">+intrim3!J55</f>
        <v/>
      </c>
      <c r="I58" s="22" t="str">
        <f ca="1">+intrim3!K55</f>
        <v/>
      </c>
      <c r="J58" s="2"/>
      <c r="K58" s="24" t="str">
        <f>intrim3!X55</f>
        <v/>
      </c>
      <c r="L58" s="25" t="str">
        <f>intrim3!Y55</f>
        <v/>
      </c>
      <c r="M58" s="2"/>
      <c r="N58" s="24" t="str">
        <f>+intrim3!AE55</f>
        <v/>
      </c>
      <c r="O58" s="25" t="str">
        <f>+intrim3!AF55</f>
        <v/>
      </c>
      <c r="Q58" s="31" t="str">
        <f t="shared" ca="1" si="0"/>
        <v/>
      </c>
      <c r="R58" s="32" t="str">
        <f t="shared" ca="1" si="1"/>
        <v>Y</v>
      </c>
    </row>
    <row r="59" spans="2:18" x14ac:dyDescent="0.25">
      <c r="B59" s="18" t="str">
        <f ca="1">+intrim3!B56</f>
        <v/>
      </c>
      <c r="C59" s="18" t="str">
        <f ca="1">+intrim3!C56</f>
        <v/>
      </c>
      <c r="D59" s="2"/>
      <c r="E59" s="2"/>
      <c r="F59" s="2"/>
      <c r="G59" s="2"/>
      <c r="H59" s="22" t="str">
        <f ca="1">+intrim3!J56</f>
        <v/>
      </c>
      <c r="I59" s="22" t="str">
        <f ca="1">+intrim3!K56</f>
        <v/>
      </c>
      <c r="J59" s="2"/>
      <c r="K59" s="24" t="str">
        <f>intrim3!X56</f>
        <v/>
      </c>
      <c r="L59" s="25" t="str">
        <f>intrim3!Y56</f>
        <v/>
      </c>
      <c r="M59" s="2"/>
      <c r="N59" s="24" t="str">
        <f>+intrim3!AE56</f>
        <v/>
      </c>
      <c r="O59" s="25" t="str">
        <f>+intrim3!AF56</f>
        <v/>
      </c>
      <c r="Q59" s="31" t="str">
        <f t="shared" ca="1" si="0"/>
        <v/>
      </c>
      <c r="R59" s="32" t="str">
        <f t="shared" ca="1" si="1"/>
        <v>Y</v>
      </c>
    </row>
    <row r="60" spans="2:18" x14ac:dyDescent="0.25">
      <c r="B60" s="18" t="str">
        <f ca="1">+intrim3!B57</f>
        <v/>
      </c>
      <c r="C60" s="18" t="str">
        <f ca="1">+intrim3!C57</f>
        <v/>
      </c>
      <c r="D60" s="2"/>
      <c r="E60" s="2"/>
      <c r="F60" s="2"/>
      <c r="G60" s="2"/>
      <c r="H60" s="22" t="str">
        <f ca="1">+intrim3!J57</f>
        <v/>
      </c>
      <c r="I60" s="22" t="str">
        <f ca="1">+intrim3!K57</f>
        <v/>
      </c>
      <c r="J60" s="2"/>
      <c r="K60" s="24" t="str">
        <f>intrim3!X57</f>
        <v/>
      </c>
      <c r="L60" s="25" t="str">
        <f>intrim3!Y57</f>
        <v/>
      </c>
      <c r="M60" s="2"/>
      <c r="N60" s="24" t="str">
        <f>+intrim3!AE57</f>
        <v/>
      </c>
      <c r="O60" s="25" t="str">
        <f>+intrim3!AF57</f>
        <v/>
      </c>
      <c r="Q60" s="31" t="str">
        <f t="shared" ca="1" si="0"/>
        <v/>
      </c>
      <c r="R60" s="32" t="str">
        <f t="shared" ca="1" si="1"/>
        <v>Y</v>
      </c>
    </row>
    <row r="61" spans="2:18" x14ac:dyDescent="0.25">
      <c r="B61" s="18" t="str">
        <f ca="1">+intrim3!B58</f>
        <v/>
      </c>
      <c r="C61" s="18" t="str">
        <f ca="1">+intrim3!C58</f>
        <v/>
      </c>
      <c r="D61" s="2"/>
      <c r="E61" s="2"/>
      <c r="F61" s="2"/>
      <c r="G61" s="2"/>
      <c r="H61" s="22" t="str">
        <f ca="1">+intrim3!J58</f>
        <v/>
      </c>
      <c r="I61" s="22" t="str">
        <f ca="1">+intrim3!K58</f>
        <v/>
      </c>
      <c r="J61" s="2"/>
      <c r="K61" s="24" t="str">
        <f>intrim3!X58</f>
        <v/>
      </c>
      <c r="L61" s="25" t="str">
        <f>intrim3!Y58</f>
        <v/>
      </c>
      <c r="M61" s="2"/>
      <c r="N61" s="24" t="str">
        <f>+intrim3!AE58</f>
        <v/>
      </c>
      <c r="O61" s="25" t="str">
        <f>+intrim3!AF58</f>
        <v/>
      </c>
      <c r="Q61" s="31" t="str">
        <f t="shared" ca="1" si="0"/>
        <v/>
      </c>
      <c r="R61" s="32" t="str">
        <f t="shared" ca="1" si="1"/>
        <v>Y</v>
      </c>
    </row>
    <row r="62" spans="2:18" x14ac:dyDescent="0.25">
      <c r="B62" s="18" t="str">
        <f ca="1">+intrim3!B59</f>
        <v/>
      </c>
      <c r="C62" s="18" t="str">
        <f ca="1">+intrim3!C59</f>
        <v/>
      </c>
      <c r="D62" s="2"/>
      <c r="E62" s="2"/>
      <c r="F62" s="2"/>
      <c r="G62" s="2"/>
      <c r="H62" s="22" t="str">
        <f ca="1">+intrim3!J59</f>
        <v/>
      </c>
      <c r="I62" s="22" t="str">
        <f ca="1">+intrim3!K59</f>
        <v/>
      </c>
      <c r="J62" s="2"/>
      <c r="K62" s="24" t="str">
        <f>intrim3!X59</f>
        <v/>
      </c>
      <c r="L62" s="25" t="str">
        <f>intrim3!Y59</f>
        <v/>
      </c>
      <c r="M62" s="2"/>
      <c r="N62" s="24" t="str">
        <f>+intrim3!AE59</f>
        <v/>
      </c>
      <c r="O62" s="25" t="str">
        <f>+intrim3!AF59</f>
        <v/>
      </c>
      <c r="Q62" s="31" t="str">
        <f t="shared" ca="1" si="0"/>
        <v/>
      </c>
      <c r="R62" s="32" t="str">
        <f t="shared" ca="1" si="1"/>
        <v>Y</v>
      </c>
    </row>
    <row r="63" spans="2:18" x14ac:dyDescent="0.25">
      <c r="B63" s="18" t="str">
        <f ca="1">+intrim3!B60</f>
        <v/>
      </c>
      <c r="C63" s="18" t="str">
        <f ca="1">+intrim3!C60</f>
        <v/>
      </c>
      <c r="D63" s="2"/>
      <c r="E63" s="2"/>
      <c r="F63" s="2"/>
      <c r="G63" s="2"/>
      <c r="H63" s="22" t="str">
        <f ca="1">+intrim3!J60</f>
        <v/>
      </c>
      <c r="I63" s="22" t="str">
        <f ca="1">+intrim3!K60</f>
        <v/>
      </c>
      <c r="J63" s="2"/>
      <c r="K63" s="24" t="str">
        <f>intrim3!X60</f>
        <v/>
      </c>
      <c r="L63" s="25" t="str">
        <f>intrim3!Y60</f>
        <v/>
      </c>
      <c r="M63" s="2"/>
      <c r="N63" s="24" t="str">
        <f>+intrim3!AE60</f>
        <v/>
      </c>
      <c r="O63" s="25" t="str">
        <f>+intrim3!AF60</f>
        <v/>
      </c>
      <c r="Q63" s="31" t="str">
        <f t="shared" ca="1" si="0"/>
        <v/>
      </c>
      <c r="R63" s="32" t="str">
        <f t="shared" ca="1" si="1"/>
        <v>Y</v>
      </c>
    </row>
    <row r="64" spans="2:18" x14ac:dyDescent="0.25">
      <c r="B64" s="18" t="str">
        <f ca="1">+intrim3!B61</f>
        <v/>
      </c>
      <c r="C64" s="18" t="str">
        <f ca="1">+intrim3!C61</f>
        <v/>
      </c>
      <c r="D64" s="2"/>
      <c r="E64" s="2"/>
      <c r="F64" s="2"/>
      <c r="G64" s="2"/>
      <c r="H64" s="22" t="str">
        <f ca="1">+intrim3!J61</f>
        <v/>
      </c>
      <c r="I64" s="22" t="str">
        <f ca="1">+intrim3!K61</f>
        <v/>
      </c>
      <c r="J64" s="2"/>
      <c r="K64" s="24" t="str">
        <f>intrim3!X61</f>
        <v/>
      </c>
      <c r="L64" s="25" t="str">
        <f>intrim3!Y61</f>
        <v/>
      </c>
      <c r="M64" s="2"/>
      <c r="N64" s="24" t="str">
        <f>+intrim3!AE61</f>
        <v/>
      </c>
      <c r="O64" s="25" t="str">
        <f>+intrim3!AF61</f>
        <v/>
      </c>
      <c r="Q64" s="31" t="str">
        <f t="shared" ca="1" si="0"/>
        <v/>
      </c>
      <c r="R64" s="32" t="str">
        <f t="shared" ca="1" si="1"/>
        <v>Y</v>
      </c>
    </row>
    <row r="65" spans="2:18" x14ac:dyDescent="0.25">
      <c r="B65" s="18" t="str">
        <f ca="1">+intrim3!B62</f>
        <v/>
      </c>
      <c r="C65" s="18" t="str">
        <f ca="1">+intrim3!C62</f>
        <v/>
      </c>
      <c r="D65" s="2"/>
      <c r="E65" s="2"/>
      <c r="F65" s="2"/>
      <c r="G65" s="2"/>
      <c r="H65" s="22" t="str">
        <f ca="1">+intrim3!J62</f>
        <v/>
      </c>
      <c r="I65" s="22" t="str">
        <f ca="1">+intrim3!K62</f>
        <v/>
      </c>
      <c r="J65" s="2"/>
      <c r="K65" s="24" t="str">
        <f>intrim3!X62</f>
        <v/>
      </c>
      <c r="L65" s="25" t="str">
        <f>intrim3!Y62</f>
        <v/>
      </c>
      <c r="M65" s="2"/>
      <c r="N65" s="24" t="str">
        <f>+intrim3!AE62</f>
        <v/>
      </c>
      <c r="O65" s="25" t="str">
        <f>+intrim3!AF62</f>
        <v/>
      </c>
      <c r="Q65" s="31" t="str">
        <f t="shared" ca="1" si="0"/>
        <v/>
      </c>
      <c r="R65" s="32" t="str">
        <f t="shared" ca="1" si="1"/>
        <v>Y</v>
      </c>
    </row>
    <row r="66" spans="2:18" x14ac:dyDescent="0.25">
      <c r="B66" s="18" t="str">
        <f ca="1">+intrim3!B63</f>
        <v/>
      </c>
      <c r="C66" s="18" t="str">
        <f ca="1">+intrim3!C63</f>
        <v/>
      </c>
      <c r="D66" s="2"/>
      <c r="E66" s="2"/>
      <c r="F66" s="2"/>
      <c r="G66" s="2"/>
      <c r="H66" s="22" t="str">
        <f ca="1">+intrim3!J63</f>
        <v/>
      </c>
      <c r="I66" s="22" t="str">
        <f ca="1">+intrim3!K63</f>
        <v/>
      </c>
      <c r="J66" s="2"/>
      <c r="K66" s="24" t="str">
        <f>intrim3!X63</f>
        <v/>
      </c>
      <c r="L66" s="25" t="str">
        <f>intrim3!Y63</f>
        <v/>
      </c>
      <c r="M66" s="2"/>
      <c r="N66" s="24" t="str">
        <f>+intrim3!AE63</f>
        <v/>
      </c>
      <c r="O66" s="25" t="str">
        <f>+intrim3!AF63</f>
        <v/>
      </c>
      <c r="Q66" s="31" t="str">
        <f t="shared" ca="1" si="0"/>
        <v/>
      </c>
      <c r="R66" s="32" t="str">
        <f t="shared" ca="1" si="1"/>
        <v>Y</v>
      </c>
    </row>
    <row r="67" spans="2:18" x14ac:dyDescent="0.25">
      <c r="B67" s="18" t="str">
        <f ca="1">+intrim3!B64</f>
        <v/>
      </c>
      <c r="C67" s="18" t="str">
        <f ca="1">+intrim3!C64</f>
        <v/>
      </c>
      <c r="D67" s="2"/>
      <c r="E67" s="2"/>
      <c r="F67" s="2"/>
      <c r="G67" s="2"/>
      <c r="H67" s="22" t="str">
        <f ca="1">+intrim3!J64</f>
        <v/>
      </c>
      <c r="I67" s="22" t="str">
        <f ca="1">+intrim3!K64</f>
        <v/>
      </c>
      <c r="J67" s="2"/>
      <c r="K67" s="24" t="str">
        <f>intrim3!X64</f>
        <v/>
      </c>
      <c r="L67" s="25" t="str">
        <f>intrim3!Y64</f>
        <v/>
      </c>
      <c r="M67" s="2"/>
      <c r="N67" s="24" t="str">
        <f>+intrim3!AE64</f>
        <v/>
      </c>
      <c r="O67" s="25" t="str">
        <f>+intrim3!AF64</f>
        <v/>
      </c>
      <c r="Q67" s="31" t="str">
        <f t="shared" ca="1" si="0"/>
        <v/>
      </c>
      <c r="R67" s="32" t="str">
        <f t="shared" ca="1" si="1"/>
        <v>Y</v>
      </c>
    </row>
    <row r="68" spans="2:18" x14ac:dyDescent="0.25">
      <c r="B68" s="18" t="str">
        <f ca="1">+intrim3!B65</f>
        <v/>
      </c>
      <c r="C68" s="18" t="str">
        <f ca="1">+intrim3!C65</f>
        <v/>
      </c>
      <c r="D68" s="2"/>
      <c r="E68" s="2"/>
      <c r="F68" s="2"/>
      <c r="G68" s="2"/>
      <c r="H68" s="22" t="str">
        <f ca="1">+intrim3!J65</f>
        <v/>
      </c>
      <c r="I68" s="22" t="str">
        <f ca="1">+intrim3!K65</f>
        <v/>
      </c>
      <c r="J68" s="2"/>
      <c r="K68" s="24" t="str">
        <f>intrim3!X65</f>
        <v/>
      </c>
      <c r="L68" s="25" t="str">
        <f>intrim3!Y65</f>
        <v/>
      </c>
      <c r="M68" s="2"/>
      <c r="N68" s="24" t="str">
        <f>+intrim3!AE65</f>
        <v/>
      </c>
      <c r="O68" s="25" t="str">
        <f>+intrim3!AF65</f>
        <v/>
      </c>
      <c r="Q68" s="31" t="str">
        <f t="shared" ca="1" si="0"/>
        <v/>
      </c>
      <c r="R68" s="32" t="str">
        <f t="shared" ca="1" si="1"/>
        <v>Y</v>
      </c>
    </row>
    <row r="69" spans="2:18" x14ac:dyDescent="0.25">
      <c r="B69" s="18" t="str">
        <f ca="1">+intrim3!B66</f>
        <v/>
      </c>
      <c r="C69" s="18" t="str">
        <f ca="1">+intrim3!C66</f>
        <v/>
      </c>
      <c r="D69" s="2"/>
      <c r="E69" s="2"/>
      <c r="F69" s="2"/>
      <c r="G69" s="2"/>
      <c r="H69" s="22" t="str">
        <f ca="1">+intrim3!J66</f>
        <v/>
      </c>
      <c r="I69" s="22" t="str">
        <f ca="1">+intrim3!K66</f>
        <v/>
      </c>
      <c r="J69" s="2"/>
      <c r="K69" s="24" t="str">
        <f>intrim3!X66</f>
        <v/>
      </c>
      <c r="L69" s="25" t="str">
        <f>intrim3!Y66</f>
        <v/>
      </c>
      <c r="M69" s="2"/>
      <c r="N69" s="24" t="str">
        <f>+intrim3!AE66</f>
        <v/>
      </c>
      <c r="O69" s="25" t="str">
        <f>+intrim3!AF66</f>
        <v/>
      </c>
      <c r="Q69" s="31" t="str">
        <f t="shared" ca="1" si="0"/>
        <v/>
      </c>
      <c r="R69" s="32" t="str">
        <f t="shared" ca="1" si="1"/>
        <v>Y</v>
      </c>
    </row>
    <row r="70" spans="2:18" x14ac:dyDescent="0.25">
      <c r="B70" s="18" t="str">
        <f ca="1">+intrim3!B67</f>
        <v/>
      </c>
      <c r="C70" s="18" t="str">
        <f ca="1">+intrim3!C67</f>
        <v/>
      </c>
      <c r="D70" s="2"/>
      <c r="E70" s="2"/>
      <c r="F70" s="2"/>
      <c r="G70" s="2"/>
      <c r="H70" s="22" t="str">
        <f ca="1">+intrim3!J67</f>
        <v/>
      </c>
      <c r="I70" s="22" t="str">
        <f ca="1">+intrim3!K67</f>
        <v/>
      </c>
      <c r="J70" s="2"/>
      <c r="K70" s="24" t="str">
        <f>intrim3!X67</f>
        <v/>
      </c>
      <c r="L70" s="25" t="str">
        <f>intrim3!Y67</f>
        <v/>
      </c>
      <c r="M70" s="2"/>
      <c r="N70" s="24" t="str">
        <f>+intrim3!AE67</f>
        <v/>
      </c>
      <c r="O70" s="25" t="str">
        <f>+intrim3!AF67</f>
        <v/>
      </c>
      <c r="Q70" s="31" t="str">
        <f t="shared" ref="Q70:Q105" ca="1" si="2">TRIM(B70&amp;C70&amp;E70&amp;F70&amp;H70&amp;I70&amp;K70&amp;L70&amp;N70&amp;O70)</f>
        <v/>
      </c>
      <c r="R70" s="32" t="str">
        <f t="shared" ref="R70:R105" ca="1" si="3">IF(Q70="","Y","N")</f>
        <v>Y</v>
      </c>
    </row>
    <row r="71" spans="2:18" x14ac:dyDescent="0.25">
      <c r="B71" s="18" t="str">
        <f ca="1">+intrim3!B68</f>
        <v/>
      </c>
      <c r="C71" s="18" t="str">
        <f ca="1">+intrim3!C68</f>
        <v/>
      </c>
      <c r="D71" s="2"/>
      <c r="E71" s="2"/>
      <c r="F71" s="2"/>
      <c r="G71" s="2"/>
      <c r="H71" s="22" t="str">
        <f ca="1">+intrim3!J68</f>
        <v/>
      </c>
      <c r="I71" s="22" t="str">
        <f ca="1">+intrim3!K68</f>
        <v/>
      </c>
      <c r="J71" s="2"/>
      <c r="K71" s="24" t="str">
        <f>intrim3!X68</f>
        <v/>
      </c>
      <c r="L71" s="25" t="str">
        <f>intrim3!Y68</f>
        <v/>
      </c>
      <c r="M71" s="2"/>
      <c r="N71" s="24" t="str">
        <f>+intrim3!AE68</f>
        <v/>
      </c>
      <c r="O71" s="25" t="str">
        <f>+intrim3!AF68</f>
        <v/>
      </c>
      <c r="Q71" s="31" t="str">
        <f t="shared" ca="1" si="2"/>
        <v/>
      </c>
      <c r="R71" s="32" t="str">
        <f t="shared" ca="1" si="3"/>
        <v>Y</v>
      </c>
    </row>
    <row r="72" spans="2:18" x14ac:dyDescent="0.25">
      <c r="B72" s="18" t="str">
        <f ca="1">+intrim3!B69</f>
        <v/>
      </c>
      <c r="C72" s="18" t="str">
        <f ca="1">+intrim3!C69</f>
        <v/>
      </c>
      <c r="D72" s="2"/>
      <c r="E72" s="2"/>
      <c r="F72" s="2"/>
      <c r="G72" s="2"/>
      <c r="H72" s="22" t="str">
        <f ca="1">+intrim3!J69</f>
        <v/>
      </c>
      <c r="I72" s="22" t="str">
        <f ca="1">+intrim3!K69</f>
        <v/>
      </c>
      <c r="J72" s="2"/>
      <c r="K72" s="24" t="str">
        <f>intrim3!X69</f>
        <v/>
      </c>
      <c r="L72" s="25" t="str">
        <f>intrim3!Y69</f>
        <v/>
      </c>
      <c r="M72" s="2"/>
      <c r="N72" s="24" t="str">
        <f>+intrim3!AE69</f>
        <v/>
      </c>
      <c r="O72" s="25" t="str">
        <f>+intrim3!AF69</f>
        <v/>
      </c>
      <c r="Q72" s="31" t="str">
        <f t="shared" ca="1" si="2"/>
        <v/>
      </c>
      <c r="R72" s="32" t="str">
        <f t="shared" ca="1" si="3"/>
        <v>Y</v>
      </c>
    </row>
    <row r="73" spans="2:18" x14ac:dyDescent="0.25">
      <c r="B73" s="18" t="str">
        <f ca="1">+intrim3!B70</f>
        <v/>
      </c>
      <c r="C73" s="18" t="str">
        <f ca="1">+intrim3!C70</f>
        <v/>
      </c>
      <c r="D73" s="2"/>
      <c r="E73" s="2"/>
      <c r="F73" s="2"/>
      <c r="G73" s="2"/>
      <c r="H73" s="22" t="str">
        <f ca="1">+intrim3!J70</f>
        <v/>
      </c>
      <c r="I73" s="22" t="str">
        <f ca="1">+intrim3!K70</f>
        <v/>
      </c>
      <c r="J73" s="2"/>
      <c r="K73" s="24" t="str">
        <f>intrim3!X70</f>
        <v/>
      </c>
      <c r="L73" s="25" t="str">
        <f>intrim3!Y70</f>
        <v/>
      </c>
      <c r="M73" s="2"/>
      <c r="N73" s="24" t="str">
        <f>+intrim3!AE70</f>
        <v/>
      </c>
      <c r="O73" s="25" t="str">
        <f>+intrim3!AF70</f>
        <v/>
      </c>
      <c r="Q73" s="31" t="str">
        <f t="shared" ca="1" si="2"/>
        <v/>
      </c>
      <c r="R73" s="32" t="str">
        <f t="shared" ca="1" si="3"/>
        <v>Y</v>
      </c>
    </row>
    <row r="74" spans="2:18" x14ac:dyDescent="0.25">
      <c r="B74" s="18" t="str">
        <f ca="1">+intrim3!B71</f>
        <v/>
      </c>
      <c r="C74" s="18" t="str">
        <f ca="1">+intrim3!C71</f>
        <v/>
      </c>
      <c r="D74" s="2"/>
      <c r="E74" s="2"/>
      <c r="F74" s="2"/>
      <c r="G74" s="2"/>
      <c r="H74" s="22" t="str">
        <f ca="1">+intrim3!J71</f>
        <v/>
      </c>
      <c r="I74" s="22" t="str">
        <f ca="1">+intrim3!K71</f>
        <v/>
      </c>
      <c r="J74" s="2"/>
      <c r="K74" s="24" t="str">
        <f>intrim3!X71</f>
        <v/>
      </c>
      <c r="L74" s="25" t="str">
        <f>intrim3!Y71</f>
        <v/>
      </c>
      <c r="M74" s="2"/>
      <c r="N74" s="24" t="str">
        <f>+intrim3!AE71</f>
        <v/>
      </c>
      <c r="O74" s="25" t="str">
        <f>+intrim3!AF71</f>
        <v/>
      </c>
      <c r="Q74" s="31" t="str">
        <f t="shared" ca="1" si="2"/>
        <v/>
      </c>
      <c r="R74" s="32" t="str">
        <f t="shared" ca="1" si="3"/>
        <v>Y</v>
      </c>
    </row>
    <row r="75" spans="2:18" x14ac:dyDescent="0.25">
      <c r="B75" s="18" t="str">
        <f ca="1">+intrim3!B72</f>
        <v/>
      </c>
      <c r="C75" s="18" t="str">
        <f ca="1">+intrim3!C72</f>
        <v/>
      </c>
      <c r="D75" s="2"/>
      <c r="E75" s="2"/>
      <c r="F75" s="2"/>
      <c r="G75" s="2"/>
      <c r="H75" s="22" t="str">
        <f ca="1">+intrim3!J72</f>
        <v/>
      </c>
      <c r="I75" s="22" t="str">
        <f ca="1">+intrim3!K72</f>
        <v/>
      </c>
      <c r="J75" s="2"/>
      <c r="K75" s="24" t="str">
        <f>intrim3!X72</f>
        <v/>
      </c>
      <c r="L75" s="25" t="str">
        <f>intrim3!Y72</f>
        <v/>
      </c>
      <c r="M75" s="2"/>
      <c r="N75" s="24" t="str">
        <f>+intrim3!AE72</f>
        <v/>
      </c>
      <c r="O75" s="25" t="str">
        <f>+intrim3!AF72</f>
        <v/>
      </c>
      <c r="Q75" s="31" t="str">
        <f t="shared" ca="1" si="2"/>
        <v/>
      </c>
      <c r="R75" s="32" t="str">
        <f t="shared" ca="1" si="3"/>
        <v>Y</v>
      </c>
    </row>
    <row r="76" spans="2:18" x14ac:dyDescent="0.25">
      <c r="B76" s="18" t="str">
        <f ca="1">+intrim3!B73</f>
        <v/>
      </c>
      <c r="C76" s="18" t="str">
        <f ca="1">+intrim3!C73</f>
        <v/>
      </c>
      <c r="D76" s="2"/>
      <c r="E76" s="2"/>
      <c r="F76" s="2"/>
      <c r="G76" s="2"/>
      <c r="H76" s="22" t="str">
        <f ca="1">+intrim3!J73</f>
        <v/>
      </c>
      <c r="I76" s="22" t="str">
        <f ca="1">+intrim3!K73</f>
        <v/>
      </c>
      <c r="J76" s="2"/>
      <c r="K76" s="24" t="str">
        <f>intrim3!X73</f>
        <v/>
      </c>
      <c r="L76" s="25" t="str">
        <f>intrim3!Y73</f>
        <v/>
      </c>
      <c r="M76" s="2"/>
      <c r="N76" s="24" t="str">
        <f>+intrim3!AE73</f>
        <v/>
      </c>
      <c r="O76" s="25" t="str">
        <f>+intrim3!AF73</f>
        <v/>
      </c>
      <c r="Q76" s="31" t="str">
        <f t="shared" ca="1" si="2"/>
        <v/>
      </c>
      <c r="R76" s="32" t="str">
        <f t="shared" ca="1" si="3"/>
        <v>Y</v>
      </c>
    </row>
    <row r="77" spans="2:18" x14ac:dyDescent="0.25">
      <c r="B77" s="18" t="str">
        <f ca="1">+intrim3!B74</f>
        <v/>
      </c>
      <c r="C77" s="18" t="str">
        <f ca="1">+intrim3!C74</f>
        <v/>
      </c>
      <c r="D77" s="2"/>
      <c r="E77" s="2"/>
      <c r="F77" s="2"/>
      <c r="G77" s="2"/>
      <c r="H77" s="22" t="str">
        <f ca="1">+intrim3!J74</f>
        <v/>
      </c>
      <c r="I77" s="22" t="str">
        <f ca="1">+intrim3!K74</f>
        <v/>
      </c>
      <c r="J77" s="2"/>
      <c r="K77" s="24" t="str">
        <f>intrim3!X74</f>
        <v/>
      </c>
      <c r="L77" s="25" t="str">
        <f>intrim3!Y74</f>
        <v/>
      </c>
      <c r="M77" s="2"/>
      <c r="N77" s="24" t="str">
        <f>+intrim3!AE74</f>
        <v/>
      </c>
      <c r="O77" s="25" t="str">
        <f>+intrim3!AF74</f>
        <v/>
      </c>
      <c r="Q77" s="31" t="str">
        <f t="shared" ca="1" si="2"/>
        <v/>
      </c>
      <c r="R77" s="32" t="str">
        <f t="shared" ca="1" si="3"/>
        <v>Y</v>
      </c>
    </row>
    <row r="78" spans="2:18" x14ac:dyDescent="0.25">
      <c r="B78" s="18" t="str">
        <f ca="1">+intrim3!B75</f>
        <v/>
      </c>
      <c r="C78" s="18" t="str">
        <f ca="1">+intrim3!C75</f>
        <v/>
      </c>
      <c r="D78" s="2"/>
      <c r="E78" s="2"/>
      <c r="F78" s="2"/>
      <c r="G78" s="2"/>
      <c r="H78" s="22" t="str">
        <f ca="1">+intrim3!J75</f>
        <v/>
      </c>
      <c r="I78" s="22" t="str">
        <f ca="1">+intrim3!K75</f>
        <v/>
      </c>
      <c r="J78" s="2"/>
      <c r="K78" s="24" t="str">
        <f>intrim3!X75</f>
        <v/>
      </c>
      <c r="L78" s="25" t="str">
        <f>intrim3!Y75</f>
        <v/>
      </c>
      <c r="M78" s="2"/>
      <c r="N78" s="24" t="str">
        <f>+intrim3!AE75</f>
        <v/>
      </c>
      <c r="O78" s="25" t="str">
        <f>+intrim3!AF75</f>
        <v/>
      </c>
      <c r="Q78" s="31" t="str">
        <f t="shared" ca="1" si="2"/>
        <v/>
      </c>
      <c r="R78" s="32" t="str">
        <f t="shared" ca="1" si="3"/>
        <v>Y</v>
      </c>
    </row>
    <row r="79" spans="2:18" x14ac:dyDescent="0.25">
      <c r="B79" s="18" t="str">
        <f ca="1">+intrim3!B76</f>
        <v/>
      </c>
      <c r="C79" s="18" t="str">
        <f ca="1">+intrim3!C76</f>
        <v/>
      </c>
      <c r="D79" s="2"/>
      <c r="E79" s="2"/>
      <c r="F79" s="2"/>
      <c r="G79" s="2"/>
      <c r="H79" s="22" t="str">
        <f ca="1">+intrim3!J76</f>
        <v/>
      </c>
      <c r="I79" s="22" t="str">
        <f ca="1">+intrim3!K76</f>
        <v/>
      </c>
      <c r="J79" s="2"/>
      <c r="K79" s="24" t="str">
        <f>intrim3!X76</f>
        <v/>
      </c>
      <c r="L79" s="25" t="str">
        <f>intrim3!Y76</f>
        <v/>
      </c>
      <c r="M79" s="2"/>
      <c r="N79" s="24" t="str">
        <f>+intrim3!AE76</f>
        <v/>
      </c>
      <c r="O79" s="25" t="str">
        <f>+intrim3!AF76</f>
        <v/>
      </c>
      <c r="Q79" s="31" t="str">
        <f t="shared" ca="1" si="2"/>
        <v/>
      </c>
      <c r="R79" s="32" t="str">
        <f t="shared" ca="1" si="3"/>
        <v>Y</v>
      </c>
    </row>
    <row r="80" spans="2:18" x14ac:dyDescent="0.25">
      <c r="B80" s="18" t="str">
        <f ca="1">+intrim3!B77</f>
        <v/>
      </c>
      <c r="C80" s="18" t="str">
        <f ca="1">+intrim3!C77</f>
        <v/>
      </c>
      <c r="D80" s="2"/>
      <c r="E80" s="2"/>
      <c r="F80" s="2"/>
      <c r="G80" s="2"/>
      <c r="H80" s="22" t="str">
        <f ca="1">+intrim3!J77</f>
        <v/>
      </c>
      <c r="I80" s="22" t="str">
        <f ca="1">+intrim3!K77</f>
        <v/>
      </c>
      <c r="J80" s="2"/>
      <c r="K80" s="24" t="str">
        <f>intrim3!X77</f>
        <v/>
      </c>
      <c r="L80" s="25" t="str">
        <f>intrim3!Y77</f>
        <v/>
      </c>
      <c r="M80" s="2"/>
      <c r="N80" s="24" t="str">
        <f>+intrim3!AE77</f>
        <v/>
      </c>
      <c r="O80" s="25" t="str">
        <f>+intrim3!AF77</f>
        <v/>
      </c>
      <c r="Q80" s="31" t="str">
        <f t="shared" ca="1" si="2"/>
        <v/>
      </c>
      <c r="R80" s="32" t="str">
        <f t="shared" ca="1" si="3"/>
        <v>Y</v>
      </c>
    </row>
    <row r="81" spans="2:18" x14ac:dyDescent="0.25">
      <c r="B81" s="18" t="str">
        <f ca="1">+intrim3!B78</f>
        <v/>
      </c>
      <c r="C81" s="18" t="str">
        <f ca="1">+intrim3!C78</f>
        <v/>
      </c>
      <c r="D81" s="2"/>
      <c r="E81" s="2"/>
      <c r="F81" s="2"/>
      <c r="G81" s="2"/>
      <c r="H81" s="22" t="str">
        <f ca="1">+intrim3!J78</f>
        <v/>
      </c>
      <c r="I81" s="22" t="str">
        <f ca="1">+intrim3!K78</f>
        <v/>
      </c>
      <c r="J81" s="2"/>
      <c r="K81" s="24" t="str">
        <f>intrim3!X78</f>
        <v/>
      </c>
      <c r="L81" s="25" t="str">
        <f>intrim3!Y78</f>
        <v/>
      </c>
      <c r="M81" s="2"/>
      <c r="N81" s="24" t="str">
        <f>+intrim3!AE78</f>
        <v/>
      </c>
      <c r="O81" s="25" t="str">
        <f>+intrim3!AF78</f>
        <v/>
      </c>
      <c r="Q81" s="31" t="str">
        <f t="shared" ca="1" si="2"/>
        <v/>
      </c>
      <c r="R81" s="32" t="str">
        <f t="shared" ca="1" si="3"/>
        <v>Y</v>
      </c>
    </row>
    <row r="82" spans="2:18" x14ac:dyDescent="0.25">
      <c r="B82" s="18" t="str">
        <f ca="1">+intrim3!B79</f>
        <v/>
      </c>
      <c r="C82" s="18" t="str">
        <f ca="1">+intrim3!C79</f>
        <v/>
      </c>
      <c r="D82" s="2"/>
      <c r="E82" s="2"/>
      <c r="F82" s="2"/>
      <c r="G82" s="2"/>
      <c r="H82" s="22" t="str">
        <f ca="1">+intrim3!J79</f>
        <v/>
      </c>
      <c r="I82" s="22" t="str">
        <f ca="1">+intrim3!K79</f>
        <v/>
      </c>
      <c r="J82" s="2"/>
      <c r="K82" s="24" t="str">
        <f>intrim3!X79</f>
        <v/>
      </c>
      <c r="L82" s="25" t="str">
        <f>intrim3!Y79</f>
        <v/>
      </c>
      <c r="M82" s="2"/>
      <c r="N82" s="24" t="str">
        <f>+intrim3!AE79</f>
        <v/>
      </c>
      <c r="O82" s="25" t="str">
        <f>+intrim3!AF79</f>
        <v/>
      </c>
      <c r="Q82" s="31" t="str">
        <f t="shared" ca="1" si="2"/>
        <v/>
      </c>
      <c r="R82" s="32" t="str">
        <f t="shared" ca="1" si="3"/>
        <v>Y</v>
      </c>
    </row>
    <row r="83" spans="2:18" x14ac:dyDescent="0.25">
      <c r="B83" s="18" t="str">
        <f ca="1">+intrim3!B80</f>
        <v/>
      </c>
      <c r="C83" s="18" t="str">
        <f ca="1">+intrim3!C80</f>
        <v/>
      </c>
      <c r="D83" s="2"/>
      <c r="E83" s="2"/>
      <c r="F83" s="2"/>
      <c r="G83" s="2"/>
      <c r="H83" s="22" t="str">
        <f ca="1">+intrim3!J80</f>
        <v/>
      </c>
      <c r="I83" s="22" t="str">
        <f ca="1">+intrim3!K80</f>
        <v/>
      </c>
      <c r="J83" s="2"/>
      <c r="K83" s="24" t="str">
        <f>intrim3!X80</f>
        <v/>
      </c>
      <c r="L83" s="25" t="str">
        <f>intrim3!Y80</f>
        <v/>
      </c>
      <c r="M83" s="2"/>
      <c r="N83" s="24" t="str">
        <f>+intrim3!AE80</f>
        <v/>
      </c>
      <c r="O83" s="25" t="str">
        <f>+intrim3!AF80</f>
        <v/>
      </c>
      <c r="Q83" s="31" t="str">
        <f t="shared" ca="1" si="2"/>
        <v/>
      </c>
      <c r="R83" s="32" t="str">
        <f t="shared" ca="1" si="3"/>
        <v>Y</v>
      </c>
    </row>
    <row r="84" spans="2:18" x14ac:dyDescent="0.25">
      <c r="B84" s="18" t="str">
        <f ca="1">+intrim3!B81</f>
        <v/>
      </c>
      <c r="C84" s="18" t="str">
        <f ca="1">+intrim3!C81</f>
        <v/>
      </c>
      <c r="D84" s="2"/>
      <c r="E84" s="2"/>
      <c r="F84" s="2"/>
      <c r="G84" s="2"/>
      <c r="H84" s="22" t="str">
        <f ca="1">+intrim3!J81</f>
        <v/>
      </c>
      <c r="I84" s="22" t="str">
        <f ca="1">+intrim3!K81</f>
        <v/>
      </c>
      <c r="J84" s="2"/>
      <c r="K84" s="24" t="str">
        <f>intrim3!X81</f>
        <v/>
      </c>
      <c r="L84" s="25" t="str">
        <f>intrim3!Y81</f>
        <v/>
      </c>
      <c r="M84" s="2"/>
      <c r="N84" s="24" t="str">
        <f>+intrim3!AE81</f>
        <v/>
      </c>
      <c r="O84" s="25" t="str">
        <f>+intrim3!AF81</f>
        <v/>
      </c>
      <c r="Q84" s="31" t="str">
        <f t="shared" ca="1" si="2"/>
        <v/>
      </c>
      <c r="R84" s="32" t="str">
        <f t="shared" ca="1" si="3"/>
        <v>Y</v>
      </c>
    </row>
    <row r="85" spans="2:18" x14ac:dyDescent="0.25">
      <c r="B85" s="18" t="str">
        <f ca="1">+intrim3!B82</f>
        <v/>
      </c>
      <c r="C85" s="18" t="str">
        <f ca="1">+intrim3!C82</f>
        <v/>
      </c>
      <c r="D85" s="2"/>
      <c r="E85" s="2"/>
      <c r="F85" s="2"/>
      <c r="G85" s="2"/>
      <c r="H85" s="22" t="str">
        <f ca="1">+intrim3!J82</f>
        <v/>
      </c>
      <c r="I85" s="22" t="str">
        <f ca="1">+intrim3!K82</f>
        <v/>
      </c>
      <c r="J85" s="2"/>
      <c r="K85" s="24" t="str">
        <f>intrim3!X82</f>
        <v/>
      </c>
      <c r="L85" s="25" t="str">
        <f>intrim3!Y82</f>
        <v/>
      </c>
      <c r="M85" s="2"/>
      <c r="N85" s="24" t="str">
        <f>+intrim3!AE82</f>
        <v/>
      </c>
      <c r="O85" s="25" t="str">
        <f>+intrim3!AF82</f>
        <v/>
      </c>
      <c r="Q85" s="31" t="str">
        <f t="shared" ca="1" si="2"/>
        <v/>
      </c>
      <c r="R85" s="32" t="str">
        <f t="shared" ca="1" si="3"/>
        <v>Y</v>
      </c>
    </row>
    <row r="86" spans="2:18" x14ac:dyDescent="0.25">
      <c r="B86" s="18" t="str">
        <f ca="1">+intrim3!B83</f>
        <v/>
      </c>
      <c r="C86" s="18" t="str">
        <f ca="1">+intrim3!C83</f>
        <v/>
      </c>
      <c r="D86" s="2"/>
      <c r="E86" s="2"/>
      <c r="F86" s="2"/>
      <c r="G86" s="2"/>
      <c r="H86" s="22" t="str">
        <f ca="1">+intrim3!J83</f>
        <v/>
      </c>
      <c r="I86" s="22" t="str">
        <f ca="1">+intrim3!K83</f>
        <v/>
      </c>
      <c r="J86" s="2"/>
      <c r="K86" s="24" t="str">
        <f>intrim3!X83</f>
        <v/>
      </c>
      <c r="L86" s="25" t="str">
        <f>intrim3!Y83</f>
        <v/>
      </c>
      <c r="M86" s="2"/>
      <c r="N86" s="24" t="str">
        <f>+intrim3!AE83</f>
        <v/>
      </c>
      <c r="O86" s="25" t="str">
        <f>+intrim3!AF83</f>
        <v/>
      </c>
      <c r="Q86" s="31" t="str">
        <f t="shared" ca="1" si="2"/>
        <v/>
      </c>
      <c r="R86" s="32" t="str">
        <f t="shared" ca="1" si="3"/>
        <v>Y</v>
      </c>
    </row>
    <row r="87" spans="2:18" x14ac:dyDescent="0.25">
      <c r="B87" s="18" t="str">
        <f ca="1">+intrim3!B84</f>
        <v/>
      </c>
      <c r="C87" s="18" t="str">
        <f ca="1">+intrim3!C84</f>
        <v/>
      </c>
      <c r="D87" s="2"/>
      <c r="E87" s="2"/>
      <c r="F87" s="2"/>
      <c r="G87" s="2"/>
      <c r="H87" s="22" t="str">
        <f ca="1">+intrim3!J84</f>
        <v/>
      </c>
      <c r="I87" s="22" t="str">
        <f ca="1">+intrim3!K84</f>
        <v/>
      </c>
      <c r="J87" s="2"/>
      <c r="K87" s="24" t="str">
        <f>intrim3!X84</f>
        <v/>
      </c>
      <c r="L87" s="25" t="str">
        <f>intrim3!Y84</f>
        <v/>
      </c>
      <c r="M87" s="2"/>
      <c r="N87" s="24" t="str">
        <f>+intrim3!AE84</f>
        <v/>
      </c>
      <c r="O87" s="25" t="str">
        <f>+intrim3!AF84</f>
        <v/>
      </c>
      <c r="Q87" s="31" t="str">
        <f t="shared" ca="1" si="2"/>
        <v/>
      </c>
      <c r="R87" s="32" t="str">
        <f t="shared" ca="1" si="3"/>
        <v>Y</v>
      </c>
    </row>
    <row r="88" spans="2:18" x14ac:dyDescent="0.25">
      <c r="B88" s="18" t="str">
        <f ca="1">+intrim3!B85</f>
        <v/>
      </c>
      <c r="C88" s="18" t="str">
        <f ca="1">+intrim3!C85</f>
        <v/>
      </c>
      <c r="D88" s="2"/>
      <c r="E88" s="2"/>
      <c r="F88" s="2"/>
      <c r="G88" s="2"/>
      <c r="H88" s="22" t="str">
        <f ca="1">+intrim3!J85</f>
        <v/>
      </c>
      <c r="I88" s="22" t="str">
        <f ca="1">+intrim3!K85</f>
        <v/>
      </c>
      <c r="J88" s="2"/>
      <c r="K88" s="24" t="str">
        <f>intrim3!X85</f>
        <v/>
      </c>
      <c r="L88" s="25" t="str">
        <f>intrim3!Y85</f>
        <v/>
      </c>
      <c r="M88" s="2"/>
      <c r="N88" s="24" t="str">
        <f>+intrim3!AE85</f>
        <v/>
      </c>
      <c r="O88" s="25" t="str">
        <f>+intrim3!AF85</f>
        <v/>
      </c>
      <c r="Q88" s="31" t="str">
        <f t="shared" ca="1" si="2"/>
        <v/>
      </c>
      <c r="R88" s="32" t="str">
        <f t="shared" ca="1" si="3"/>
        <v>Y</v>
      </c>
    </row>
    <row r="89" spans="2:18" x14ac:dyDescent="0.25">
      <c r="B89" s="18" t="str">
        <f ca="1">+intrim3!B86</f>
        <v/>
      </c>
      <c r="C89" s="18" t="str">
        <f ca="1">+intrim3!C86</f>
        <v/>
      </c>
      <c r="D89" s="2"/>
      <c r="E89" s="2"/>
      <c r="F89" s="2"/>
      <c r="G89" s="2"/>
      <c r="H89" s="22" t="str">
        <f ca="1">+intrim3!J86</f>
        <v/>
      </c>
      <c r="I89" s="22" t="str">
        <f ca="1">+intrim3!K86</f>
        <v/>
      </c>
      <c r="J89" s="2"/>
      <c r="K89" s="24" t="str">
        <f>intrim3!X86</f>
        <v/>
      </c>
      <c r="L89" s="25" t="str">
        <f>intrim3!Y86</f>
        <v/>
      </c>
      <c r="M89" s="2"/>
      <c r="N89" s="24" t="str">
        <f>+intrim3!AE86</f>
        <v/>
      </c>
      <c r="O89" s="25" t="str">
        <f>+intrim3!AF86</f>
        <v/>
      </c>
      <c r="Q89" s="31" t="str">
        <f t="shared" ca="1" si="2"/>
        <v/>
      </c>
      <c r="R89" s="32" t="str">
        <f t="shared" ca="1" si="3"/>
        <v>Y</v>
      </c>
    </row>
    <row r="90" spans="2:18" x14ac:dyDescent="0.25">
      <c r="B90" s="18" t="str">
        <f ca="1">+intrim3!B87</f>
        <v/>
      </c>
      <c r="C90" s="18" t="str">
        <f ca="1">+intrim3!C87</f>
        <v/>
      </c>
      <c r="D90" s="2"/>
      <c r="E90" s="2"/>
      <c r="F90" s="2"/>
      <c r="G90" s="2"/>
      <c r="H90" s="22" t="str">
        <f ca="1">+intrim3!J87</f>
        <v/>
      </c>
      <c r="I90" s="22" t="str">
        <f ca="1">+intrim3!K87</f>
        <v/>
      </c>
      <c r="J90" s="2"/>
      <c r="K90" s="24" t="str">
        <f>intrim3!X87</f>
        <v/>
      </c>
      <c r="L90" s="25" t="str">
        <f>intrim3!Y87</f>
        <v/>
      </c>
      <c r="M90" s="2"/>
      <c r="N90" s="24" t="str">
        <f>+intrim3!AE87</f>
        <v/>
      </c>
      <c r="O90" s="25" t="str">
        <f>+intrim3!AF87</f>
        <v/>
      </c>
      <c r="Q90" s="31" t="str">
        <f t="shared" ca="1" si="2"/>
        <v/>
      </c>
      <c r="R90" s="32" t="str">
        <f t="shared" ca="1" si="3"/>
        <v>Y</v>
      </c>
    </row>
    <row r="91" spans="2:18" x14ac:dyDescent="0.25">
      <c r="B91" s="18" t="str">
        <f ca="1">+intrim3!B88</f>
        <v/>
      </c>
      <c r="C91" s="18" t="str">
        <f ca="1">+intrim3!C88</f>
        <v/>
      </c>
      <c r="D91" s="2"/>
      <c r="E91" s="2"/>
      <c r="F91" s="2"/>
      <c r="G91" s="2"/>
      <c r="H91" s="22" t="str">
        <f ca="1">+intrim3!J88</f>
        <v/>
      </c>
      <c r="I91" s="22" t="str">
        <f ca="1">+intrim3!K88</f>
        <v/>
      </c>
      <c r="J91" s="2"/>
      <c r="K91" s="24" t="str">
        <f>intrim3!X88</f>
        <v/>
      </c>
      <c r="L91" s="25" t="str">
        <f>intrim3!Y88</f>
        <v/>
      </c>
      <c r="M91" s="2"/>
      <c r="N91" s="24" t="str">
        <f>+intrim3!AE88</f>
        <v/>
      </c>
      <c r="O91" s="25" t="str">
        <f>+intrim3!AF88</f>
        <v/>
      </c>
      <c r="Q91" s="31" t="str">
        <f t="shared" ca="1" si="2"/>
        <v/>
      </c>
      <c r="R91" s="32" t="str">
        <f t="shared" ca="1" si="3"/>
        <v>Y</v>
      </c>
    </row>
    <row r="92" spans="2:18" x14ac:dyDescent="0.25">
      <c r="B92" s="18" t="str">
        <f ca="1">+intrim3!B89</f>
        <v/>
      </c>
      <c r="C92" s="18" t="str">
        <f ca="1">+intrim3!C89</f>
        <v/>
      </c>
      <c r="D92" s="2"/>
      <c r="E92" s="2"/>
      <c r="F92" s="2"/>
      <c r="G92" s="2"/>
      <c r="H92" s="22" t="str">
        <f ca="1">+intrim3!J89</f>
        <v/>
      </c>
      <c r="I92" s="22" t="str">
        <f ca="1">+intrim3!K89</f>
        <v/>
      </c>
      <c r="J92" s="2"/>
      <c r="K92" s="24" t="str">
        <f>intrim3!X89</f>
        <v/>
      </c>
      <c r="L92" s="25" t="str">
        <f>intrim3!Y89</f>
        <v/>
      </c>
      <c r="M92" s="2"/>
      <c r="N92" s="24" t="str">
        <f>+intrim3!AE89</f>
        <v/>
      </c>
      <c r="O92" s="25" t="str">
        <f>+intrim3!AF89</f>
        <v/>
      </c>
      <c r="Q92" s="31" t="str">
        <f t="shared" ca="1" si="2"/>
        <v/>
      </c>
      <c r="R92" s="32" t="str">
        <f t="shared" ca="1" si="3"/>
        <v>Y</v>
      </c>
    </row>
    <row r="93" spans="2:18" x14ac:dyDescent="0.25">
      <c r="B93" s="18" t="str">
        <f ca="1">+intrim3!B90</f>
        <v/>
      </c>
      <c r="C93" s="18" t="str">
        <f ca="1">+intrim3!C90</f>
        <v/>
      </c>
      <c r="D93" s="2"/>
      <c r="E93" s="2"/>
      <c r="F93" s="2"/>
      <c r="G93" s="2"/>
      <c r="H93" s="22" t="str">
        <f ca="1">+intrim3!J90</f>
        <v/>
      </c>
      <c r="I93" s="22" t="str">
        <f ca="1">+intrim3!K90</f>
        <v/>
      </c>
      <c r="J93" s="2"/>
      <c r="K93" s="24" t="str">
        <f>intrim3!X90</f>
        <v/>
      </c>
      <c r="L93" s="25" t="str">
        <f>intrim3!Y90</f>
        <v/>
      </c>
      <c r="M93" s="2"/>
      <c r="N93" s="24" t="str">
        <f>+intrim3!AE90</f>
        <v/>
      </c>
      <c r="O93" s="25" t="str">
        <f>+intrim3!AF90</f>
        <v/>
      </c>
      <c r="Q93" s="31" t="str">
        <f t="shared" ca="1" si="2"/>
        <v/>
      </c>
      <c r="R93" s="32" t="str">
        <f t="shared" ca="1" si="3"/>
        <v>Y</v>
      </c>
    </row>
    <row r="94" spans="2:18" x14ac:dyDescent="0.25">
      <c r="B94" s="18" t="str">
        <f ca="1">+intrim3!B91</f>
        <v/>
      </c>
      <c r="C94" s="18" t="str">
        <f ca="1">+intrim3!C91</f>
        <v/>
      </c>
      <c r="D94" s="2"/>
      <c r="E94" s="2"/>
      <c r="F94" s="2"/>
      <c r="G94" s="2"/>
      <c r="H94" s="22" t="str">
        <f ca="1">+intrim3!J91</f>
        <v/>
      </c>
      <c r="I94" s="22" t="str">
        <f ca="1">+intrim3!K91</f>
        <v/>
      </c>
      <c r="J94" s="2"/>
      <c r="K94" s="24" t="str">
        <f>intrim3!X91</f>
        <v/>
      </c>
      <c r="L94" s="25" t="str">
        <f>intrim3!Y91</f>
        <v/>
      </c>
      <c r="M94" s="2"/>
      <c r="N94" s="24" t="str">
        <f>+intrim3!AE91</f>
        <v/>
      </c>
      <c r="O94" s="25" t="str">
        <f>+intrim3!AF91</f>
        <v/>
      </c>
      <c r="Q94" s="31" t="str">
        <f t="shared" ca="1" si="2"/>
        <v/>
      </c>
      <c r="R94" s="32" t="str">
        <f t="shared" ca="1" si="3"/>
        <v>Y</v>
      </c>
    </row>
    <row r="95" spans="2:18" x14ac:dyDescent="0.25">
      <c r="B95" s="18" t="str">
        <f ca="1">+intrim3!B92</f>
        <v/>
      </c>
      <c r="C95" s="18" t="str">
        <f ca="1">+intrim3!C92</f>
        <v/>
      </c>
      <c r="D95" s="2"/>
      <c r="E95" s="2"/>
      <c r="F95" s="2"/>
      <c r="G95" s="2"/>
      <c r="H95" s="22" t="str">
        <f ca="1">+intrim3!J92</f>
        <v/>
      </c>
      <c r="I95" s="22" t="str">
        <f ca="1">+intrim3!K92</f>
        <v/>
      </c>
      <c r="J95" s="2"/>
      <c r="K95" s="24" t="str">
        <f>intrim3!X92</f>
        <v/>
      </c>
      <c r="L95" s="25" t="str">
        <f>intrim3!Y92</f>
        <v/>
      </c>
      <c r="M95" s="2"/>
      <c r="N95" s="24" t="str">
        <f>+intrim3!AE92</f>
        <v/>
      </c>
      <c r="O95" s="25" t="str">
        <f>+intrim3!AF92</f>
        <v/>
      </c>
      <c r="Q95" s="31" t="str">
        <f t="shared" ca="1" si="2"/>
        <v/>
      </c>
      <c r="R95" s="32" t="str">
        <f t="shared" ca="1" si="3"/>
        <v>Y</v>
      </c>
    </row>
    <row r="96" spans="2:18" x14ac:dyDescent="0.25">
      <c r="B96" s="18" t="str">
        <f ca="1">+intrim3!B93</f>
        <v/>
      </c>
      <c r="C96" s="18" t="str">
        <f ca="1">+intrim3!C93</f>
        <v/>
      </c>
      <c r="D96" s="2"/>
      <c r="E96" s="2"/>
      <c r="F96" s="2"/>
      <c r="G96" s="2"/>
      <c r="H96" s="22" t="str">
        <f ca="1">+intrim3!J93</f>
        <v/>
      </c>
      <c r="I96" s="22" t="str">
        <f ca="1">+intrim3!K93</f>
        <v/>
      </c>
      <c r="J96" s="2"/>
      <c r="K96" s="24" t="str">
        <f>intrim3!X93</f>
        <v/>
      </c>
      <c r="L96" s="25" t="str">
        <f>intrim3!Y93</f>
        <v/>
      </c>
      <c r="M96" s="2"/>
      <c r="N96" s="24" t="str">
        <f>+intrim3!AE93</f>
        <v/>
      </c>
      <c r="O96" s="25" t="str">
        <f>+intrim3!AF93</f>
        <v/>
      </c>
      <c r="Q96" s="31" t="str">
        <f t="shared" ca="1" si="2"/>
        <v/>
      </c>
      <c r="R96" s="32" t="str">
        <f t="shared" ca="1" si="3"/>
        <v>Y</v>
      </c>
    </row>
    <row r="97" spans="2:18" x14ac:dyDescent="0.25">
      <c r="B97" s="18" t="str">
        <f ca="1">+intrim3!B94</f>
        <v/>
      </c>
      <c r="C97" s="18" t="str">
        <f ca="1">+intrim3!C94</f>
        <v/>
      </c>
      <c r="D97" s="2"/>
      <c r="E97" s="2"/>
      <c r="F97" s="2"/>
      <c r="G97" s="2"/>
      <c r="H97" s="22" t="str">
        <f ca="1">+intrim3!J94</f>
        <v/>
      </c>
      <c r="I97" s="22" t="str">
        <f ca="1">+intrim3!K94</f>
        <v/>
      </c>
      <c r="J97" s="2"/>
      <c r="K97" s="24" t="str">
        <f>intrim3!X94</f>
        <v/>
      </c>
      <c r="L97" s="25" t="str">
        <f>intrim3!Y94</f>
        <v/>
      </c>
      <c r="M97" s="2"/>
      <c r="N97" s="24" t="str">
        <f>+intrim3!AE94</f>
        <v/>
      </c>
      <c r="O97" s="25" t="str">
        <f>+intrim3!AF94</f>
        <v/>
      </c>
      <c r="Q97" s="31" t="str">
        <f t="shared" ca="1" si="2"/>
        <v/>
      </c>
      <c r="R97" s="32" t="str">
        <f t="shared" ca="1" si="3"/>
        <v>Y</v>
      </c>
    </row>
    <row r="98" spans="2:18" x14ac:dyDescent="0.25">
      <c r="B98" s="18" t="str">
        <f ca="1">+intrim3!B95</f>
        <v/>
      </c>
      <c r="C98" s="18" t="str">
        <f ca="1">+intrim3!C95</f>
        <v/>
      </c>
      <c r="D98" s="2"/>
      <c r="E98" s="2"/>
      <c r="F98" s="2"/>
      <c r="G98" s="2"/>
      <c r="H98" s="22" t="str">
        <f ca="1">+intrim3!J95</f>
        <v/>
      </c>
      <c r="I98" s="22" t="str">
        <f ca="1">+intrim3!K95</f>
        <v/>
      </c>
      <c r="J98" s="2"/>
      <c r="K98" s="24" t="str">
        <f>intrim3!X95</f>
        <v/>
      </c>
      <c r="L98" s="25" t="str">
        <f>intrim3!Y95</f>
        <v/>
      </c>
      <c r="M98" s="2"/>
      <c r="N98" s="24" t="str">
        <f>+intrim3!AE95</f>
        <v/>
      </c>
      <c r="O98" s="25" t="str">
        <f>+intrim3!AF95</f>
        <v/>
      </c>
      <c r="Q98" s="31" t="str">
        <f t="shared" ca="1" si="2"/>
        <v/>
      </c>
      <c r="R98" s="32" t="str">
        <f t="shared" ca="1" si="3"/>
        <v>Y</v>
      </c>
    </row>
    <row r="99" spans="2:18" x14ac:dyDescent="0.25">
      <c r="B99" s="18" t="str">
        <f ca="1">+intrim3!B96</f>
        <v/>
      </c>
      <c r="C99" s="18" t="str">
        <f ca="1">+intrim3!C96</f>
        <v/>
      </c>
      <c r="D99" s="2"/>
      <c r="E99" s="2"/>
      <c r="F99" s="2"/>
      <c r="G99" s="2"/>
      <c r="H99" s="22" t="str">
        <f ca="1">+intrim3!J96</f>
        <v/>
      </c>
      <c r="I99" s="22" t="str">
        <f ca="1">+intrim3!K96</f>
        <v/>
      </c>
      <c r="J99" s="2"/>
      <c r="K99" s="24" t="str">
        <f>intrim3!X96</f>
        <v/>
      </c>
      <c r="L99" s="25" t="str">
        <f>intrim3!Y96</f>
        <v/>
      </c>
      <c r="M99" s="2"/>
      <c r="N99" s="24" t="str">
        <f>+intrim3!AE96</f>
        <v/>
      </c>
      <c r="O99" s="25" t="str">
        <f>+intrim3!AF96</f>
        <v/>
      </c>
      <c r="Q99" s="31" t="str">
        <f t="shared" ca="1" si="2"/>
        <v/>
      </c>
      <c r="R99" s="32" t="str">
        <f t="shared" ca="1" si="3"/>
        <v>Y</v>
      </c>
    </row>
    <row r="100" spans="2:18" x14ac:dyDescent="0.25">
      <c r="B100" s="18" t="str">
        <f ca="1">+intrim3!B97</f>
        <v/>
      </c>
      <c r="C100" s="18" t="str">
        <f ca="1">+intrim3!C97</f>
        <v/>
      </c>
      <c r="D100" s="2"/>
      <c r="E100" s="2"/>
      <c r="F100" s="2"/>
      <c r="G100" s="2"/>
      <c r="H100" s="22" t="str">
        <f ca="1">+intrim3!J97</f>
        <v/>
      </c>
      <c r="I100" s="22" t="str">
        <f ca="1">+intrim3!K97</f>
        <v/>
      </c>
      <c r="J100" s="2"/>
      <c r="K100" s="24" t="str">
        <f>intrim3!X97</f>
        <v/>
      </c>
      <c r="L100" s="25" t="str">
        <f>intrim3!Y97</f>
        <v/>
      </c>
      <c r="M100" s="2"/>
      <c r="N100" s="24" t="str">
        <f>+intrim3!AE97</f>
        <v/>
      </c>
      <c r="O100" s="25" t="str">
        <f>+intrim3!AF97</f>
        <v/>
      </c>
      <c r="Q100" s="31" t="str">
        <f t="shared" ca="1" si="2"/>
        <v/>
      </c>
      <c r="R100" s="32" t="str">
        <f t="shared" ca="1" si="3"/>
        <v>Y</v>
      </c>
    </row>
    <row r="101" spans="2:18" x14ac:dyDescent="0.25">
      <c r="B101" s="18" t="str">
        <f ca="1">+intrim3!B98</f>
        <v/>
      </c>
      <c r="C101" s="18" t="str">
        <f ca="1">+intrim3!C98</f>
        <v/>
      </c>
      <c r="D101" s="2"/>
      <c r="E101" s="2"/>
      <c r="F101" s="2"/>
      <c r="G101" s="2"/>
      <c r="H101" s="22" t="str">
        <f ca="1">+intrim3!J98</f>
        <v/>
      </c>
      <c r="I101" s="22" t="str">
        <f ca="1">+intrim3!K98</f>
        <v/>
      </c>
      <c r="J101" s="2"/>
      <c r="K101" s="24" t="str">
        <f>intrim3!X98</f>
        <v/>
      </c>
      <c r="L101" s="25" t="str">
        <f>intrim3!Y98</f>
        <v/>
      </c>
      <c r="M101" s="2"/>
      <c r="N101" s="24" t="str">
        <f>+intrim3!AE98</f>
        <v/>
      </c>
      <c r="O101" s="25" t="str">
        <f>+intrim3!AF98</f>
        <v/>
      </c>
      <c r="Q101" s="31" t="str">
        <f t="shared" ca="1" si="2"/>
        <v/>
      </c>
      <c r="R101" s="32" t="str">
        <f t="shared" ca="1" si="3"/>
        <v>Y</v>
      </c>
    </row>
    <row r="102" spans="2:18" x14ac:dyDescent="0.25">
      <c r="B102" s="18" t="str">
        <f ca="1">+intrim3!B99</f>
        <v/>
      </c>
      <c r="C102" s="18" t="str">
        <f ca="1">+intrim3!C99</f>
        <v/>
      </c>
      <c r="D102" s="2"/>
      <c r="E102" s="2"/>
      <c r="F102" s="2"/>
      <c r="G102" s="2"/>
      <c r="H102" s="22" t="str">
        <f ca="1">+intrim3!J99</f>
        <v/>
      </c>
      <c r="I102" s="22" t="str">
        <f ca="1">+intrim3!K99</f>
        <v/>
      </c>
      <c r="J102" s="2"/>
      <c r="K102" s="24" t="str">
        <f>intrim3!X99</f>
        <v/>
      </c>
      <c r="L102" s="25" t="str">
        <f>intrim3!Y99</f>
        <v/>
      </c>
      <c r="M102" s="2"/>
      <c r="N102" s="24" t="str">
        <f>+intrim3!AE99</f>
        <v/>
      </c>
      <c r="O102" s="25" t="str">
        <f>+intrim3!AF99</f>
        <v/>
      </c>
      <c r="Q102" s="31" t="str">
        <f t="shared" ca="1" si="2"/>
        <v/>
      </c>
      <c r="R102" s="32" t="str">
        <f t="shared" ca="1" si="3"/>
        <v>Y</v>
      </c>
    </row>
    <row r="103" spans="2:18" x14ac:dyDescent="0.25">
      <c r="B103" s="18" t="str">
        <f ca="1">+intrim3!B100</f>
        <v/>
      </c>
      <c r="C103" s="18" t="str">
        <f ca="1">+intrim3!C100</f>
        <v/>
      </c>
      <c r="D103" s="2"/>
      <c r="E103" s="2"/>
      <c r="F103" s="2"/>
      <c r="G103" s="2"/>
      <c r="H103" s="22" t="str">
        <f ca="1">+intrim3!J100</f>
        <v/>
      </c>
      <c r="I103" s="22" t="str">
        <f ca="1">+intrim3!K100</f>
        <v/>
      </c>
      <c r="J103" s="2"/>
      <c r="K103" s="24" t="str">
        <f>intrim3!X100</f>
        <v/>
      </c>
      <c r="L103" s="25" t="str">
        <f>intrim3!Y100</f>
        <v/>
      </c>
      <c r="M103" s="2"/>
      <c r="N103" s="24" t="str">
        <f>+intrim3!AE100</f>
        <v/>
      </c>
      <c r="O103" s="25" t="str">
        <f>+intrim3!AF100</f>
        <v/>
      </c>
      <c r="Q103" s="31" t="str">
        <f t="shared" ca="1" si="2"/>
        <v/>
      </c>
      <c r="R103" s="32" t="str">
        <f t="shared" ca="1" si="3"/>
        <v>Y</v>
      </c>
    </row>
    <row r="104" spans="2:18" x14ac:dyDescent="0.25">
      <c r="B104" s="18" t="str">
        <f ca="1">+intrim3!B101</f>
        <v/>
      </c>
      <c r="C104" s="18" t="str">
        <f ca="1">+intrim3!C101</f>
        <v/>
      </c>
      <c r="D104" s="2"/>
      <c r="E104" s="2"/>
      <c r="F104" s="2"/>
      <c r="G104" s="2"/>
      <c r="H104" s="22" t="str">
        <f ca="1">+intrim3!J101</f>
        <v/>
      </c>
      <c r="I104" s="22" t="str">
        <f ca="1">+intrim3!K101</f>
        <v/>
      </c>
      <c r="J104" s="2"/>
      <c r="K104" s="24" t="str">
        <f>intrim3!X101</f>
        <v/>
      </c>
      <c r="L104" s="25" t="str">
        <f>intrim3!Y101</f>
        <v/>
      </c>
      <c r="M104" s="2"/>
      <c r="N104" s="24" t="str">
        <f>+intrim3!AE101</f>
        <v/>
      </c>
      <c r="O104" s="25" t="str">
        <f>+intrim3!AF101</f>
        <v/>
      </c>
      <c r="Q104" s="31" t="str">
        <f t="shared" ca="1" si="2"/>
        <v/>
      </c>
      <c r="R104" s="32" t="str">
        <f t="shared" ca="1" si="3"/>
        <v>Y</v>
      </c>
    </row>
    <row r="105" spans="2:18" x14ac:dyDescent="0.25">
      <c r="B105" s="18" t="str">
        <f ca="1">+intrim3!B102</f>
        <v/>
      </c>
      <c r="C105" s="18" t="str">
        <f ca="1">+intrim3!C102</f>
        <v/>
      </c>
      <c r="D105" s="2"/>
      <c r="E105" s="2"/>
      <c r="F105" s="2"/>
      <c r="G105" s="2"/>
      <c r="H105" s="22" t="str">
        <f ca="1">+intrim3!J102</f>
        <v/>
      </c>
      <c r="I105" s="22" t="str">
        <f ca="1">+intrim3!K102</f>
        <v/>
      </c>
      <c r="J105" s="2"/>
      <c r="K105" s="24" t="str">
        <f>intrim3!X102</f>
        <v/>
      </c>
      <c r="L105" s="25" t="str">
        <f>intrim3!Y102</f>
        <v/>
      </c>
      <c r="M105" s="2"/>
      <c r="N105" s="24" t="str">
        <f>+intrim3!AE102</f>
        <v/>
      </c>
      <c r="O105" s="25" t="str">
        <f>+intrim3!AF102</f>
        <v/>
      </c>
      <c r="Q105" s="31" t="str">
        <f t="shared" ca="1" si="2"/>
        <v/>
      </c>
      <c r="R105" s="32" t="str">
        <f t="shared" ca="1" si="3"/>
        <v>Y</v>
      </c>
    </row>
    <row r="106" spans="2:18" x14ac:dyDescent="0.25">
      <c r="Q106" s="30"/>
      <c r="R106" s="30"/>
    </row>
    <row r="107" spans="2:18" x14ac:dyDescent="0.25">
      <c r="Q107" s="30"/>
      <c r="R107" s="30"/>
    </row>
  </sheetData>
  <mergeCells count="1">
    <mergeCell ref="M1:N1"/>
  </mergeCells>
  <phoneticPr fontId="1" type="noConversion"/>
  <conditionalFormatting sqref="L1:M1 O1:P1 A1 A2:P107">
    <cfRule type="containsBlanks" dxfId="1" priority="3">
      <formula>LEN(TRIM(A1))=0</formula>
    </cfRule>
  </conditionalFormatting>
  <conditionalFormatting sqref="B1:K1">
    <cfRule type="containsBlanks" dxfId="0" priority="1">
      <formula>LEN(TRIM(B1))=0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List Box 2">
              <controlPr defaultSize="0" autoLine="0" autoPict="0">
                <anchor moveWithCells="1">
                  <from>
                    <xdr:col>13</xdr:col>
                    <xdr:colOff>781050</xdr:colOff>
                    <xdr:row>0</xdr:row>
                    <xdr:rowOff>47625</xdr:rowOff>
                  </from>
                  <to>
                    <xdr:col>15</xdr:col>
                    <xdr:colOff>457200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_xludf.copy">
                <anchor moveWithCells="1" sizeWithCells="1">
                  <from>
                    <xdr:col>1</xdr:col>
                    <xdr:colOff>66675</xdr:colOff>
                    <xdr:row>0</xdr:row>
                    <xdr:rowOff>38100</xdr:rowOff>
                  </from>
                  <to>
                    <xdr:col>1</xdr:col>
                    <xdr:colOff>2076450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Clear_scr">
                <anchor moveWithCells="1" sizeWithCells="1">
                  <from>
                    <xdr:col>1</xdr:col>
                    <xdr:colOff>2124075</xdr:colOff>
                    <xdr:row>0</xdr:row>
                    <xdr:rowOff>38100</xdr:rowOff>
                  </from>
                  <to>
                    <xdr:col>4</xdr:col>
                    <xdr:colOff>819150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98AED-2F85-4089-95BA-7327EE28A362}">
  <sheetPr codeName="工作表6">
    <tabColor theme="8" tint="0.59999389629810485"/>
  </sheetPr>
  <dimension ref="A1:SS5000"/>
  <sheetViews>
    <sheetView showGridLines="0" zoomScale="85" zoomScaleNormal="85" workbookViewId="0"/>
  </sheetViews>
  <sheetFormatPr defaultRowHeight="16.5" x14ac:dyDescent="0.25"/>
  <cols>
    <col min="1" max="1" width="1.25" customWidth="1"/>
    <col min="2" max="2" width="28.5" customWidth="1"/>
    <col min="3" max="3" width="12.875" customWidth="1"/>
    <col min="4" max="4" width="2.125" customWidth="1"/>
    <col min="5" max="5" width="23.5" customWidth="1"/>
    <col min="6" max="6" width="11.375" customWidth="1"/>
    <col min="7" max="7" width="2.875" customWidth="1"/>
    <col min="8" max="8" width="25.875" customWidth="1"/>
    <col min="9" max="9" width="10.625" customWidth="1"/>
    <col min="10" max="10" width="4.5" customWidth="1"/>
    <col min="11" max="11" width="30.125" bestFit="1" customWidth="1"/>
    <col min="12" max="12" width="14.75" customWidth="1"/>
    <col min="13" max="13" width="4" customWidth="1"/>
    <col min="14" max="14" width="38.75" customWidth="1"/>
    <col min="15" max="15" width="17" customWidth="1"/>
  </cols>
  <sheetData>
    <row r="1" spans="1:513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SS1" s="28"/>
    </row>
    <row r="2" spans="1:513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</row>
    <row r="3" spans="1:513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</row>
    <row r="4" spans="1:513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513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</row>
    <row r="6" spans="1:513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</row>
    <row r="7" spans="1:513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</row>
    <row r="8" spans="1:513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</row>
    <row r="9" spans="1:513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</row>
    <row r="10" spans="1:513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</row>
    <row r="11" spans="1:513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</row>
    <row r="12" spans="1:513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</row>
    <row r="13" spans="1:513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</row>
    <row r="14" spans="1:513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</row>
    <row r="15" spans="1:513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</row>
    <row r="16" spans="1:513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</row>
    <row r="17" spans="1:19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</row>
    <row r="18" spans="1:19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</row>
    <row r="19" spans="1:19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</row>
    <row r="20" spans="1:19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</row>
    <row r="21" spans="1:19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</row>
    <row r="22" spans="1:19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</row>
    <row r="23" spans="1:19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</row>
    <row r="24" spans="1:19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</row>
    <row r="25" spans="1:19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19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19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19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19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19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19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19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1:19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1:19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1:19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</row>
    <row r="36" spans="1:19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1:19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</row>
    <row r="38" spans="1:19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19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19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19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19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1:19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19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</row>
    <row r="45" spans="1:19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19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19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</row>
    <row r="48" spans="1:19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1:19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1:19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1:19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1:19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1:19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1:19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1:19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1:19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1:19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1:19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1:19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60" spans="1:19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</row>
    <row r="61" spans="1:19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</row>
    <row r="62" spans="1:19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</row>
    <row r="63" spans="1:19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</row>
    <row r="64" spans="1:19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</row>
    <row r="65" spans="1:19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</row>
    <row r="66" spans="1:19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</row>
    <row r="67" spans="1:19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</row>
    <row r="68" spans="1:19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</row>
    <row r="69" spans="1:19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</row>
    <row r="70" spans="1:19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1:19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</row>
    <row r="72" spans="1:19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</row>
    <row r="73" spans="1:19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</row>
    <row r="74" spans="1:19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1:19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1:19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1:19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1:19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1:19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  <row r="80" spans="1:19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</row>
    <row r="81" spans="1:19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</row>
    <row r="82" spans="1:19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</row>
    <row r="83" spans="1:19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</row>
    <row r="84" spans="1:19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</row>
    <row r="85" spans="1:19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</row>
    <row r="86" spans="1:19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</row>
    <row r="87" spans="1:19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</row>
    <row r="88" spans="1:19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</row>
    <row r="89" spans="1:19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</row>
    <row r="90" spans="1:19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</row>
    <row r="91" spans="1:19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</row>
    <row r="92" spans="1:19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</row>
    <row r="93" spans="1:19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</row>
    <row r="94" spans="1:19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</row>
    <row r="95" spans="1:19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</row>
    <row r="96" spans="1:19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</row>
    <row r="97" spans="1:19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</row>
    <row r="98" spans="1:19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</row>
    <row r="99" spans="1:19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</row>
    <row r="100" spans="1:19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</row>
    <row r="101" spans="1:19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</row>
    <row r="102" spans="1:19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</row>
    <row r="103" spans="1:19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</row>
    <row r="104" spans="1:19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</row>
    <row r="105" spans="1:19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</row>
    <row r="106" spans="1:19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</row>
    <row r="107" spans="1:19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</row>
    <row r="108" spans="1:19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</row>
    <row r="109" spans="1:19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</row>
    <row r="110" spans="1:19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</row>
    <row r="111" spans="1:19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</row>
    <row r="112" spans="1:19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</row>
    <row r="113" spans="1:19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</row>
    <row r="114" spans="1:19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</row>
    <row r="115" spans="1:19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</row>
    <row r="116" spans="1:19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</row>
    <row r="117" spans="1:19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</row>
    <row r="118" spans="1:19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</row>
    <row r="119" spans="1:19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</row>
    <row r="120" spans="1:19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</row>
    <row r="121" spans="1:19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</row>
    <row r="122" spans="1:19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</row>
    <row r="123" spans="1:19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</row>
    <row r="124" spans="1:19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</row>
    <row r="125" spans="1:19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</row>
    <row r="126" spans="1:19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</row>
    <row r="127" spans="1:19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</row>
    <row r="128" spans="1:19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</row>
    <row r="129" spans="1:19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</row>
    <row r="130" spans="1:19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</row>
    <row r="131" spans="1:19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</row>
    <row r="132" spans="1:19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</row>
    <row r="133" spans="1:19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</row>
    <row r="134" spans="1:19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</row>
    <row r="135" spans="1:19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</row>
    <row r="136" spans="1:19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</row>
    <row r="137" spans="1:19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</row>
    <row r="138" spans="1:19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</row>
    <row r="139" spans="1:19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</row>
    <row r="140" spans="1:19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</row>
    <row r="141" spans="1:19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</row>
    <row r="142" spans="1:19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</row>
    <row r="143" spans="1:19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</row>
    <row r="144" spans="1:19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</row>
    <row r="145" spans="1:19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</row>
    <row r="146" spans="1:19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</row>
    <row r="147" spans="1:19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</row>
    <row r="148" spans="1:19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</row>
    <row r="149" spans="1:19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</row>
    <row r="150" spans="1:19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</row>
    <row r="151" spans="1:19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</row>
    <row r="152" spans="1:19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</row>
    <row r="153" spans="1:19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</row>
    <row r="154" spans="1:19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</row>
    <row r="155" spans="1:19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</row>
    <row r="156" spans="1:19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</row>
    <row r="157" spans="1:19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</row>
    <row r="158" spans="1:19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</row>
    <row r="159" spans="1:19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</row>
    <row r="160" spans="1:19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</row>
    <row r="161" spans="1:19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</row>
    <row r="162" spans="1:19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</row>
    <row r="163" spans="1:19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</row>
    <row r="164" spans="1:19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</row>
    <row r="165" spans="1:19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</row>
    <row r="166" spans="1:19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</row>
    <row r="167" spans="1:19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</row>
    <row r="168" spans="1:19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</row>
    <row r="169" spans="1:19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</row>
    <row r="170" spans="1:19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</row>
    <row r="171" spans="1:19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</row>
    <row r="172" spans="1:19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</row>
    <row r="173" spans="1:19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</row>
    <row r="174" spans="1:19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</row>
    <row r="175" spans="1:19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</row>
    <row r="176" spans="1:19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</row>
    <row r="177" spans="1:19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</row>
    <row r="178" spans="1:19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</row>
    <row r="179" spans="1:19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</row>
    <row r="180" spans="1:19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</row>
    <row r="181" spans="1:19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</row>
    <row r="182" spans="1:19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</row>
    <row r="183" spans="1:19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</row>
    <row r="184" spans="1:19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</row>
    <row r="185" spans="1:19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</row>
    <row r="186" spans="1:19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</row>
    <row r="187" spans="1:19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</row>
    <row r="188" spans="1:19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</row>
    <row r="189" spans="1:19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</row>
    <row r="190" spans="1:19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</row>
    <row r="191" spans="1:19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</row>
    <row r="192" spans="1:19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</row>
    <row r="193" spans="1:19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</row>
    <row r="194" spans="1:19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</row>
    <row r="195" spans="1:19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</row>
    <row r="196" spans="1:19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</row>
    <row r="197" spans="1:19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</row>
    <row r="198" spans="1:19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</row>
    <row r="199" spans="1:19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</row>
    <row r="200" spans="1:19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</row>
    <row r="201" spans="1:19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</row>
    <row r="202" spans="1:19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</row>
    <row r="203" spans="1:19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</row>
    <row r="204" spans="1:19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</row>
    <row r="205" spans="1:19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</row>
    <row r="206" spans="1:19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</row>
    <row r="207" spans="1:19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</row>
    <row r="208" spans="1:19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</row>
    <row r="209" spans="1:19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</row>
    <row r="210" spans="1:19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</row>
    <row r="211" spans="1:19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</row>
    <row r="212" spans="1:19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</row>
    <row r="213" spans="1:19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</row>
    <row r="214" spans="1:19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</row>
    <row r="215" spans="1:19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</row>
    <row r="216" spans="1:19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</row>
    <row r="217" spans="1:19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</row>
    <row r="218" spans="1:19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</row>
    <row r="219" spans="1:19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</row>
    <row r="220" spans="1:19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</row>
    <row r="221" spans="1:19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</row>
    <row r="222" spans="1:19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</row>
    <row r="223" spans="1:19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</row>
    <row r="224" spans="1:19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</row>
    <row r="225" spans="1:19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</row>
    <row r="226" spans="1:19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</row>
    <row r="227" spans="1:19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</row>
    <row r="228" spans="1:19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</row>
    <row r="229" spans="1:19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</row>
    <row r="230" spans="1:19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</row>
    <row r="231" spans="1:19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</row>
    <row r="232" spans="1:19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</row>
    <row r="233" spans="1:19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</row>
    <row r="234" spans="1:19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</row>
    <row r="235" spans="1:19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</row>
    <row r="236" spans="1:19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</row>
    <row r="237" spans="1:19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</row>
    <row r="238" spans="1:19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</row>
    <row r="239" spans="1:19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</row>
    <row r="240" spans="1:19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</row>
    <row r="241" spans="1:19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</row>
    <row r="242" spans="1:19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</row>
    <row r="243" spans="1:19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</row>
    <row r="244" spans="1:19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</row>
    <row r="245" spans="1:19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</row>
    <row r="246" spans="1:19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</row>
    <row r="247" spans="1:19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</row>
    <row r="248" spans="1:19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</row>
    <row r="249" spans="1:19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</row>
    <row r="250" spans="1:19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</row>
    <row r="251" spans="1:19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</row>
    <row r="252" spans="1:19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</row>
    <row r="253" spans="1:19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</row>
    <row r="254" spans="1:19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</row>
    <row r="255" spans="1:19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</row>
    <row r="256" spans="1:19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</row>
    <row r="257" spans="1:19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</row>
    <row r="258" spans="1:19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</row>
    <row r="259" spans="1:19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</row>
    <row r="260" spans="1:19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</row>
    <row r="261" spans="1:19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</row>
    <row r="262" spans="1:19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</row>
    <row r="263" spans="1:19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</row>
    <row r="264" spans="1:19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</row>
    <row r="265" spans="1:19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</row>
    <row r="266" spans="1:19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</row>
    <row r="267" spans="1:19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</row>
    <row r="268" spans="1:19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</row>
    <row r="269" spans="1:19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</row>
    <row r="270" spans="1:19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</row>
    <row r="271" spans="1:19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</row>
    <row r="272" spans="1:19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</row>
    <row r="273" spans="1:19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</row>
    <row r="274" spans="1:19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</row>
    <row r="275" spans="1:19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</row>
    <row r="276" spans="1:19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</row>
    <row r="277" spans="1:19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</row>
    <row r="278" spans="1:19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</row>
    <row r="279" spans="1:19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</row>
    <row r="280" spans="1:19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</row>
    <row r="281" spans="1:19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</row>
    <row r="282" spans="1:19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</row>
    <row r="283" spans="1:19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</row>
    <row r="284" spans="1:19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</row>
    <row r="285" spans="1:19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</row>
    <row r="286" spans="1:19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</row>
    <row r="287" spans="1:19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</row>
    <row r="288" spans="1:19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</row>
    <row r="289" spans="1:19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</row>
    <row r="290" spans="1:19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</row>
    <row r="291" spans="1:19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</row>
    <row r="292" spans="1:19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</row>
    <row r="293" spans="1:19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</row>
    <row r="294" spans="1:19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</row>
    <row r="295" spans="1:19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</row>
    <row r="296" spans="1:19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</row>
    <row r="297" spans="1:19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</row>
    <row r="298" spans="1:19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</row>
    <row r="299" spans="1:19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</row>
    <row r="300" spans="1:19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</row>
    <row r="301" spans="1:19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</row>
    <row r="302" spans="1:19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</row>
    <row r="303" spans="1:19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</row>
    <row r="304" spans="1:19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</row>
    <row r="305" spans="1:19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</row>
    <row r="306" spans="1:19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</row>
    <row r="307" spans="1:19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</row>
    <row r="308" spans="1:19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</row>
    <row r="309" spans="1:19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</row>
    <row r="310" spans="1:19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</row>
    <row r="311" spans="1:19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</row>
    <row r="312" spans="1:19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</row>
    <row r="313" spans="1:19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</row>
    <row r="314" spans="1:19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</row>
    <row r="315" spans="1:19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</row>
    <row r="316" spans="1:19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</row>
    <row r="317" spans="1:19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</row>
    <row r="318" spans="1:19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</row>
    <row r="319" spans="1:19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</row>
    <row r="320" spans="1:19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</row>
    <row r="321" spans="1:19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</row>
    <row r="322" spans="1:19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</row>
    <row r="323" spans="1:19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</row>
    <row r="324" spans="1:19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</row>
    <row r="325" spans="1:19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</row>
    <row r="326" spans="1:19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</row>
    <row r="327" spans="1:19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</row>
    <row r="328" spans="1:19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</row>
    <row r="329" spans="1:19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</row>
    <row r="330" spans="1:19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</row>
    <row r="331" spans="1:19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</row>
    <row r="332" spans="1:19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</row>
    <row r="333" spans="1:19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</row>
    <row r="334" spans="1:19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</row>
    <row r="335" spans="1:19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</row>
    <row r="336" spans="1:19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</row>
    <row r="337" spans="1:19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</row>
    <row r="338" spans="1:19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</row>
    <row r="339" spans="1:19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</row>
    <row r="340" spans="1:19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</row>
    <row r="341" spans="1:19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</row>
    <row r="342" spans="1:19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</row>
    <row r="343" spans="1:19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</row>
    <row r="344" spans="1:19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</row>
    <row r="345" spans="1:19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</row>
    <row r="346" spans="1:19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</row>
    <row r="347" spans="1:19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</row>
    <row r="348" spans="1:19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</row>
    <row r="349" spans="1:19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</row>
    <row r="350" spans="1:19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</row>
    <row r="351" spans="1:19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</row>
    <row r="352" spans="1:19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</row>
    <row r="353" spans="1:19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</row>
    <row r="354" spans="1:19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</row>
    <row r="355" spans="1:19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</row>
    <row r="356" spans="1:19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</row>
    <row r="357" spans="1:19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</row>
    <row r="358" spans="1:19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</row>
    <row r="359" spans="1:19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</row>
    <row r="360" spans="1:19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</row>
    <row r="361" spans="1:19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</row>
    <row r="362" spans="1:19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</row>
    <row r="363" spans="1:19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</row>
    <row r="364" spans="1:19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</row>
    <row r="365" spans="1:19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</row>
    <row r="366" spans="1:19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</row>
    <row r="367" spans="1:19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</row>
    <row r="368" spans="1:19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</row>
    <row r="369" spans="1:19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</row>
    <row r="370" spans="1:19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</row>
    <row r="371" spans="1:19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</row>
    <row r="372" spans="1:19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</row>
    <row r="373" spans="1:19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</row>
    <row r="374" spans="1:19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</row>
    <row r="375" spans="1:19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</row>
    <row r="376" spans="1:19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</row>
    <row r="377" spans="1:19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</row>
    <row r="378" spans="1:19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</row>
    <row r="379" spans="1:19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</row>
    <row r="380" spans="1:19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</row>
    <row r="381" spans="1:19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</row>
    <row r="382" spans="1:19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</row>
    <row r="383" spans="1:19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</row>
    <row r="384" spans="1:19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</row>
    <row r="385" spans="1:19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</row>
    <row r="386" spans="1:19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</row>
    <row r="387" spans="1:19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</row>
    <row r="388" spans="1:19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</row>
    <row r="389" spans="1:19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</row>
    <row r="390" spans="1:19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</row>
    <row r="391" spans="1:19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</row>
    <row r="392" spans="1:19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</row>
    <row r="393" spans="1:19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</row>
    <row r="394" spans="1:19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</row>
    <row r="395" spans="1:19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</row>
    <row r="396" spans="1:19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</row>
    <row r="397" spans="1:19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</row>
    <row r="398" spans="1:19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</row>
    <row r="399" spans="1:19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</row>
    <row r="400" spans="1:19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</row>
    <row r="401" spans="1:19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</row>
    <row r="402" spans="1:19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</row>
    <row r="403" spans="1:19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</row>
    <row r="404" spans="1:19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</row>
    <row r="405" spans="1:19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</row>
    <row r="406" spans="1:19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</row>
    <row r="407" spans="1:19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</row>
    <row r="408" spans="1:19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</row>
    <row r="409" spans="1:19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</row>
    <row r="410" spans="1:19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</row>
    <row r="411" spans="1:19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</row>
    <row r="412" spans="1:19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</row>
    <row r="413" spans="1:19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</row>
    <row r="414" spans="1:19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</row>
    <row r="415" spans="1:19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</row>
    <row r="416" spans="1:19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</row>
    <row r="417" spans="1:19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</row>
    <row r="418" spans="1:19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</row>
    <row r="419" spans="1:19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</row>
    <row r="420" spans="1:19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</row>
    <row r="421" spans="1:19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</row>
    <row r="422" spans="1:19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</row>
    <row r="423" spans="1:19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</row>
    <row r="424" spans="1:19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</row>
    <row r="425" spans="1:19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</row>
    <row r="426" spans="1:19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</row>
    <row r="427" spans="1:19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</row>
    <row r="428" spans="1:19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</row>
    <row r="429" spans="1:19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</row>
    <row r="430" spans="1:19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</row>
    <row r="431" spans="1:19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</row>
    <row r="432" spans="1:19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</row>
    <row r="433" spans="1:19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</row>
    <row r="434" spans="1:19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</row>
    <row r="435" spans="1:19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</row>
    <row r="436" spans="1:19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</row>
    <row r="437" spans="1:19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</row>
    <row r="438" spans="1:19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</row>
    <row r="439" spans="1:19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</row>
    <row r="440" spans="1:19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</row>
    <row r="441" spans="1:19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</row>
    <row r="442" spans="1:19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</row>
    <row r="443" spans="1:19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</row>
    <row r="444" spans="1:19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</row>
    <row r="445" spans="1:19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</row>
    <row r="446" spans="1:19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</row>
    <row r="447" spans="1:19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</row>
    <row r="448" spans="1:19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</row>
    <row r="449" spans="1:19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</row>
    <row r="450" spans="1:19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</row>
    <row r="451" spans="1:19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</row>
    <row r="452" spans="1:19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</row>
    <row r="453" spans="1:19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</row>
    <row r="454" spans="1:19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</row>
    <row r="455" spans="1:19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</row>
    <row r="456" spans="1:19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</row>
    <row r="457" spans="1:19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</row>
    <row r="458" spans="1:19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</row>
    <row r="459" spans="1:19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</row>
    <row r="460" spans="1:19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</row>
    <row r="461" spans="1:19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</row>
    <row r="462" spans="1:19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</row>
    <row r="463" spans="1:19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</row>
    <row r="464" spans="1:19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</row>
    <row r="465" spans="1:19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</row>
    <row r="466" spans="1:19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</row>
    <row r="467" spans="1:19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</row>
    <row r="468" spans="1:19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</row>
    <row r="469" spans="1:19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</row>
    <row r="470" spans="1:19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</row>
    <row r="471" spans="1:19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</row>
    <row r="472" spans="1:19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</row>
    <row r="473" spans="1:19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</row>
    <row r="474" spans="1:19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</row>
    <row r="475" spans="1:19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</row>
    <row r="476" spans="1:19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</row>
    <row r="477" spans="1:19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</row>
    <row r="478" spans="1:19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</row>
    <row r="479" spans="1:19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</row>
    <row r="480" spans="1:19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</row>
    <row r="481" spans="1:19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</row>
    <row r="482" spans="1:19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</row>
    <row r="483" spans="1:19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</row>
    <row r="484" spans="1:19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</row>
    <row r="485" spans="1:19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</row>
    <row r="486" spans="1:19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</row>
    <row r="487" spans="1:19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</row>
    <row r="488" spans="1:19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</row>
    <row r="489" spans="1:19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</row>
    <row r="490" spans="1:19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</row>
    <row r="491" spans="1:19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</row>
    <row r="492" spans="1:19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</row>
    <row r="493" spans="1:19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</row>
    <row r="494" spans="1:19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</row>
    <row r="495" spans="1:19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</row>
    <row r="496" spans="1:19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</row>
    <row r="497" spans="1:19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</row>
    <row r="498" spans="1:19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</row>
    <row r="499" spans="1:19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</row>
    <row r="500" spans="1:19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</row>
    <row r="501" spans="1:19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</row>
    <row r="502" spans="1:19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</row>
    <row r="503" spans="1:19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</row>
    <row r="504" spans="1:19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</row>
    <row r="505" spans="1:19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</row>
    <row r="506" spans="1:19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</row>
    <row r="507" spans="1:19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</row>
    <row r="508" spans="1:19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</row>
    <row r="509" spans="1:19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</row>
    <row r="510" spans="1:19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</row>
    <row r="511" spans="1:19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</row>
    <row r="512" spans="1:19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</row>
    <row r="513" spans="1:19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</row>
    <row r="514" spans="1:19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</row>
    <row r="515" spans="1:19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</row>
    <row r="516" spans="1:19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</row>
    <row r="517" spans="1:19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</row>
    <row r="518" spans="1:19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</row>
    <row r="519" spans="1:19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</row>
    <row r="520" spans="1:19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</row>
    <row r="521" spans="1:19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</row>
    <row r="522" spans="1:19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</row>
    <row r="523" spans="1:19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</row>
    <row r="524" spans="1:19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</row>
    <row r="525" spans="1:19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</row>
    <row r="526" spans="1:19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</row>
    <row r="527" spans="1:19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</row>
    <row r="528" spans="1:19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</row>
    <row r="529" spans="1:19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</row>
    <row r="530" spans="1:19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</row>
    <row r="531" spans="1:19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</row>
    <row r="532" spans="1:19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</row>
    <row r="533" spans="1:19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</row>
    <row r="534" spans="1:19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</row>
    <row r="535" spans="1:19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</row>
    <row r="536" spans="1:19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</row>
    <row r="537" spans="1:19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</row>
    <row r="538" spans="1:19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</row>
    <row r="539" spans="1:19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</row>
    <row r="540" spans="1:19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</row>
    <row r="541" spans="1:19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</row>
    <row r="542" spans="1:19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</row>
    <row r="543" spans="1:19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</row>
    <row r="544" spans="1:19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</row>
    <row r="545" spans="1:19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</row>
    <row r="546" spans="1:19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</row>
    <row r="547" spans="1:19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</row>
    <row r="548" spans="1:19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</row>
    <row r="549" spans="1:19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</row>
    <row r="550" spans="1:19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</row>
    <row r="551" spans="1:19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</row>
    <row r="552" spans="1:19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</row>
    <row r="553" spans="1:19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</row>
    <row r="554" spans="1:19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</row>
    <row r="555" spans="1:19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</row>
    <row r="556" spans="1:19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</row>
    <row r="557" spans="1:19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</row>
    <row r="558" spans="1:19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</row>
    <row r="559" spans="1:19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</row>
    <row r="560" spans="1:19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</row>
    <row r="561" spans="1:19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</row>
    <row r="562" spans="1:19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</row>
    <row r="563" spans="1:19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</row>
    <row r="564" spans="1:19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</row>
    <row r="565" spans="1:19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</row>
    <row r="566" spans="1:19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</row>
    <row r="567" spans="1:19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</row>
    <row r="568" spans="1:19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</row>
    <row r="569" spans="1:19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</row>
    <row r="570" spans="1:19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</row>
    <row r="571" spans="1:19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</row>
    <row r="572" spans="1:19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</row>
    <row r="573" spans="1:19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</row>
    <row r="574" spans="1:19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</row>
    <row r="575" spans="1:19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</row>
    <row r="576" spans="1:19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</row>
    <row r="577" spans="1:19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</row>
    <row r="578" spans="1:19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</row>
    <row r="579" spans="1:19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</row>
    <row r="580" spans="1:19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</row>
    <row r="581" spans="1:19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</row>
    <row r="582" spans="1:19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</row>
    <row r="583" spans="1:19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</row>
    <row r="584" spans="1:19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</row>
    <row r="585" spans="1:19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</row>
    <row r="586" spans="1:19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</row>
    <row r="587" spans="1:19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</row>
    <row r="588" spans="1:19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</row>
    <row r="589" spans="1:19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</row>
    <row r="590" spans="1:19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</row>
    <row r="591" spans="1:19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</row>
    <row r="592" spans="1:19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</row>
    <row r="593" spans="1:19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</row>
    <row r="594" spans="1:19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</row>
    <row r="595" spans="1:19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</row>
    <row r="596" spans="1:19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</row>
    <row r="597" spans="1:19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</row>
    <row r="598" spans="1:19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</row>
    <row r="599" spans="1:19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</row>
    <row r="600" spans="1:19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</row>
    <row r="601" spans="1:19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</row>
    <row r="602" spans="1:19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</row>
    <row r="603" spans="1:19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</row>
    <row r="604" spans="1:19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</row>
    <row r="605" spans="1:19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</row>
    <row r="606" spans="1:19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</row>
    <row r="607" spans="1:19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</row>
    <row r="608" spans="1:19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</row>
    <row r="609" spans="1:19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</row>
    <row r="610" spans="1:19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</row>
    <row r="611" spans="1:19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</row>
    <row r="612" spans="1:19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</row>
    <row r="613" spans="1:19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</row>
    <row r="614" spans="1:19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</row>
    <row r="615" spans="1:19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</row>
    <row r="616" spans="1:19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</row>
    <row r="617" spans="1:19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</row>
    <row r="618" spans="1:19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</row>
    <row r="619" spans="1:19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</row>
    <row r="620" spans="1:19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</row>
    <row r="621" spans="1:19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</row>
    <row r="622" spans="1:19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</row>
    <row r="623" spans="1:19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</row>
    <row r="624" spans="1:19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</row>
    <row r="625" spans="1:19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</row>
    <row r="626" spans="1:19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</row>
    <row r="627" spans="1:19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</row>
    <row r="628" spans="1:19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</row>
    <row r="629" spans="1:19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</row>
    <row r="630" spans="1:19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</row>
    <row r="631" spans="1:19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</row>
    <row r="632" spans="1:19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</row>
    <row r="633" spans="1:19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</row>
    <row r="634" spans="1:19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</row>
    <row r="635" spans="1:19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</row>
    <row r="636" spans="1:19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</row>
    <row r="637" spans="1:19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</row>
    <row r="638" spans="1:19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</row>
    <row r="639" spans="1:19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</row>
    <row r="640" spans="1:19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</row>
    <row r="641" spans="1:19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</row>
    <row r="642" spans="1:19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</row>
    <row r="643" spans="1:19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</row>
    <row r="644" spans="1:19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</row>
    <row r="645" spans="1:19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</row>
    <row r="646" spans="1:19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</row>
    <row r="647" spans="1:19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</row>
    <row r="648" spans="1:19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</row>
    <row r="649" spans="1:19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</row>
    <row r="650" spans="1:19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</row>
    <row r="651" spans="1:19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</row>
    <row r="652" spans="1:19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</row>
    <row r="653" spans="1:19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</row>
    <row r="654" spans="1:19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</row>
    <row r="655" spans="1:19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</row>
    <row r="656" spans="1:19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</row>
    <row r="657" spans="1:19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</row>
    <row r="658" spans="1:19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</row>
    <row r="659" spans="1:19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</row>
    <row r="660" spans="1:19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</row>
    <row r="661" spans="1:19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</row>
    <row r="662" spans="1:19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</row>
    <row r="663" spans="1:19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</row>
    <row r="664" spans="1:19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</row>
    <row r="665" spans="1:19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</row>
    <row r="666" spans="1:19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</row>
    <row r="667" spans="1:19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</row>
    <row r="668" spans="1:19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</row>
    <row r="669" spans="1:19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</row>
    <row r="670" spans="1:19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</row>
    <row r="671" spans="1:19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</row>
    <row r="672" spans="1:19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</row>
    <row r="673" spans="1:19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</row>
    <row r="674" spans="1:19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</row>
    <row r="675" spans="1:19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</row>
    <row r="676" spans="1:19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</row>
    <row r="677" spans="1:19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</row>
    <row r="678" spans="1:19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</row>
    <row r="679" spans="1:19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</row>
    <row r="680" spans="1:19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</row>
    <row r="681" spans="1:19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</row>
    <row r="682" spans="1:19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</row>
    <row r="683" spans="1:19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</row>
    <row r="684" spans="1:19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</row>
    <row r="685" spans="1:19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</row>
    <row r="686" spans="1:19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</row>
    <row r="687" spans="1:19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</row>
    <row r="688" spans="1:19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</row>
    <row r="689" spans="1:19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</row>
    <row r="690" spans="1:19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</row>
    <row r="691" spans="1:19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</row>
    <row r="692" spans="1:19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</row>
    <row r="693" spans="1:19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</row>
    <row r="694" spans="1:19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</row>
    <row r="695" spans="1:19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</row>
    <row r="696" spans="1:19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</row>
    <row r="697" spans="1:19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</row>
    <row r="698" spans="1:19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</row>
    <row r="699" spans="1:19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</row>
    <row r="700" spans="1:19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</row>
    <row r="701" spans="1:19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</row>
    <row r="702" spans="1:19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</row>
    <row r="703" spans="1:19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</row>
    <row r="704" spans="1:19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</row>
    <row r="705" spans="1:19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</row>
    <row r="706" spans="1:19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</row>
    <row r="707" spans="1:19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</row>
    <row r="708" spans="1:19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</row>
    <row r="709" spans="1:19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</row>
    <row r="710" spans="1:19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</row>
    <row r="711" spans="1:19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</row>
    <row r="712" spans="1:19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</row>
    <row r="713" spans="1:19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</row>
    <row r="714" spans="1:19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</row>
    <row r="715" spans="1:19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</row>
    <row r="716" spans="1:19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</row>
    <row r="717" spans="1:19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</row>
    <row r="718" spans="1:19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</row>
    <row r="719" spans="1:19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</row>
    <row r="720" spans="1:19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</row>
    <row r="721" spans="1:19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</row>
    <row r="722" spans="1:19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</row>
    <row r="723" spans="1:19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</row>
    <row r="724" spans="1:19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</row>
    <row r="725" spans="1:19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</row>
    <row r="726" spans="1:19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</row>
    <row r="727" spans="1:19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</row>
    <row r="728" spans="1:19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</row>
    <row r="729" spans="1:19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</row>
    <row r="730" spans="1:19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</row>
    <row r="731" spans="1:19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</row>
    <row r="732" spans="1:19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</row>
    <row r="733" spans="1:19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</row>
    <row r="734" spans="1:19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</row>
    <row r="735" spans="1:19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</row>
    <row r="736" spans="1:19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</row>
    <row r="737" spans="1:19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</row>
    <row r="738" spans="1:19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</row>
    <row r="739" spans="1:19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</row>
    <row r="740" spans="1:19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</row>
    <row r="741" spans="1:19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</row>
    <row r="742" spans="1:19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</row>
    <row r="743" spans="1:19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</row>
    <row r="744" spans="1:19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</row>
    <row r="745" spans="1:19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</row>
    <row r="746" spans="1:19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</row>
    <row r="747" spans="1:19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</row>
    <row r="748" spans="1:19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</row>
    <row r="749" spans="1:19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</row>
    <row r="750" spans="1:19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</row>
    <row r="751" spans="1:19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</row>
    <row r="752" spans="1:19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</row>
    <row r="753" spans="1:19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</row>
    <row r="754" spans="1:19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</row>
    <row r="755" spans="1:19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</row>
    <row r="756" spans="1:19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</row>
    <row r="757" spans="1:19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</row>
    <row r="758" spans="1:19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</row>
    <row r="759" spans="1:19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</row>
    <row r="760" spans="1:19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</row>
    <row r="761" spans="1:19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</row>
    <row r="762" spans="1:19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</row>
    <row r="763" spans="1:19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</row>
    <row r="764" spans="1:19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</row>
    <row r="765" spans="1:19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</row>
    <row r="766" spans="1:19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</row>
    <row r="767" spans="1:19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</row>
    <row r="768" spans="1:19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</row>
    <row r="769" spans="1:19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</row>
    <row r="770" spans="1:19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</row>
    <row r="771" spans="1:19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</row>
    <row r="772" spans="1:19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</row>
    <row r="773" spans="1:19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</row>
    <row r="774" spans="1:19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</row>
    <row r="775" spans="1:19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</row>
    <row r="776" spans="1:19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</row>
    <row r="777" spans="1:19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</row>
    <row r="778" spans="1:19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</row>
    <row r="779" spans="1:19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</row>
    <row r="780" spans="1:19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</row>
    <row r="781" spans="1:19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</row>
    <row r="782" spans="1:19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</row>
    <row r="783" spans="1:19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</row>
    <row r="784" spans="1:19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</row>
    <row r="785" spans="1:19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</row>
    <row r="786" spans="1:19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</row>
    <row r="787" spans="1:19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</row>
    <row r="788" spans="1:19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</row>
    <row r="789" spans="1:19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</row>
    <row r="790" spans="1:19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</row>
    <row r="791" spans="1:19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</row>
    <row r="792" spans="1:19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</row>
    <row r="793" spans="1:19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</row>
    <row r="794" spans="1:19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</row>
    <row r="795" spans="1:19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</row>
    <row r="796" spans="1:19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</row>
    <row r="797" spans="1:19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</row>
    <row r="798" spans="1:19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</row>
    <row r="799" spans="1:19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</row>
    <row r="800" spans="1:19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</row>
    <row r="801" spans="1:19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</row>
    <row r="802" spans="1:19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</row>
    <row r="803" spans="1:19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</row>
    <row r="804" spans="1:19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</row>
    <row r="805" spans="1:19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</row>
    <row r="806" spans="1:19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</row>
    <row r="807" spans="1:19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</row>
    <row r="808" spans="1:19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</row>
    <row r="809" spans="1:19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</row>
    <row r="810" spans="1:19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</row>
    <row r="811" spans="1:19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</row>
    <row r="812" spans="1:19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</row>
    <row r="813" spans="1:19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</row>
    <row r="814" spans="1:19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</row>
    <row r="815" spans="1:19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</row>
    <row r="816" spans="1:19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</row>
    <row r="817" spans="1:19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</row>
    <row r="818" spans="1:19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</row>
    <row r="819" spans="1:19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</row>
    <row r="820" spans="1:19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</row>
    <row r="821" spans="1:19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</row>
    <row r="822" spans="1:19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</row>
    <row r="823" spans="1:19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</row>
    <row r="824" spans="1:19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</row>
    <row r="825" spans="1:19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</row>
    <row r="826" spans="1:19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</row>
    <row r="827" spans="1:19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</row>
    <row r="828" spans="1:19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</row>
    <row r="829" spans="1:19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</row>
    <row r="830" spans="1:19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</row>
    <row r="831" spans="1:19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</row>
    <row r="832" spans="1:19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</row>
    <row r="833" spans="1:19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</row>
    <row r="834" spans="1:19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</row>
    <row r="835" spans="1:19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</row>
    <row r="836" spans="1:19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</row>
    <row r="837" spans="1:19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</row>
    <row r="838" spans="1:19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</row>
    <row r="839" spans="1:19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</row>
    <row r="840" spans="1:19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</row>
    <row r="841" spans="1:19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</row>
    <row r="842" spans="1:19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</row>
    <row r="843" spans="1:19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</row>
    <row r="844" spans="1:19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</row>
    <row r="845" spans="1:19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</row>
    <row r="846" spans="1:19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</row>
    <row r="847" spans="1:19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</row>
    <row r="848" spans="1:19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</row>
    <row r="849" spans="1:19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</row>
    <row r="850" spans="1:19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</row>
    <row r="851" spans="1:19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</row>
    <row r="852" spans="1:19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</row>
    <row r="853" spans="1:19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</row>
    <row r="854" spans="1:19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</row>
    <row r="855" spans="1:19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</row>
    <row r="856" spans="1:19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</row>
    <row r="857" spans="1:19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</row>
    <row r="858" spans="1:19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</row>
    <row r="859" spans="1:19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</row>
    <row r="860" spans="1:19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</row>
    <row r="861" spans="1:19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</row>
    <row r="862" spans="1:19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</row>
    <row r="863" spans="1:19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</row>
    <row r="864" spans="1:19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</row>
    <row r="865" spans="1:19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</row>
    <row r="866" spans="1:19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</row>
    <row r="867" spans="1:19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</row>
    <row r="868" spans="1:19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</row>
    <row r="869" spans="1:19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</row>
    <row r="870" spans="1:19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</row>
    <row r="871" spans="1:19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</row>
    <row r="872" spans="1:19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</row>
    <row r="873" spans="1:19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</row>
    <row r="874" spans="1:19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</row>
    <row r="875" spans="1:19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</row>
    <row r="876" spans="1:19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</row>
    <row r="877" spans="1:19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</row>
    <row r="878" spans="1:19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</row>
    <row r="879" spans="1:19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</row>
    <row r="880" spans="1:19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</row>
    <row r="881" spans="1:19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</row>
    <row r="882" spans="1:19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</row>
    <row r="883" spans="1:19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</row>
    <row r="884" spans="1:19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</row>
    <row r="885" spans="1:19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</row>
    <row r="886" spans="1:19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</row>
    <row r="887" spans="1:19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</row>
    <row r="888" spans="1:19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</row>
    <row r="889" spans="1:19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</row>
    <row r="890" spans="1:19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</row>
    <row r="891" spans="1:19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</row>
    <row r="892" spans="1:19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</row>
    <row r="893" spans="1:19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</row>
    <row r="894" spans="1:19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</row>
    <row r="895" spans="1:19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</row>
    <row r="896" spans="1:19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</row>
    <row r="897" spans="1:19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</row>
    <row r="898" spans="1:19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</row>
    <row r="899" spans="1:19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</row>
    <row r="900" spans="1:19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</row>
    <row r="901" spans="1:19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</row>
    <row r="902" spans="1:19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</row>
    <row r="903" spans="1:19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</row>
    <row r="904" spans="1:19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</row>
    <row r="905" spans="1:19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</row>
    <row r="906" spans="1:19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</row>
    <row r="907" spans="1:19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</row>
    <row r="908" spans="1:19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</row>
    <row r="909" spans="1:19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</row>
    <row r="910" spans="1:19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</row>
    <row r="911" spans="1:19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</row>
    <row r="912" spans="1:19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</row>
    <row r="913" spans="1:19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</row>
    <row r="914" spans="1:19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</row>
    <row r="915" spans="1:19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</row>
    <row r="916" spans="1:19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</row>
    <row r="917" spans="1:19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</row>
    <row r="918" spans="1:19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</row>
    <row r="919" spans="1:19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</row>
    <row r="920" spans="1:19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</row>
    <row r="921" spans="1:19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</row>
    <row r="922" spans="1:19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</row>
    <row r="923" spans="1:19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</row>
    <row r="924" spans="1:19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</row>
    <row r="925" spans="1:19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</row>
    <row r="926" spans="1:19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</row>
    <row r="927" spans="1:19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</row>
    <row r="928" spans="1:19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</row>
    <row r="929" spans="1:19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</row>
    <row r="930" spans="1:19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</row>
    <row r="931" spans="1:19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</row>
    <row r="932" spans="1:19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</row>
    <row r="933" spans="1:19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</row>
    <row r="934" spans="1:19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</row>
    <row r="935" spans="1:19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</row>
    <row r="936" spans="1:19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</row>
    <row r="937" spans="1:19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</row>
    <row r="938" spans="1:19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</row>
    <row r="939" spans="1:19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</row>
    <row r="940" spans="1:19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</row>
    <row r="941" spans="1:19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</row>
    <row r="942" spans="1:19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</row>
    <row r="943" spans="1:19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</row>
    <row r="944" spans="1:19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</row>
    <row r="945" spans="1:19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</row>
    <row r="946" spans="1:19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</row>
    <row r="947" spans="1:19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</row>
    <row r="948" spans="1:19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</row>
    <row r="949" spans="1:19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</row>
    <row r="950" spans="1:19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</row>
    <row r="951" spans="1:19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</row>
    <row r="952" spans="1:19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</row>
    <row r="953" spans="1:19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</row>
    <row r="954" spans="1:19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</row>
    <row r="955" spans="1:19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</row>
    <row r="956" spans="1:19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</row>
    <row r="957" spans="1:19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</row>
    <row r="958" spans="1:19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</row>
    <row r="959" spans="1:19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</row>
    <row r="960" spans="1:19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</row>
    <row r="961" spans="1:19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</row>
    <row r="962" spans="1:19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</row>
    <row r="963" spans="1:19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</row>
    <row r="964" spans="1:19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</row>
    <row r="965" spans="1:19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</row>
    <row r="966" spans="1:19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</row>
    <row r="967" spans="1:19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</row>
    <row r="968" spans="1:19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</row>
    <row r="969" spans="1:19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</row>
    <row r="970" spans="1:19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</row>
    <row r="971" spans="1:19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</row>
    <row r="972" spans="1:19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</row>
    <row r="973" spans="1:19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</row>
    <row r="974" spans="1:19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</row>
    <row r="975" spans="1:19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</row>
    <row r="976" spans="1:19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</row>
    <row r="977" spans="1:19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</row>
    <row r="978" spans="1:19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</row>
    <row r="979" spans="1:19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</row>
    <row r="980" spans="1:19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</row>
    <row r="981" spans="1:19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</row>
    <row r="982" spans="1:19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</row>
    <row r="983" spans="1:19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</row>
    <row r="984" spans="1:19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</row>
    <row r="985" spans="1:19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</row>
    <row r="986" spans="1:19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</row>
    <row r="987" spans="1:19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</row>
    <row r="988" spans="1:19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</row>
    <row r="989" spans="1:19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</row>
    <row r="990" spans="1:19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</row>
    <row r="991" spans="1:19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</row>
    <row r="992" spans="1:19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</row>
    <row r="993" spans="1:19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</row>
    <row r="994" spans="1:19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</row>
    <row r="995" spans="1:19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</row>
    <row r="996" spans="1:19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</row>
    <row r="997" spans="1:19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</row>
    <row r="998" spans="1:19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</row>
    <row r="999" spans="1:19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</row>
    <row r="1000" spans="1:19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</row>
    <row r="1001" spans="1:19" x14ac:dyDescent="0.25">
      <c r="A1001" s="28"/>
      <c r="B1001" s="28"/>
      <c r="C1001" s="28"/>
      <c r="D1001" s="28"/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</row>
    <row r="1002" spans="1:19" x14ac:dyDescent="0.25">
      <c r="A1002" s="28"/>
      <c r="B1002" s="28"/>
      <c r="C1002" s="28"/>
      <c r="D1002" s="28"/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</row>
    <row r="1003" spans="1:19" x14ac:dyDescent="0.25">
      <c r="A1003" s="28"/>
      <c r="B1003" s="28"/>
      <c r="C1003" s="28"/>
      <c r="D1003" s="28"/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</row>
    <row r="1004" spans="1:19" x14ac:dyDescent="0.25">
      <c r="A1004" s="28"/>
      <c r="B1004" s="28"/>
      <c r="C1004" s="28"/>
      <c r="D1004" s="28"/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</row>
    <row r="1005" spans="1:19" x14ac:dyDescent="0.25">
      <c r="A1005" s="28"/>
      <c r="B1005" s="28"/>
      <c r="C1005" s="28"/>
      <c r="D1005" s="28"/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</row>
    <row r="1006" spans="1:19" x14ac:dyDescent="0.25">
      <c r="A1006" s="28"/>
      <c r="B1006" s="28"/>
      <c r="C1006" s="28"/>
      <c r="D1006" s="28"/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</row>
    <row r="1007" spans="1:19" x14ac:dyDescent="0.25">
      <c r="A1007" s="28"/>
      <c r="B1007" s="28"/>
      <c r="C1007" s="28"/>
      <c r="D1007" s="28"/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</row>
    <row r="1008" spans="1:19" x14ac:dyDescent="0.25">
      <c r="A1008" s="28"/>
      <c r="B1008" s="28"/>
      <c r="C1008" s="28"/>
      <c r="D1008" s="28"/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</row>
    <row r="1009" spans="1:19" x14ac:dyDescent="0.25">
      <c r="A1009" s="28"/>
      <c r="B1009" s="28"/>
      <c r="C1009" s="28"/>
      <c r="D1009" s="28"/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</row>
    <row r="1010" spans="1:19" x14ac:dyDescent="0.25">
      <c r="A1010" s="28"/>
      <c r="B1010" s="28"/>
      <c r="C1010" s="28"/>
      <c r="D1010" s="28"/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</row>
    <row r="1011" spans="1:19" x14ac:dyDescent="0.25">
      <c r="A1011" s="28"/>
      <c r="B1011" s="28"/>
      <c r="C1011" s="28"/>
      <c r="D1011" s="28"/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</row>
    <row r="1012" spans="1:19" x14ac:dyDescent="0.25">
      <c r="A1012" s="28"/>
      <c r="B1012" s="28"/>
      <c r="C1012" s="28"/>
      <c r="D1012" s="28"/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</row>
    <row r="1013" spans="1:19" x14ac:dyDescent="0.25">
      <c r="A1013" s="28"/>
      <c r="B1013" s="28"/>
      <c r="C1013" s="28"/>
      <c r="D1013" s="28"/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</row>
    <row r="1014" spans="1:19" x14ac:dyDescent="0.25">
      <c r="A1014" s="28"/>
      <c r="B1014" s="28"/>
      <c r="C1014" s="28"/>
      <c r="D1014" s="28"/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</row>
    <row r="1015" spans="1:19" x14ac:dyDescent="0.25">
      <c r="A1015" s="28"/>
      <c r="B1015" s="28"/>
      <c r="C1015" s="28"/>
      <c r="D1015" s="28"/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</row>
    <row r="1016" spans="1:19" x14ac:dyDescent="0.25">
      <c r="A1016" s="28"/>
      <c r="B1016" s="28"/>
      <c r="C1016" s="28"/>
      <c r="D1016" s="28"/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</row>
    <row r="1017" spans="1:19" x14ac:dyDescent="0.25">
      <c r="A1017" s="28"/>
      <c r="B1017" s="28"/>
      <c r="C1017" s="28"/>
      <c r="D1017" s="28"/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</row>
    <row r="1018" spans="1:19" x14ac:dyDescent="0.25">
      <c r="A1018" s="28"/>
      <c r="B1018" s="28"/>
      <c r="C1018" s="28"/>
      <c r="D1018" s="28"/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</row>
    <row r="1019" spans="1:19" x14ac:dyDescent="0.25">
      <c r="A1019" s="28"/>
      <c r="B1019" s="28"/>
      <c r="C1019" s="28"/>
      <c r="D1019" s="28"/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</row>
    <row r="1020" spans="1:19" x14ac:dyDescent="0.25">
      <c r="A1020" s="28"/>
      <c r="B1020" s="28"/>
      <c r="C1020" s="28"/>
      <c r="D1020" s="28"/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</row>
    <row r="1021" spans="1:19" x14ac:dyDescent="0.25">
      <c r="A1021" s="28"/>
      <c r="B1021" s="28"/>
      <c r="C1021" s="28"/>
      <c r="D1021" s="28"/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</row>
    <row r="1022" spans="1:19" x14ac:dyDescent="0.25">
      <c r="A1022" s="28"/>
      <c r="B1022" s="28"/>
      <c r="C1022" s="28"/>
      <c r="D1022" s="28"/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</row>
    <row r="1023" spans="1:19" x14ac:dyDescent="0.25">
      <c r="A1023" s="28"/>
      <c r="B1023" s="28"/>
      <c r="C1023" s="28"/>
      <c r="D1023" s="28"/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</row>
    <row r="1024" spans="1:19" x14ac:dyDescent="0.25">
      <c r="A1024" s="28"/>
      <c r="B1024" s="28"/>
      <c r="C1024" s="28"/>
      <c r="D1024" s="28"/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</row>
    <row r="1025" spans="1:19" x14ac:dyDescent="0.25">
      <c r="A1025" s="28"/>
      <c r="B1025" s="28"/>
      <c r="C1025" s="28"/>
      <c r="D1025" s="28"/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</row>
    <row r="1026" spans="1:19" x14ac:dyDescent="0.25">
      <c r="A1026" s="28"/>
      <c r="B1026" s="28"/>
      <c r="C1026" s="28"/>
      <c r="D1026" s="28"/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</row>
    <row r="1027" spans="1:19" x14ac:dyDescent="0.25">
      <c r="A1027" s="28"/>
      <c r="B1027" s="28"/>
      <c r="C1027" s="28"/>
      <c r="D1027" s="28"/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</row>
    <row r="1028" spans="1:19" x14ac:dyDescent="0.25">
      <c r="A1028" s="28"/>
      <c r="B1028" s="28"/>
      <c r="C1028" s="28"/>
      <c r="D1028" s="28"/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</row>
    <row r="1029" spans="1:19" x14ac:dyDescent="0.25">
      <c r="A1029" s="28"/>
      <c r="B1029" s="28"/>
      <c r="C1029" s="28"/>
      <c r="D1029" s="28"/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</row>
    <row r="1030" spans="1:19" x14ac:dyDescent="0.25">
      <c r="A1030" s="28"/>
      <c r="B1030" s="28"/>
      <c r="C1030" s="28"/>
      <c r="D1030" s="28"/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</row>
    <row r="1031" spans="1:19" x14ac:dyDescent="0.25">
      <c r="A1031" s="28"/>
      <c r="B1031" s="28"/>
      <c r="C1031" s="28"/>
      <c r="D1031" s="28"/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</row>
    <row r="1032" spans="1:19" x14ac:dyDescent="0.25">
      <c r="A1032" s="28"/>
      <c r="B1032" s="28"/>
      <c r="C1032" s="28"/>
      <c r="D1032" s="28"/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</row>
    <row r="1033" spans="1:19" x14ac:dyDescent="0.25">
      <c r="A1033" s="28"/>
      <c r="B1033" s="28"/>
      <c r="C1033" s="28"/>
      <c r="D1033" s="28"/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</row>
    <row r="1034" spans="1:19" x14ac:dyDescent="0.25">
      <c r="A1034" s="28"/>
      <c r="B1034" s="28"/>
      <c r="C1034" s="28"/>
      <c r="D1034" s="28"/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</row>
    <row r="1035" spans="1:19" x14ac:dyDescent="0.25">
      <c r="A1035" s="28"/>
      <c r="B1035" s="28"/>
      <c r="C1035" s="28"/>
      <c r="D1035" s="28"/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</row>
    <row r="1036" spans="1:19" x14ac:dyDescent="0.25">
      <c r="A1036" s="28"/>
      <c r="B1036" s="28"/>
      <c r="C1036" s="28"/>
      <c r="D1036" s="28"/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</row>
    <row r="1037" spans="1:19" x14ac:dyDescent="0.25">
      <c r="A1037" s="28"/>
      <c r="B1037" s="28"/>
      <c r="C1037" s="28"/>
      <c r="D1037" s="28"/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</row>
    <row r="1038" spans="1:19" x14ac:dyDescent="0.25">
      <c r="A1038" s="28"/>
      <c r="B1038" s="28"/>
      <c r="C1038" s="28"/>
      <c r="D1038" s="28"/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</row>
    <row r="1039" spans="1:19" x14ac:dyDescent="0.25">
      <c r="A1039" s="28"/>
      <c r="B1039" s="28"/>
      <c r="C1039" s="28"/>
      <c r="D1039" s="28"/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</row>
    <row r="1040" spans="1:19" x14ac:dyDescent="0.25">
      <c r="A1040" s="28"/>
      <c r="B1040" s="28"/>
      <c r="C1040" s="28"/>
      <c r="D1040" s="28"/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</row>
    <row r="1041" spans="1:19" x14ac:dyDescent="0.25">
      <c r="A1041" s="28"/>
      <c r="B1041" s="28"/>
      <c r="C1041" s="28"/>
      <c r="D1041" s="28"/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</row>
    <row r="1042" spans="1:19" x14ac:dyDescent="0.25">
      <c r="A1042" s="28"/>
      <c r="B1042" s="28"/>
      <c r="C1042" s="28"/>
      <c r="D1042" s="28"/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</row>
    <row r="1043" spans="1:19" x14ac:dyDescent="0.25">
      <c r="A1043" s="28"/>
      <c r="B1043" s="28"/>
      <c r="C1043" s="28"/>
      <c r="D1043" s="28"/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</row>
    <row r="1044" spans="1:19" x14ac:dyDescent="0.25">
      <c r="A1044" s="28"/>
      <c r="B1044" s="28"/>
      <c r="C1044" s="28"/>
      <c r="D1044" s="28"/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</row>
    <row r="1045" spans="1:19" x14ac:dyDescent="0.25">
      <c r="A1045" s="28"/>
      <c r="B1045" s="28"/>
      <c r="C1045" s="28"/>
      <c r="D1045" s="28"/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</row>
    <row r="1046" spans="1:19" x14ac:dyDescent="0.25">
      <c r="A1046" s="28"/>
      <c r="B1046" s="28"/>
      <c r="C1046" s="28"/>
      <c r="D1046" s="28"/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</row>
    <row r="1047" spans="1:19" x14ac:dyDescent="0.25">
      <c r="A1047" s="28"/>
      <c r="B1047" s="28"/>
      <c r="C1047" s="28"/>
      <c r="D1047" s="28"/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</row>
    <row r="1048" spans="1:19" x14ac:dyDescent="0.25">
      <c r="A1048" s="28"/>
      <c r="B1048" s="28"/>
      <c r="C1048" s="28"/>
      <c r="D1048" s="28"/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</row>
    <row r="1049" spans="1:19" x14ac:dyDescent="0.25">
      <c r="A1049" s="28"/>
      <c r="B1049" s="28"/>
      <c r="C1049" s="28"/>
      <c r="D1049" s="28"/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</row>
    <row r="1050" spans="1:19" x14ac:dyDescent="0.25">
      <c r="A1050" s="28"/>
      <c r="B1050" s="28"/>
      <c r="C1050" s="28"/>
      <c r="D1050" s="28"/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</row>
    <row r="1051" spans="1:19" x14ac:dyDescent="0.25">
      <c r="A1051" s="28"/>
      <c r="B1051" s="28"/>
      <c r="C1051" s="28"/>
      <c r="D1051" s="28"/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</row>
    <row r="1052" spans="1:19" x14ac:dyDescent="0.25">
      <c r="A1052" s="28"/>
      <c r="B1052" s="28"/>
      <c r="C1052" s="28"/>
      <c r="D1052" s="28"/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</row>
    <row r="1053" spans="1:19" x14ac:dyDescent="0.25">
      <c r="A1053" s="28"/>
      <c r="B1053" s="28"/>
      <c r="C1053" s="28"/>
      <c r="D1053" s="28"/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</row>
    <row r="1054" spans="1:19" x14ac:dyDescent="0.25">
      <c r="A1054" s="28"/>
      <c r="B1054" s="28"/>
      <c r="C1054" s="28"/>
      <c r="D1054" s="28"/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</row>
    <row r="1055" spans="1:19" x14ac:dyDescent="0.25">
      <c r="A1055" s="28"/>
      <c r="B1055" s="28"/>
      <c r="C1055" s="28"/>
      <c r="D1055" s="28"/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</row>
    <row r="1056" spans="1:19" x14ac:dyDescent="0.25">
      <c r="A1056" s="28"/>
      <c r="B1056" s="28"/>
      <c r="C1056" s="28"/>
      <c r="D1056" s="28"/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</row>
    <row r="1057" spans="1:19" x14ac:dyDescent="0.25">
      <c r="A1057" s="28"/>
      <c r="B1057" s="28"/>
      <c r="C1057" s="28"/>
      <c r="D1057" s="28"/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</row>
    <row r="1058" spans="1:19" x14ac:dyDescent="0.25">
      <c r="A1058" s="28"/>
      <c r="B1058" s="28"/>
      <c r="C1058" s="28"/>
      <c r="D1058" s="28"/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</row>
    <row r="1059" spans="1:19" x14ac:dyDescent="0.25">
      <c r="A1059" s="28"/>
      <c r="B1059" s="28"/>
      <c r="C1059" s="28"/>
      <c r="D1059" s="28"/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</row>
    <row r="1060" spans="1:19" x14ac:dyDescent="0.25">
      <c r="A1060" s="28"/>
      <c r="B1060" s="28"/>
      <c r="C1060" s="28"/>
      <c r="D1060" s="28"/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</row>
    <row r="1061" spans="1:19" x14ac:dyDescent="0.25">
      <c r="A1061" s="28"/>
      <c r="B1061" s="28"/>
      <c r="C1061" s="28"/>
      <c r="D1061" s="28"/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</row>
    <row r="1062" spans="1:19" x14ac:dyDescent="0.25">
      <c r="A1062" s="28"/>
      <c r="B1062" s="28"/>
      <c r="C1062" s="28"/>
      <c r="D1062" s="28"/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</row>
    <row r="1063" spans="1:19" x14ac:dyDescent="0.25">
      <c r="A1063" s="28"/>
      <c r="B1063" s="28"/>
      <c r="C1063" s="28"/>
      <c r="D1063" s="28"/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</row>
    <row r="1064" spans="1:19" x14ac:dyDescent="0.25">
      <c r="A1064" s="28"/>
      <c r="B1064" s="28"/>
      <c r="C1064" s="28"/>
      <c r="D1064" s="28"/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</row>
    <row r="1065" spans="1:19" x14ac:dyDescent="0.25">
      <c r="A1065" s="28"/>
      <c r="B1065" s="28"/>
      <c r="C1065" s="28"/>
      <c r="D1065" s="28"/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</row>
    <row r="1066" spans="1:19" x14ac:dyDescent="0.25">
      <c r="A1066" s="28"/>
      <c r="B1066" s="28"/>
      <c r="C1066" s="28"/>
      <c r="D1066" s="28"/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</row>
    <row r="1067" spans="1:19" x14ac:dyDescent="0.25">
      <c r="A1067" s="28"/>
      <c r="B1067" s="28"/>
      <c r="C1067" s="28"/>
      <c r="D1067" s="28"/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</row>
    <row r="1068" spans="1:19" x14ac:dyDescent="0.25">
      <c r="A1068" s="28"/>
      <c r="B1068" s="28"/>
      <c r="C1068" s="28"/>
      <c r="D1068" s="28"/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</row>
    <row r="1069" spans="1:19" x14ac:dyDescent="0.25">
      <c r="A1069" s="28"/>
      <c r="B1069" s="28"/>
      <c r="C1069" s="28"/>
      <c r="D1069" s="28"/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</row>
    <row r="1070" spans="1:19" x14ac:dyDescent="0.25">
      <c r="A1070" s="28"/>
      <c r="B1070" s="28"/>
      <c r="C1070" s="28"/>
      <c r="D1070" s="28"/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</row>
    <row r="1071" spans="1:19" x14ac:dyDescent="0.25">
      <c r="A1071" s="28"/>
      <c r="B1071" s="28"/>
      <c r="C1071" s="28"/>
      <c r="D1071" s="28"/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</row>
    <row r="1072" spans="1:19" x14ac:dyDescent="0.25">
      <c r="A1072" s="28"/>
      <c r="B1072" s="28"/>
      <c r="C1072" s="28"/>
      <c r="D1072" s="28"/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</row>
    <row r="1073" spans="1:19" x14ac:dyDescent="0.25">
      <c r="A1073" s="28"/>
      <c r="B1073" s="28"/>
      <c r="C1073" s="28"/>
      <c r="D1073" s="28"/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</row>
    <row r="1074" spans="1:19" x14ac:dyDescent="0.25">
      <c r="A1074" s="28"/>
      <c r="B1074" s="28"/>
      <c r="C1074" s="28"/>
      <c r="D1074" s="28"/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</row>
    <row r="1075" spans="1:19" x14ac:dyDescent="0.25">
      <c r="A1075" s="28"/>
      <c r="B1075" s="28"/>
      <c r="C1075" s="28"/>
      <c r="D1075" s="28"/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</row>
    <row r="1076" spans="1:19" x14ac:dyDescent="0.25">
      <c r="A1076" s="28"/>
      <c r="B1076" s="28"/>
      <c r="C1076" s="28"/>
      <c r="D1076" s="28"/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</row>
    <row r="1077" spans="1:19" x14ac:dyDescent="0.25">
      <c r="A1077" s="28"/>
      <c r="B1077" s="28"/>
      <c r="C1077" s="28"/>
      <c r="D1077" s="28"/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</row>
    <row r="1078" spans="1:19" x14ac:dyDescent="0.25">
      <c r="A1078" s="28"/>
      <c r="B1078" s="28"/>
      <c r="C1078" s="28"/>
      <c r="D1078" s="28"/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</row>
    <row r="1079" spans="1:19" x14ac:dyDescent="0.25">
      <c r="A1079" s="28"/>
      <c r="B1079" s="28"/>
      <c r="C1079" s="28"/>
      <c r="D1079" s="28"/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</row>
    <row r="1080" spans="1:19" x14ac:dyDescent="0.25">
      <c r="A1080" s="28"/>
      <c r="B1080" s="28"/>
      <c r="C1080" s="28"/>
      <c r="D1080" s="28"/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</row>
    <row r="1081" spans="1:19" x14ac:dyDescent="0.25">
      <c r="A1081" s="28"/>
      <c r="B1081" s="28"/>
      <c r="C1081" s="28"/>
      <c r="D1081" s="28"/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</row>
    <row r="1082" spans="1:19" x14ac:dyDescent="0.25">
      <c r="A1082" s="28"/>
      <c r="B1082" s="28"/>
      <c r="C1082" s="28"/>
      <c r="D1082" s="28"/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</row>
    <row r="1083" spans="1:19" x14ac:dyDescent="0.25">
      <c r="A1083" s="28"/>
      <c r="B1083" s="28"/>
      <c r="C1083" s="28"/>
      <c r="D1083" s="28"/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</row>
    <row r="1084" spans="1:19" x14ac:dyDescent="0.25">
      <c r="A1084" s="28"/>
      <c r="B1084" s="28"/>
      <c r="C1084" s="28"/>
      <c r="D1084" s="28"/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</row>
    <row r="1085" spans="1:19" x14ac:dyDescent="0.25">
      <c r="A1085" s="28"/>
      <c r="B1085" s="28"/>
      <c r="C1085" s="28"/>
      <c r="D1085" s="28"/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</row>
    <row r="1086" spans="1:19" x14ac:dyDescent="0.25">
      <c r="A1086" s="28"/>
      <c r="B1086" s="28"/>
      <c r="C1086" s="28"/>
      <c r="D1086" s="28"/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</row>
    <row r="1087" spans="1:19" x14ac:dyDescent="0.25">
      <c r="A1087" s="28"/>
      <c r="B1087" s="28"/>
      <c r="C1087" s="28"/>
      <c r="D1087" s="28"/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</row>
    <row r="1088" spans="1:19" x14ac:dyDescent="0.25">
      <c r="A1088" s="28"/>
      <c r="B1088" s="28"/>
      <c r="C1088" s="28"/>
      <c r="D1088" s="28"/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</row>
    <row r="1089" spans="1:19" x14ac:dyDescent="0.25">
      <c r="A1089" s="28"/>
      <c r="B1089" s="28"/>
      <c r="C1089" s="28"/>
      <c r="D1089" s="28"/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</row>
    <row r="1090" spans="1:19" x14ac:dyDescent="0.25">
      <c r="A1090" s="28"/>
      <c r="B1090" s="28"/>
      <c r="C1090" s="28"/>
      <c r="D1090" s="28"/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</row>
    <row r="1091" spans="1:19" x14ac:dyDescent="0.25">
      <c r="A1091" s="28"/>
      <c r="B1091" s="28"/>
      <c r="C1091" s="28"/>
      <c r="D1091" s="28"/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</row>
    <row r="1092" spans="1:19" x14ac:dyDescent="0.25">
      <c r="A1092" s="28"/>
      <c r="B1092" s="28"/>
      <c r="C1092" s="28"/>
      <c r="D1092" s="28"/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</row>
    <row r="1093" spans="1:19" x14ac:dyDescent="0.25">
      <c r="A1093" s="28"/>
      <c r="B1093" s="28"/>
      <c r="C1093" s="28"/>
      <c r="D1093" s="28"/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</row>
    <row r="1094" spans="1:19" x14ac:dyDescent="0.25">
      <c r="A1094" s="28"/>
      <c r="B1094" s="28"/>
      <c r="C1094" s="28"/>
      <c r="D1094" s="28"/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</row>
    <row r="1095" spans="1:19" x14ac:dyDescent="0.25">
      <c r="A1095" s="28"/>
      <c r="B1095" s="28"/>
      <c r="C1095" s="28"/>
      <c r="D1095" s="28"/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</row>
    <row r="1096" spans="1:19" x14ac:dyDescent="0.25">
      <c r="A1096" s="28"/>
      <c r="B1096" s="28"/>
      <c r="C1096" s="28"/>
      <c r="D1096" s="28"/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</row>
    <row r="1097" spans="1:19" x14ac:dyDescent="0.25">
      <c r="A1097" s="28"/>
      <c r="B1097" s="28"/>
      <c r="C1097" s="28"/>
      <c r="D1097" s="28"/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</row>
    <row r="1098" spans="1:19" x14ac:dyDescent="0.25">
      <c r="A1098" s="28"/>
      <c r="B1098" s="28"/>
      <c r="C1098" s="28"/>
      <c r="D1098" s="28"/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</row>
    <row r="1099" spans="1:19" x14ac:dyDescent="0.25">
      <c r="A1099" s="28"/>
      <c r="B1099" s="28"/>
      <c r="C1099" s="28"/>
      <c r="D1099" s="28"/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</row>
    <row r="1100" spans="1:19" x14ac:dyDescent="0.25">
      <c r="A1100" s="28"/>
      <c r="B1100" s="28"/>
      <c r="C1100" s="28"/>
      <c r="D1100" s="28"/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</row>
    <row r="1101" spans="1:19" x14ac:dyDescent="0.25">
      <c r="A1101" s="28"/>
      <c r="B1101" s="28"/>
      <c r="C1101" s="28"/>
      <c r="D1101" s="28"/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</row>
    <row r="1102" spans="1:19" x14ac:dyDescent="0.25">
      <c r="A1102" s="28"/>
      <c r="B1102" s="28"/>
      <c r="C1102" s="28"/>
      <c r="D1102" s="28"/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</row>
    <row r="1103" spans="1:19" x14ac:dyDescent="0.25">
      <c r="A1103" s="28"/>
      <c r="B1103" s="28"/>
      <c r="C1103" s="28"/>
      <c r="D1103" s="28"/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</row>
    <row r="1104" spans="1:19" x14ac:dyDescent="0.25">
      <c r="A1104" s="28"/>
      <c r="B1104" s="28"/>
      <c r="C1104" s="28"/>
      <c r="D1104" s="28"/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</row>
    <row r="1105" spans="1:19" x14ac:dyDescent="0.25">
      <c r="A1105" s="28"/>
      <c r="B1105" s="28"/>
      <c r="C1105" s="28"/>
      <c r="D1105" s="28"/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</row>
    <row r="1106" spans="1:19" x14ac:dyDescent="0.25">
      <c r="A1106" s="28"/>
      <c r="B1106" s="28"/>
      <c r="C1106" s="28"/>
      <c r="D1106" s="28"/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</row>
    <row r="1107" spans="1:19" x14ac:dyDescent="0.25">
      <c r="A1107" s="28"/>
      <c r="B1107" s="28"/>
      <c r="C1107" s="28"/>
      <c r="D1107" s="28"/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</row>
    <row r="1108" spans="1:19" x14ac:dyDescent="0.25">
      <c r="A1108" s="28"/>
      <c r="B1108" s="28"/>
      <c r="C1108" s="28"/>
      <c r="D1108" s="28"/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</row>
    <row r="1109" spans="1:19" x14ac:dyDescent="0.25">
      <c r="A1109" s="28"/>
      <c r="B1109" s="28"/>
      <c r="C1109" s="28"/>
      <c r="D1109" s="28"/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</row>
    <row r="1110" spans="1:19" x14ac:dyDescent="0.25">
      <c r="A1110" s="28"/>
      <c r="B1110" s="28"/>
      <c r="C1110" s="28"/>
      <c r="D1110" s="28"/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</row>
    <row r="1111" spans="1:19" x14ac:dyDescent="0.25">
      <c r="A1111" s="28"/>
      <c r="B1111" s="28"/>
      <c r="C1111" s="28"/>
      <c r="D1111" s="28"/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</row>
    <row r="1112" spans="1:19" x14ac:dyDescent="0.25">
      <c r="A1112" s="28"/>
      <c r="B1112" s="28"/>
      <c r="C1112" s="28"/>
      <c r="D1112" s="28"/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</row>
    <row r="1113" spans="1:19" x14ac:dyDescent="0.25">
      <c r="A1113" s="28"/>
      <c r="B1113" s="28"/>
      <c r="C1113" s="28"/>
      <c r="D1113" s="28"/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</row>
    <row r="1114" spans="1:19" x14ac:dyDescent="0.25">
      <c r="A1114" s="28"/>
      <c r="B1114" s="28"/>
      <c r="C1114" s="28"/>
      <c r="D1114" s="28"/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</row>
    <row r="1115" spans="1:19" x14ac:dyDescent="0.25">
      <c r="A1115" s="28"/>
      <c r="B1115" s="28"/>
      <c r="C1115" s="28"/>
      <c r="D1115" s="28"/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</row>
    <row r="1116" spans="1:19" x14ac:dyDescent="0.25">
      <c r="A1116" s="28"/>
      <c r="B1116" s="28"/>
      <c r="C1116" s="28"/>
      <c r="D1116" s="28"/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</row>
    <row r="1117" spans="1:19" x14ac:dyDescent="0.25">
      <c r="A1117" s="28"/>
      <c r="B1117" s="28"/>
      <c r="C1117" s="28"/>
      <c r="D1117" s="28"/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</row>
    <row r="1118" spans="1:19" x14ac:dyDescent="0.25">
      <c r="A1118" s="28"/>
      <c r="B1118" s="28"/>
      <c r="C1118" s="28"/>
      <c r="D1118" s="28"/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</row>
    <row r="1119" spans="1:19" x14ac:dyDescent="0.25">
      <c r="A1119" s="28"/>
      <c r="B1119" s="28"/>
      <c r="C1119" s="28"/>
      <c r="D1119" s="28"/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</row>
    <row r="1120" spans="1:19" x14ac:dyDescent="0.25">
      <c r="A1120" s="28"/>
      <c r="B1120" s="28"/>
      <c r="C1120" s="28"/>
      <c r="D1120" s="28"/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</row>
    <row r="1121" spans="1:19" x14ac:dyDescent="0.25">
      <c r="A1121" s="28"/>
      <c r="B1121" s="28"/>
      <c r="C1121" s="28"/>
      <c r="D1121" s="28"/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</row>
    <row r="1122" spans="1:19" x14ac:dyDescent="0.25">
      <c r="A1122" s="28"/>
      <c r="B1122" s="28"/>
      <c r="C1122" s="28"/>
      <c r="D1122" s="28"/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</row>
    <row r="1123" spans="1:19" x14ac:dyDescent="0.25">
      <c r="A1123" s="28"/>
      <c r="B1123" s="28"/>
      <c r="C1123" s="28"/>
      <c r="D1123" s="28"/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</row>
    <row r="1124" spans="1:19" x14ac:dyDescent="0.25">
      <c r="A1124" s="28"/>
      <c r="B1124" s="28"/>
      <c r="C1124" s="28"/>
      <c r="D1124" s="28"/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</row>
    <row r="1125" spans="1:19" x14ac:dyDescent="0.25">
      <c r="A1125" s="28"/>
      <c r="B1125" s="28"/>
      <c r="C1125" s="28"/>
      <c r="D1125" s="28"/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</row>
    <row r="1126" spans="1:19" x14ac:dyDescent="0.25">
      <c r="A1126" s="28"/>
      <c r="B1126" s="28"/>
      <c r="C1126" s="28"/>
      <c r="D1126" s="28"/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</row>
    <row r="1127" spans="1:19" x14ac:dyDescent="0.25">
      <c r="A1127" s="28"/>
      <c r="B1127" s="28"/>
      <c r="C1127" s="28"/>
      <c r="D1127" s="28"/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</row>
    <row r="1128" spans="1:19" x14ac:dyDescent="0.25">
      <c r="A1128" s="28"/>
      <c r="B1128" s="28"/>
      <c r="C1128" s="28"/>
      <c r="D1128" s="28"/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</row>
    <row r="1129" spans="1:19" x14ac:dyDescent="0.25">
      <c r="A1129" s="28"/>
      <c r="B1129" s="28"/>
      <c r="C1129" s="28"/>
      <c r="D1129" s="28"/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</row>
    <row r="1130" spans="1:19" x14ac:dyDescent="0.25">
      <c r="A1130" s="28"/>
      <c r="B1130" s="28"/>
      <c r="C1130" s="28"/>
      <c r="D1130" s="28"/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</row>
    <row r="1131" spans="1:19" x14ac:dyDescent="0.25">
      <c r="A1131" s="28"/>
      <c r="B1131" s="28"/>
      <c r="C1131" s="28"/>
      <c r="D1131" s="28"/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</row>
    <row r="1132" spans="1:19" x14ac:dyDescent="0.25">
      <c r="A1132" s="28"/>
      <c r="B1132" s="28"/>
      <c r="C1132" s="28"/>
      <c r="D1132" s="28"/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</row>
    <row r="1133" spans="1:19" x14ac:dyDescent="0.25">
      <c r="A1133" s="28"/>
      <c r="B1133" s="28"/>
      <c r="C1133" s="28"/>
      <c r="D1133" s="28"/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</row>
    <row r="1134" spans="1:19" x14ac:dyDescent="0.25">
      <c r="A1134" s="28"/>
      <c r="B1134" s="28"/>
      <c r="C1134" s="28"/>
      <c r="D1134" s="28"/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</row>
    <row r="1135" spans="1:19" x14ac:dyDescent="0.25">
      <c r="A1135" s="28"/>
      <c r="B1135" s="28"/>
      <c r="C1135" s="28"/>
      <c r="D1135" s="28"/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</row>
    <row r="1136" spans="1:19" x14ac:dyDescent="0.25">
      <c r="A1136" s="28"/>
      <c r="B1136" s="28"/>
      <c r="C1136" s="28"/>
      <c r="D1136" s="28"/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</row>
    <row r="1137" spans="1:19" x14ac:dyDescent="0.25">
      <c r="A1137" s="28"/>
      <c r="B1137" s="28"/>
      <c r="C1137" s="28"/>
      <c r="D1137" s="28"/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</row>
    <row r="1138" spans="1:19" x14ac:dyDescent="0.25">
      <c r="A1138" s="28"/>
      <c r="B1138" s="28"/>
      <c r="C1138" s="28"/>
      <c r="D1138" s="28"/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</row>
    <row r="1139" spans="1:19" x14ac:dyDescent="0.25">
      <c r="A1139" s="28"/>
      <c r="B1139" s="28"/>
      <c r="C1139" s="28"/>
      <c r="D1139" s="28"/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</row>
    <row r="1140" spans="1:19" x14ac:dyDescent="0.25">
      <c r="A1140" s="28"/>
      <c r="B1140" s="28"/>
      <c r="C1140" s="28"/>
      <c r="D1140" s="28"/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</row>
    <row r="1141" spans="1:19" x14ac:dyDescent="0.25">
      <c r="A1141" s="28"/>
      <c r="B1141" s="28"/>
      <c r="C1141" s="28"/>
      <c r="D1141" s="28"/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</row>
    <row r="1142" spans="1:19" x14ac:dyDescent="0.25">
      <c r="A1142" s="28"/>
      <c r="B1142" s="28"/>
      <c r="C1142" s="28"/>
      <c r="D1142" s="28"/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</row>
    <row r="1143" spans="1:19" x14ac:dyDescent="0.25">
      <c r="A1143" s="28"/>
      <c r="B1143" s="28"/>
      <c r="C1143" s="28"/>
      <c r="D1143" s="28"/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</row>
    <row r="1144" spans="1:19" x14ac:dyDescent="0.25">
      <c r="A1144" s="28"/>
      <c r="B1144" s="28"/>
      <c r="C1144" s="28"/>
      <c r="D1144" s="28"/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</row>
    <row r="1145" spans="1:19" x14ac:dyDescent="0.25">
      <c r="A1145" s="28"/>
      <c r="B1145" s="28"/>
      <c r="C1145" s="28"/>
      <c r="D1145" s="28"/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</row>
    <row r="1146" spans="1:19" x14ac:dyDescent="0.25">
      <c r="A1146" s="28"/>
      <c r="B1146" s="28"/>
      <c r="C1146" s="28"/>
      <c r="D1146" s="28"/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</row>
    <row r="1147" spans="1:19" x14ac:dyDescent="0.25">
      <c r="A1147" s="28"/>
      <c r="B1147" s="28"/>
      <c r="C1147" s="28"/>
      <c r="D1147" s="28"/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</row>
    <row r="1148" spans="1:19" x14ac:dyDescent="0.25">
      <c r="A1148" s="28"/>
      <c r="B1148" s="28"/>
      <c r="C1148" s="28"/>
      <c r="D1148" s="28"/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</row>
    <row r="1149" spans="1:19" x14ac:dyDescent="0.25">
      <c r="A1149" s="28"/>
      <c r="B1149" s="28"/>
      <c r="C1149" s="28"/>
      <c r="D1149" s="28"/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</row>
    <row r="1150" spans="1:19" x14ac:dyDescent="0.25">
      <c r="A1150" s="28"/>
      <c r="B1150" s="28"/>
      <c r="C1150" s="28"/>
      <c r="D1150" s="28"/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</row>
    <row r="1151" spans="1:19" x14ac:dyDescent="0.25">
      <c r="A1151" s="28"/>
      <c r="B1151" s="28"/>
      <c r="C1151" s="28"/>
      <c r="D1151" s="28"/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</row>
    <row r="1152" spans="1:19" x14ac:dyDescent="0.25">
      <c r="A1152" s="28"/>
      <c r="B1152" s="28"/>
      <c r="C1152" s="28"/>
      <c r="D1152" s="28"/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</row>
    <row r="1153" spans="1:19" x14ac:dyDescent="0.25">
      <c r="A1153" s="28"/>
      <c r="B1153" s="28"/>
      <c r="C1153" s="28"/>
      <c r="D1153" s="28"/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</row>
    <row r="1154" spans="1:19" x14ac:dyDescent="0.25">
      <c r="A1154" s="28"/>
      <c r="B1154" s="28"/>
      <c r="C1154" s="28"/>
      <c r="D1154" s="28"/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</row>
    <row r="1155" spans="1:19" x14ac:dyDescent="0.25">
      <c r="A1155" s="28"/>
      <c r="B1155" s="28"/>
      <c r="C1155" s="28"/>
      <c r="D1155" s="28"/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</row>
    <row r="1156" spans="1:19" x14ac:dyDescent="0.25">
      <c r="A1156" s="28"/>
      <c r="B1156" s="28"/>
      <c r="C1156" s="28"/>
      <c r="D1156" s="28"/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</row>
    <row r="1157" spans="1:19" x14ac:dyDescent="0.25">
      <c r="A1157" s="28"/>
      <c r="B1157" s="28"/>
      <c r="C1157" s="28"/>
      <c r="D1157" s="28"/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</row>
    <row r="1158" spans="1:19" x14ac:dyDescent="0.25">
      <c r="A1158" s="28"/>
      <c r="B1158" s="28"/>
      <c r="C1158" s="28"/>
      <c r="D1158" s="28"/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</row>
    <row r="1159" spans="1:19" x14ac:dyDescent="0.25">
      <c r="A1159" s="28"/>
      <c r="B1159" s="28"/>
      <c r="C1159" s="28"/>
      <c r="D1159" s="28"/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</row>
    <row r="1160" spans="1:19" x14ac:dyDescent="0.25">
      <c r="A1160" s="28"/>
      <c r="B1160" s="28"/>
      <c r="C1160" s="28"/>
      <c r="D1160" s="28"/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</row>
    <row r="1161" spans="1:19" x14ac:dyDescent="0.25">
      <c r="A1161" s="28"/>
      <c r="B1161" s="28"/>
      <c r="C1161" s="28"/>
      <c r="D1161" s="28"/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</row>
    <row r="1162" spans="1:19" x14ac:dyDescent="0.25">
      <c r="A1162" s="28"/>
      <c r="B1162" s="28"/>
      <c r="C1162" s="28"/>
      <c r="D1162" s="28"/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</row>
    <row r="1163" spans="1:19" x14ac:dyDescent="0.25">
      <c r="A1163" s="28"/>
      <c r="B1163" s="28"/>
      <c r="C1163" s="28"/>
      <c r="D1163" s="28"/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</row>
    <row r="1164" spans="1:19" x14ac:dyDescent="0.25">
      <c r="A1164" s="28"/>
      <c r="B1164" s="28"/>
      <c r="C1164" s="28"/>
      <c r="D1164" s="28"/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</row>
    <row r="1165" spans="1:19" x14ac:dyDescent="0.25">
      <c r="A1165" s="28"/>
      <c r="B1165" s="28"/>
      <c r="C1165" s="28"/>
      <c r="D1165" s="28"/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</row>
    <row r="1166" spans="1:19" x14ac:dyDescent="0.25">
      <c r="A1166" s="28"/>
      <c r="B1166" s="28"/>
      <c r="C1166" s="28"/>
      <c r="D1166" s="28"/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</row>
    <row r="1167" spans="1:19" x14ac:dyDescent="0.25">
      <c r="A1167" s="28"/>
      <c r="B1167" s="28"/>
      <c r="C1167" s="28"/>
      <c r="D1167" s="28"/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</row>
    <row r="1168" spans="1:19" x14ac:dyDescent="0.25">
      <c r="A1168" s="28"/>
      <c r="B1168" s="28"/>
      <c r="C1168" s="28"/>
      <c r="D1168" s="28"/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</row>
    <row r="1169" spans="1:19" x14ac:dyDescent="0.25">
      <c r="A1169" s="28"/>
      <c r="B1169" s="28"/>
      <c r="C1169" s="28"/>
      <c r="D1169" s="28"/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</row>
    <row r="1170" spans="1:19" x14ac:dyDescent="0.25">
      <c r="A1170" s="28"/>
      <c r="B1170" s="28"/>
      <c r="C1170" s="28"/>
      <c r="D1170" s="28"/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</row>
    <row r="1171" spans="1:19" x14ac:dyDescent="0.25">
      <c r="A1171" s="28"/>
      <c r="B1171" s="28"/>
      <c r="C1171" s="28"/>
      <c r="D1171" s="28"/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</row>
    <row r="1172" spans="1:19" x14ac:dyDescent="0.25">
      <c r="A1172" s="28"/>
      <c r="B1172" s="28"/>
      <c r="C1172" s="28"/>
      <c r="D1172" s="28"/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</row>
    <row r="1173" spans="1:19" x14ac:dyDescent="0.25">
      <c r="A1173" s="28"/>
      <c r="B1173" s="28"/>
      <c r="C1173" s="28"/>
      <c r="D1173" s="28"/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</row>
    <row r="1174" spans="1:19" x14ac:dyDescent="0.25">
      <c r="A1174" s="28"/>
      <c r="B1174" s="28"/>
      <c r="C1174" s="28"/>
      <c r="D1174" s="28"/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</row>
    <row r="1175" spans="1:19" x14ac:dyDescent="0.25">
      <c r="A1175" s="28"/>
      <c r="B1175" s="28"/>
      <c r="C1175" s="28"/>
      <c r="D1175" s="28"/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</row>
    <row r="1176" spans="1:19" x14ac:dyDescent="0.25">
      <c r="A1176" s="28"/>
      <c r="B1176" s="28"/>
      <c r="C1176" s="28"/>
      <c r="D1176" s="28"/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</row>
    <row r="1177" spans="1:19" x14ac:dyDescent="0.25">
      <c r="A1177" s="28"/>
      <c r="B1177" s="28"/>
      <c r="C1177" s="28"/>
      <c r="D1177" s="28"/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</row>
    <row r="1178" spans="1:19" x14ac:dyDescent="0.25">
      <c r="A1178" s="28"/>
      <c r="B1178" s="28"/>
      <c r="C1178" s="28"/>
      <c r="D1178" s="28"/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</row>
    <row r="1179" spans="1:19" x14ac:dyDescent="0.25">
      <c r="A1179" s="28"/>
      <c r="B1179" s="28"/>
      <c r="C1179" s="28"/>
      <c r="D1179" s="28"/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</row>
    <row r="1180" spans="1:19" x14ac:dyDescent="0.25">
      <c r="A1180" s="28"/>
      <c r="B1180" s="28"/>
      <c r="C1180" s="28"/>
      <c r="D1180" s="28"/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</row>
    <row r="1181" spans="1:19" x14ac:dyDescent="0.25">
      <c r="A1181" s="28"/>
      <c r="B1181" s="28"/>
      <c r="C1181" s="28"/>
      <c r="D1181" s="28"/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</row>
    <row r="1182" spans="1:19" x14ac:dyDescent="0.25">
      <c r="A1182" s="28"/>
      <c r="B1182" s="28"/>
      <c r="C1182" s="28"/>
      <c r="D1182" s="28"/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</row>
    <row r="1183" spans="1:19" x14ac:dyDescent="0.25">
      <c r="A1183" s="28"/>
      <c r="B1183" s="28"/>
      <c r="C1183" s="28"/>
      <c r="D1183" s="28"/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</row>
    <row r="1184" spans="1:19" x14ac:dyDescent="0.25">
      <c r="A1184" s="28"/>
      <c r="B1184" s="28"/>
      <c r="C1184" s="28"/>
      <c r="D1184" s="28"/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</row>
    <row r="1185" spans="1:19" x14ac:dyDescent="0.25">
      <c r="A1185" s="28"/>
      <c r="B1185" s="28"/>
      <c r="C1185" s="28"/>
      <c r="D1185" s="28"/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</row>
    <row r="1186" spans="1:19" x14ac:dyDescent="0.25">
      <c r="A1186" s="28"/>
      <c r="B1186" s="28"/>
      <c r="C1186" s="28"/>
      <c r="D1186" s="28"/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</row>
    <row r="1187" spans="1:19" x14ac:dyDescent="0.25">
      <c r="A1187" s="28"/>
      <c r="B1187" s="28"/>
      <c r="C1187" s="28"/>
      <c r="D1187" s="28"/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</row>
    <row r="1188" spans="1:19" x14ac:dyDescent="0.25">
      <c r="A1188" s="28"/>
      <c r="B1188" s="28"/>
      <c r="C1188" s="28"/>
      <c r="D1188" s="28"/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</row>
    <row r="1189" spans="1:19" x14ac:dyDescent="0.25">
      <c r="A1189" s="28"/>
      <c r="B1189" s="28"/>
      <c r="C1189" s="28"/>
      <c r="D1189" s="28"/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</row>
    <row r="1190" spans="1:19" x14ac:dyDescent="0.25">
      <c r="A1190" s="28"/>
      <c r="B1190" s="28"/>
      <c r="C1190" s="28"/>
      <c r="D1190" s="28"/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</row>
    <row r="1191" spans="1:19" x14ac:dyDescent="0.25">
      <c r="A1191" s="28"/>
      <c r="B1191" s="28"/>
      <c r="C1191" s="28"/>
      <c r="D1191" s="28"/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</row>
    <row r="1192" spans="1:19" x14ac:dyDescent="0.25">
      <c r="A1192" s="28"/>
      <c r="B1192" s="28"/>
      <c r="C1192" s="28"/>
      <c r="D1192" s="28"/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</row>
    <row r="1193" spans="1:19" x14ac:dyDescent="0.25">
      <c r="A1193" s="28"/>
      <c r="B1193" s="28"/>
      <c r="C1193" s="28"/>
      <c r="D1193" s="28"/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</row>
    <row r="1194" spans="1:19" x14ac:dyDescent="0.25">
      <c r="A1194" s="28"/>
      <c r="B1194" s="28"/>
      <c r="C1194" s="28"/>
      <c r="D1194" s="28"/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</row>
    <row r="1195" spans="1:19" x14ac:dyDescent="0.25">
      <c r="A1195" s="28"/>
      <c r="B1195" s="28"/>
      <c r="C1195" s="28"/>
      <c r="D1195" s="28"/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</row>
    <row r="1196" spans="1:19" x14ac:dyDescent="0.25">
      <c r="A1196" s="28"/>
      <c r="B1196" s="28"/>
      <c r="C1196" s="28"/>
      <c r="D1196" s="28"/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</row>
    <row r="1197" spans="1:19" x14ac:dyDescent="0.25">
      <c r="A1197" s="28"/>
      <c r="B1197" s="28"/>
      <c r="C1197" s="28"/>
      <c r="D1197" s="28"/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</row>
    <row r="1198" spans="1:19" x14ac:dyDescent="0.25">
      <c r="A1198" s="28"/>
      <c r="B1198" s="28"/>
      <c r="C1198" s="28"/>
      <c r="D1198" s="28"/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</row>
    <row r="1199" spans="1:19" x14ac:dyDescent="0.25">
      <c r="A1199" s="28"/>
      <c r="B1199" s="28"/>
      <c r="C1199" s="28"/>
      <c r="D1199" s="28"/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</row>
    <row r="1200" spans="1:19" x14ac:dyDescent="0.25">
      <c r="A1200" s="28"/>
      <c r="B1200" s="28"/>
      <c r="C1200" s="28"/>
      <c r="D1200" s="28"/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</row>
    <row r="1201" spans="1:19" x14ac:dyDescent="0.25">
      <c r="A1201" s="28"/>
      <c r="B1201" s="28"/>
      <c r="C1201" s="28"/>
      <c r="D1201" s="28"/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</row>
    <row r="1202" spans="1:19" x14ac:dyDescent="0.25">
      <c r="A1202" s="28"/>
      <c r="B1202" s="28"/>
      <c r="C1202" s="28"/>
      <c r="D1202" s="28"/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</row>
    <row r="1203" spans="1:19" x14ac:dyDescent="0.25">
      <c r="A1203" s="28"/>
      <c r="B1203" s="28"/>
      <c r="C1203" s="28"/>
      <c r="D1203" s="28"/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</row>
    <row r="1204" spans="1:19" x14ac:dyDescent="0.25">
      <c r="A1204" s="28"/>
      <c r="B1204" s="28"/>
      <c r="C1204" s="28"/>
      <c r="D1204" s="28"/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</row>
    <row r="1205" spans="1:19" x14ac:dyDescent="0.25">
      <c r="A1205" s="28"/>
      <c r="B1205" s="28"/>
      <c r="C1205" s="28"/>
      <c r="D1205" s="28"/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</row>
    <row r="1206" spans="1:19" x14ac:dyDescent="0.25">
      <c r="A1206" s="28"/>
      <c r="B1206" s="28"/>
      <c r="C1206" s="28"/>
      <c r="D1206" s="28"/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</row>
    <row r="1207" spans="1:19" x14ac:dyDescent="0.25">
      <c r="A1207" s="28"/>
      <c r="B1207" s="28"/>
      <c r="C1207" s="28"/>
      <c r="D1207" s="28"/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</row>
    <row r="1208" spans="1:19" x14ac:dyDescent="0.25">
      <c r="A1208" s="28"/>
      <c r="B1208" s="28"/>
      <c r="C1208" s="28"/>
      <c r="D1208" s="28"/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</row>
    <row r="1209" spans="1:19" x14ac:dyDescent="0.25">
      <c r="A1209" s="28"/>
      <c r="B1209" s="28"/>
      <c r="C1209" s="28"/>
      <c r="D1209" s="28"/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</row>
    <row r="1210" spans="1:19" x14ac:dyDescent="0.25">
      <c r="A1210" s="28"/>
      <c r="B1210" s="28"/>
      <c r="C1210" s="28"/>
      <c r="D1210" s="28"/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</row>
    <row r="1211" spans="1:19" x14ac:dyDescent="0.25">
      <c r="A1211" s="28"/>
      <c r="B1211" s="28"/>
      <c r="C1211" s="28"/>
      <c r="D1211" s="28"/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</row>
    <row r="1212" spans="1:19" x14ac:dyDescent="0.25">
      <c r="A1212" s="28"/>
      <c r="B1212" s="28"/>
      <c r="C1212" s="28"/>
      <c r="D1212" s="28"/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</row>
    <row r="1213" spans="1:19" x14ac:dyDescent="0.25">
      <c r="A1213" s="28"/>
      <c r="B1213" s="28"/>
      <c r="C1213" s="28"/>
      <c r="D1213" s="28"/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</row>
    <row r="1214" spans="1:19" x14ac:dyDescent="0.25">
      <c r="A1214" s="28"/>
      <c r="B1214" s="28"/>
      <c r="C1214" s="28"/>
      <c r="D1214" s="28"/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</row>
    <row r="1215" spans="1:19" x14ac:dyDescent="0.25">
      <c r="A1215" s="28"/>
      <c r="B1215" s="28"/>
      <c r="C1215" s="28"/>
      <c r="D1215" s="28"/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</row>
    <row r="1216" spans="1:19" x14ac:dyDescent="0.25">
      <c r="A1216" s="28"/>
      <c r="B1216" s="28"/>
      <c r="C1216" s="28"/>
      <c r="D1216" s="28"/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</row>
    <row r="1217" spans="1:19" x14ac:dyDescent="0.25">
      <c r="A1217" s="28"/>
      <c r="B1217" s="28"/>
      <c r="C1217" s="28"/>
      <c r="D1217" s="28"/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</row>
    <row r="1218" spans="1:19" x14ac:dyDescent="0.25">
      <c r="A1218" s="28"/>
      <c r="B1218" s="28"/>
      <c r="C1218" s="28"/>
      <c r="D1218" s="28"/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</row>
    <row r="1219" spans="1:19" x14ac:dyDescent="0.25">
      <c r="A1219" s="28"/>
      <c r="B1219" s="28"/>
      <c r="C1219" s="28"/>
      <c r="D1219" s="28"/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</row>
    <row r="1220" spans="1:19" x14ac:dyDescent="0.25">
      <c r="A1220" s="28"/>
      <c r="B1220" s="28"/>
      <c r="C1220" s="28"/>
      <c r="D1220" s="28"/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</row>
    <row r="1221" spans="1:19" x14ac:dyDescent="0.25">
      <c r="A1221" s="28"/>
      <c r="B1221" s="28"/>
      <c r="C1221" s="28"/>
      <c r="D1221" s="28"/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</row>
    <row r="1222" spans="1:19" x14ac:dyDescent="0.25">
      <c r="A1222" s="28"/>
      <c r="B1222" s="28"/>
      <c r="C1222" s="28"/>
      <c r="D1222" s="28"/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</row>
    <row r="1223" spans="1:19" x14ac:dyDescent="0.25">
      <c r="A1223" s="28"/>
      <c r="B1223" s="28"/>
      <c r="C1223" s="28"/>
      <c r="D1223" s="28"/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</row>
    <row r="1224" spans="1:19" x14ac:dyDescent="0.25">
      <c r="A1224" s="28"/>
      <c r="B1224" s="28"/>
      <c r="C1224" s="28"/>
      <c r="D1224" s="28"/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</row>
    <row r="1225" spans="1:19" x14ac:dyDescent="0.25">
      <c r="A1225" s="28"/>
      <c r="B1225" s="28"/>
      <c r="C1225" s="28"/>
      <c r="D1225" s="28"/>
      <c r="E1225" s="28"/>
      <c r="F1225" s="28"/>
      <c r="G1225" s="28"/>
      <c r="H1225" s="28"/>
      <c r="I1225" s="28"/>
      <c r="J1225" s="28"/>
      <c r="K1225" s="28"/>
      <c r="L1225" s="28"/>
      <c r="M1225" s="28"/>
      <c r="N1225" s="28"/>
      <c r="O1225" s="28"/>
      <c r="P1225" s="28"/>
      <c r="Q1225" s="28"/>
      <c r="R1225" s="28"/>
      <c r="S1225" s="28"/>
    </row>
    <row r="1226" spans="1:19" x14ac:dyDescent="0.25">
      <c r="A1226" s="28"/>
      <c r="B1226" s="28"/>
      <c r="C1226" s="28"/>
      <c r="D1226" s="28"/>
      <c r="E1226" s="28"/>
      <c r="F1226" s="28"/>
      <c r="G1226" s="28"/>
      <c r="H1226" s="28"/>
      <c r="I1226" s="28"/>
      <c r="J1226" s="28"/>
      <c r="K1226" s="28"/>
      <c r="L1226" s="28"/>
      <c r="M1226" s="28"/>
      <c r="N1226" s="28"/>
      <c r="O1226" s="28"/>
      <c r="P1226" s="28"/>
      <c r="Q1226" s="28"/>
      <c r="R1226" s="28"/>
      <c r="S1226" s="28"/>
    </row>
    <row r="1227" spans="1:19" x14ac:dyDescent="0.25">
      <c r="A1227" s="28"/>
      <c r="B1227" s="28"/>
      <c r="C1227" s="28"/>
      <c r="D1227" s="28"/>
      <c r="E1227" s="28"/>
      <c r="F1227" s="28"/>
      <c r="G1227" s="28"/>
      <c r="H1227" s="28"/>
      <c r="I1227" s="28"/>
      <c r="J1227" s="28"/>
      <c r="K1227" s="28"/>
      <c r="L1227" s="28"/>
      <c r="M1227" s="28"/>
      <c r="N1227" s="28"/>
      <c r="O1227" s="28"/>
      <c r="P1227" s="28"/>
      <c r="Q1227" s="28"/>
      <c r="R1227" s="28"/>
      <c r="S1227" s="28"/>
    </row>
    <row r="1228" spans="1:19" x14ac:dyDescent="0.25">
      <c r="A1228" s="28"/>
      <c r="B1228" s="28"/>
      <c r="C1228" s="28"/>
      <c r="D1228" s="28"/>
      <c r="E1228" s="28"/>
      <c r="F1228" s="28"/>
      <c r="G1228" s="28"/>
      <c r="H1228" s="28"/>
      <c r="I1228" s="28"/>
      <c r="J1228" s="28"/>
      <c r="K1228" s="28"/>
      <c r="L1228" s="28"/>
      <c r="M1228" s="28"/>
      <c r="N1228" s="28"/>
      <c r="O1228" s="28"/>
      <c r="P1228" s="28"/>
      <c r="Q1228" s="28"/>
      <c r="R1228" s="28"/>
      <c r="S1228" s="28"/>
    </row>
    <row r="1229" spans="1:19" x14ac:dyDescent="0.25">
      <c r="A1229" s="28"/>
      <c r="B1229" s="28"/>
      <c r="C1229" s="28"/>
      <c r="D1229" s="28"/>
      <c r="E1229" s="28"/>
      <c r="F1229" s="28"/>
      <c r="G1229" s="28"/>
      <c r="H1229" s="28"/>
      <c r="I1229" s="28"/>
      <c r="J1229" s="28"/>
      <c r="K1229" s="28"/>
      <c r="L1229" s="28"/>
      <c r="M1229" s="28"/>
      <c r="N1229" s="28"/>
      <c r="O1229" s="28"/>
      <c r="P1229" s="28"/>
      <c r="Q1229" s="28"/>
      <c r="R1229" s="28"/>
      <c r="S1229" s="28"/>
    </row>
    <row r="1230" spans="1:19" x14ac:dyDescent="0.25">
      <c r="A1230" s="28"/>
      <c r="B1230" s="28"/>
      <c r="C1230" s="28"/>
      <c r="D1230" s="28"/>
      <c r="E1230" s="28"/>
      <c r="F1230" s="28"/>
      <c r="G1230" s="28"/>
      <c r="H1230" s="28"/>
      <c r="I1230" s="28"/>
      <c r="J1230" s="28"/>
      <c r="K1230" s="28"/>
      <c r="L1230" s="28"/>
      <c r="M1230" s="28"/>
      <c r="N1230" s="28"/>
      <c r="O1230" s="28"/>
      <c r="P1230" s="28"/>
      <c r="Q1230" s="28"/>
      <c r="R1230" s="28"/>
      <c r="S1230" s="28"/>
    </row>
    <row r="1231" spans="1:19" x14ac:dyDescent="0.25">
      <c r="A1231" s="28"/>
      <c r="B1231" s="28"/>
      <c r="C1231" s="28"/>
      <c r="D1231" s="28"/>
      <c r="E1231" s="28"/>
      <c r="F1231" s="28"/>
      <c r="G1231" s="28"/>
      <c r="H1231" s="28"/>
      <c r="I1231" s="28"/>
      <c r="J1231" s="28"/>
      <c r="K1231" s="28"/>
      <c r="L1231" s="28"/>
      <c r="M1231" s="28"/>
      <c r="N1231" s="28"/>
      <c r="O1231" s="28"/>
      <c r="P1231" s="28"/>
      <c r="Q1231" s="28"/>
      <c r="R1231" s="28"/>
      <c r="S1231" s="28"/>
    </row>
    <row r="1232" spans="1:19" x14ac:dyDescent="0.25">
      <c r="A1232" s="28"/>
      <c r="B1232" s="28"/>
      <c r="C1232" s="28"/>
      <c r="D1232" s="28"/>
      <c r="E1232" s="28"/>
      <c r="F1232" s="28"/>
      <c r="G1232" s="28"/>
      <c r="H1232" s="28"/>
      <c r="I1232" s="28"/>
      <c r="J1232" s="28"/>
      <c r="K1232" s="28"/>
      <c r="L1232" s="28"/>
      <c r="M1232" s="28"/>
      <c r="N1232" s="28"/>
      <c r="O1232" s="28"/>
      <c r="P1232" s="28"/>
      <c r="Q1232" s="28"/>
      <c r="R1232" s="28"/>
      <c r="S1232" s="28"/>
    </row>
    <row r="1233" spans="1:19" x14ac:dyDescent="0.25">
      <c r="A1233" s="28"/>
      <c r="B1233" s="28"/>
      <c r="C1233" s="28"/>
      <c r="D1233" s="28"/>
      <c r="E1233" s="28"/>
      <c r="F1233" s="28"/>
      <c r="G1233" s="28"/>
      <c r="H1233" s="28"/>
      <c r="I1233" s="28"/>
      <c r="J1233" s="28"/>
      <c r="K1233" s="28"/>
      <c r="L1233" s="28"/>
      <c r="M1233" s="28"/>
      <c r="N1233" s="28"/>
      <c r="O1233" s="28"/>
      <c r="P1233" s="28"/>
      <c r="Q1233" s="28"/>
      <c r="R1233" s="28"/>
      <c r="S1233" s="28"/>
    </row>
    <row r="1234" spans="1:19" x14ac:dyDescent="0.25">
      <c r="A1234" s="28"/>
      <c r="B1234" s="28"/>
      <c r="C1234" s="28"/>
      <c r="D1234" s="28"/>
      <c r="E1234" s="28"/>
      <c r="F1234" s="28"/>
      <c r="G1234" s="28"/>
      <c r="H1234" s="28"/>
      <c r="I1234" s="28"/>
      <c r="J1234" s="28"/>
      <c r="K1234" s="28"/>
      <c r="L1234" s="28"/>
      <c r="M1234" s="28"/>
      <c r="N1234" s="28"/>
      <c r="O1234" s="28"/>
      <c r="P1234" s="28"/>
      <c r="Q1234" s="28"/>
      <c r="R1234" s="28"/>
      <c r="S1234" s="28"/>
    </row>
    <row r="1235" spans="1:19" x14ac:dyDescent="0.25">
      <c r="A1235" s="28"/>
      <c r="B1235" s="28"/>
      <c r="C1235" s="28"/>
      <c r="D1235" s="28"/>
      <c r="E1235" s="28"/>
      <c r="F1235" s="28"/>
      <c r="G1235" s="28"/>
      <c r="H1235" s="28"/>
      <c r="I1235" s="28"/>
      <c r="J1235" s="28"/>
      <c r="K1235" s="28"/>
      <c r="L1235" s="28"/>
      <c r="M1235" s="28"/>
      <c r="N1235" s="28"/>
      <c r="O1235" s="28"/>
      <c r="P1235" s="28"/>
      <c r="Q1235" s="28"/>
      <c r="R1235" s="28"/>
      <c r="S1235" s="28"/>
    </row>
    <row r="1236" spans="1:19" x14ac:dyDescent="0.25">
      <c r="A1236" s="28"/>
      <c r="B1236" s="28"/>
      <c r="C1236" s="28"/>
      <c r="D1236" s="28"/>
      <c r="E1236" s="28"/>
      <c r="F1236" s="28"/>
      <c r="G1236" s="28"/>
      <c r="H1236" s="28"/>
      <c r="I1236" s="28"/>
      <c r="J1236" s="28"/>
      <c r="K1236" s="28"/>
      <c r="L1236" s="28"/>
      <c r="M1236" s="28"/>
      <c r="N1236" s="28"/>
      <c r="O1236" s="28"/>
      <c r="P1236" s="28"/>
      <c r="Q1236" s="28"/>
      <c r="R1236" s="28"/>
      <c r="S1236" s="28"/>
    </row>
    <row r="1237" spans="1:19" x14ac:dyDescent="0.25">
      <c r="A1237" s="28"/>
      <c r="B1237" s="28"/>
      <c r="C1237" s="28"/>
      <c r="D1237" s="28"/>
      <c r="E1237" s="28"/>
      <c r="F1237" s="28"/>
      <c r="G1237" s="28"/>
      <c r="H1237" s="28"/>
      <c r="I1237" s="28"/>
      <c r="J1237" s="28"/>
      <c r="K1237" s="28"/>
      <c r="L1237" s="28"/>
      <c r="M1237" s="28"/>
      <c r="N1237" s="28"/>
      <c r="O1237" s="28"/>
      <c r="P1237" s="28"/>
      <c r="Q1237" s="28"/>
      <c r="R1237" s="28"/>
      <c r="S1237" s="28"/>
    </row>
    <row r="1238" spans="1:19" x14ac:dyDescent="0.25">
      <c r="A1238" s="28"/>
      <c r="B1238" s="28"/>
      <c r="C1238" s="28"/>
      <c r="D1238" s="28"/>
      <c r="E1238" s="28"/>
      <c r="F1238" s="28"/>
      <c r="G1238" s="28"/>
      <c r="H1238" s="28"/>
      <c r="I1238" s="28"/>
      <c r="J1238" s="28"/>
      <c r="K1238" s="28"/>
      <c r="L1238" s="28"/>
      <c r="M1238" s="28"/>
      <c r="N1238" s="28"/>
      <c r="O1238" s="28"/>
      <c r="P1238" s="28"/>
      <c r="Q1238" s="28"/>
      <c r="R1238" s="28"/>
      <c r="S1238" s="28"/>
    </row>
    <row r="1239" spans="1:19" x14ac:dyDescent="0.25">
      <c r="A1239" s="28"/>
      <c r="B1239" s="28"/>
      <c r="C1239" s="28"/>
      <c r="D1239" s="28"/>
      <c r="E1239" s="28"/>
      <c r="F1239" s="28"/>
      <c r="G1239" s="28"/>
      <c r="H1239" s="28"/>
      <c r="I1239" s="28"/>
      <c r="J1239" s="28"/>
      <c r="K1239" s="28"/>
      <c r="L1239" s="28"/>
      <c r="M1239" s="28"/>
      <c r="N1239" s="28"/>
      <c r="O1239" s="28"/>
      <c r="P1239" s="28"/>
      <c r="Q1239" s="28"/>
      <c r="R1239" s="28"/>
      <c r="S1239" s="28"/>
    </row>
    <row r="1240" spans="1:19" x14ac:dyDescent="0.25">
      <c r="A1240" s="28"/>
      <c r="B1240" s="28"/>
      <c r="C1240" s="28"/>
      <c r="D1240" s="28"/>
      <c r="E1240" s="28"/>
      <c r="F1240" s="28"/>
      <c r="G1240" s="28"/>
      <c r="H1240" s="28"/>
      <c r="I1240" s="28"/>
      <c r="J1240" s="28"/>
      <c r="K1240" s="28"/>
      <c r="L1240" s="28"/>
      <c r="M1240" s="28"/>
      <c r="N1240" s="28"/>
      <c r="O1240" s="28"/>
      <c r="P1240" s="28"/>
      <c r="Q1240" s="28"/>
      <c r="R1240" s="28"/>
      <c r="S1240" s="28"/>
    </row>
    <row r="1241" spans="1:19" x14ac:dyDescent="0.25">
      <c r="A1241" s="28"/>
      <c r="B1241" s="28"/>
      <c r="C1241" s="28"/>
      <c r="D1241" s="28"/>
      <c r="E1241" s="28"/>
      <c r="F1241" s="28"/>
      <c r="G1241" s="28"/>
      <c r="H1241" s="28"/>
      <c r="I1241" s="28"/>
      <c r="J1241" s="28"/>
      <c r="K1241" s="28"/>
      <c r="L1241" s="28"/>
      <c r="M1241" s="28"/>
      <c r="N1241" s="28"/>
      <c r="O1241" s="28"/>
      <c r="P1241" s="28"/>
      <c r="Q1241" s="28"/>
      <c r="R1241" s="28"/>
      <c r="S1241" s="28"/>
    </row>
    <row r="1242" spans="1:19" x14ac:dyDescent="0.25">
      <c r="A1242" s="28"/>
      <c r="B1242" s="28"/>
      <c r="C1242" s="28"/>
      <c r="D1242" s="28"/>
      <c r="E1242" s="28"/>
      <c r="F1242" s="28"/>
      <c r="G1242" s="28"/>
      <c r="H1242" s="28"/>
      <c r="I1242" s="28"/>
      <c r="J1242" s="28"/>
      <c r="K1242" s="28"/>
      <c r="L1242" s="28"/>
      <c r="M1242" s="28"/>
      <c r="N1242" s="28"/>
      <c r="O1242" s="28"/>
      <c r="P1242" s="28"/>
      <c r="Q1242" s="28"/>
      <c r="R1242" s="28"/>
      <c r="S1242" s="28"/>
    </row>
    <row r="1243" spans="1:19" x14ac:dyDescent="0.25">
      <c r="A1243" s="28"/>
      <c r="B1243" s="28"/>
      <c r="C1243" s="28"/>
      <c r="D1243" s="28"/>
      <c r="E1243" s="28"/>
      <c r="F1243" s="28"/>
      <c r="G1243" s="28"/>
      <c r="H1243" s="28"/>
      <c r="I1243" s="28"/>
      <c r="J1243" s="28"/>
      <c r="K1243" s="28"/>
      <c r="L1243" s="28"/>
      <c r="M1243" s="28"/>
      <c r="N1243" s="28"/>
      <c r="O1243" s="28"/>
      <c r="P1243" s="28"/>
      <c r="Q1243" s="28"/>
      <c r="R1243" s="28"/>
      <c r="S1243" s="28"/>
    </row>
    <row r="1244" spans="1:19" x14ac:dyDescent="0.25">
      <c r="A1244" s="28"/>
      <c r="B1244" s="28"/>
      <c r="C1244" s="28"/>
      <c r="D1244" s="28"/>
      <c r="E1244" s="28"/>
      <c r="F1244" s="28"/>
      <c r="G1244" s="28"/>
      <c r="H1244" s="28"/>
      <c r="I1244" s="28"/>
      <c r="J1244" s="28"/>
      <c r="K1244" s="28"/>
      <c r="L1244" s="28"/>
      <c r="M1244" s="28"/>
      <c r="N1244" s="28"/>
      <c r="O1244" s="28"/>
      <c r="P1244" s="28"/>
      <c r="Q1244" s="28"/>
      <c r="R1244" s="28"/>
      <c r="S1244" s="28"/>
    </row>
    <row r="1245" spans="1:19" x14ac:dyDescent="0.25">
      <c r="A1245" s="28"/>
      <c r="B1245" s="28"/>
      <c r="C1245" s="28"/>
      <c r="D1245" s="28"/>
      <c r="E1245" s="28"/>
      <c r="F1245" s="28"/>
      <c r="G1245" s="28"/>
      <c r="H1245" s="28"/>
      <c r="I1245" s="28"/>
      <c r="J1245" s="28"/>
      <c r="K1245" s="28"/>
      <c r="L1245" s="28"/>
      <c r="M1245" s="28"/>
      <c r="N1245" s="28"/>
      <c r="O1245" s="28"/>
      <c r="P1245" s="28"/>
      <c r="Q1245" s="28"/>
      <c r="R1245" s="28"/>
      <c r="S1245" s="28"/>
    </row>
    <row r="1246" spans="1:19" x14ac:dyDescent="0.25">
      <c r="A1246" s="28"/>
      <c r="B1246" s="28"/>
      <c r="C1246" s="28"/>
      <c r="D1246" s="28"/>
      <c r="E1246" s="28"/>
      <c r="F1246" s="28"/>
      <c r="G1246" s="28"/>
      <c r="H1246" s="28"/>
      <c r="I1246" s="28"/>
      <c r="J1246" s="28"/>
      <c r="K1246" s="28"/>
      <c r="L1246" s="28"/>
      <c r="M1246" s="28"/>
      <c r="N1246" s="28"/>
      <c r="O1246" s="28"/>
      <c r="P1246" s="28"/>
      <c r="Q1246" s="28"/>
      <c r="R1246" s="28"/>
      <c r="S1246" s="28"/>
    </row>
    <row r="1247" spans="1:19" x14ac:dyDescent="0.25">
      <c r="A1247" s="28"/>
      <c r="B1247" s="28"/>
      <c r="C1247" s="28"/>
      <c r="D1247" s="28"/>
      <c r="E1247" s="28"/>
      <c r="F1247" s="28"/>
      <c r="G1247" s="28"/>
      <c r="H1247" s="28"/>
      <c r="I1247" s="28"/>
      <c r="J1247" s="28"/>
      <c r="K1247" s="28"/>
      <c r="L1247" s="28"/>
      <c r="M1247" s="28"/>
      <c r="N1247" s="28"/>
      <c r="O1247" s="28"/>
      <c r="P1247" s="28"/>
      <c r="Q1247" s="28"/>
      <c r="R1247" s="28"/>
      <c r="S1247" s="28"/>
    </row>
    <row r="1248" spans="1:19" x14ac:dyDescent="0.25">
      <c r="A1248" s="28"/>
      <c r="B1248" s="28"/>
      <c r="C1248" s="28"/>
      <c r="D1248" s="28"/>
      <c r="E1248" s="28"/>
      <c r="F1248" s="28"/>
      <c r="G1248" s="28"/>
      <c r="H1248" s="28"/>
      <c r="I1248" s="28"/>
      <c r="J1248" s="28"/>
      <c r="K1248" s="28"/>
      <c r="L1248" s="28"/>
      <c r="M1248" s="28"/>
      <c r="N1248" s="28"/>
      <c r="O1248" s="28"/>
      <c r="P1248" s="28"/>
      <c r="Q1248" s="28"/>
      <c r="R1248" s="28"/>
      <c r="S1248" s="28"/>
    </row>
    <row r="1249" spans="1:19" x14ac:dyDescent="0.25">
      <c r="A1249" s="28"/>
      <c r="B1249" s="28"/>
      <c r="C1249" s="28"/>
      <c r="D1249" s="28"/>
      <c r="E1249" s="28"/>
      <c r="F1249" s="28"/>
      <c r="G1249" s="28"/>
      <c r="H1249" s="28"/>
      <c r="I1249" s="28"/>
      <c r="J1249" s="28"/>
      <c r="K1249" s="28"/>
      <c r="L1249" s="28"/>
      <c r="M1249" s="28"/>
      <c r="N1249" s="28"/>
      <c r="O1249" s="28"/>
      <c r="P1249" s="28"/>
      <c r="Q1249" s="28"/>
      <c r="R1249" s="28"/>
      <c r="S1249" s="28"/>
    </row>
    <row r="1250" spans="1:19" x14ac:dyDescent="0.25">
      <c r="A1250" s="28"/>
      <c r="B1250" s="28"/>
      <c r="C1250" s="28"/>
      <c r="D1250" s="28"/>
      <c r="E1250" s="28"/>
      <c r="F1250" s="28"/>
      <c r="G1250" s="28"/>
      <c r="H1250" s="28"/>
      <c r="I1250" s="28"/>
      <c r="J1250" s="28"/>
      <c r="K1250" s="28"/>
      <c r="L1250" s="28"/>
      <c r="M1250" s="28"/>
      <c r="N1250" s="28"/>
      <c r="O1250" s="28"/>
      <c r="P1250" s="28"/>
      <c r="Q1250" s="28"/>
      <c r="R1250" s="28"/>
      <c r="S1250" s="28"/>
    </row>
    <row r="1251" spans="1:19" x14ac:dyDescent="0.25">
      <c r="A1251" s="28"/>
      <c r="B1251" s="28"/>
      <c r="C1251" s="28"/>
      <c r="D1251" s="28"/>
      <c r="E1251" s="28"/>
      <c r="F1251" s="28"/>
      <c r="G1251" s="28"/>
      <c r="H1251" s="28"/>
      <c r="I1251" s="28"/>
      <c r="J1251" s="28"/>
      <c r="K1251" s="28"/>
      <c r="L1251" s="28"/>
      <c r="M1251" s="28"/>
      <c r="N1251" s="28"/>
      <c r="O1251" s="28"/>
      <c r="P1251" s="28"/>
      <c r="Q1251" s="28"/>
      <c r="R1251" s="28"/>
      <c r="S1251" s="28"/>
    </row>
    <row r="1252" spans="1:19" x14ac:dyDescent="0.25">
      <c r="A1252" s="28"/>
      <c r="B1252" s="28"/>
      <c r="C1252" s="28"/>
      <c r="D1252" s="28"/>
      <c r="E1252" s="28"/>
      <c r="F1252" s="28"/>
      <c r="G1252" s="28"/>
      <c r="H1252" s="28"/>
      <c r="I1252" s="28"/>
      <c r="J1252" s="28"/>
      <c r="K1252" s="28"/>
      <c r="L1252" s="28"/>
      <c r="M1252" s="28"/>
      <c r="N1252" s="28"/>
      <c r="O1252" s="28"/>
      <c r="P1252" s="28"/>
      <c r="Q1252" s="28"/>
      <c r="R1252" s="28"/>
      <c r="S1252" s="28"/>
    </row>
    <row r="1253" spans="1:19" x14ac:dyDescent="0.25">
      <c r="A1253" s="28"/>
      <c r="B1253" s="28"/>
      <c r="C1253" s="28"/>
      <c r="D1253" s="28"/>
      <c r="E1253" s="28"/>
      <c r="F1253" s="28"/>
      <c r="G1253" s="28"/>
      <c r="H1253" s="28"/>
      <c r="I1253" s="28"/>
      <c r="J1253" s="28"/>
      <c r="K1253" s="28"/>
      <c r="L1253" s="28"/>
      <c r="M1253" s="28"/>
      <c r="N1253" s="28"/>
      <c r="O1253" s="28"/>
      <c r="P1253" s="28"/>
      <c r="Q1253" s="28"/>
      <c r="R1253" s="28"/>
      <c r="S1253" s="28"/>
    </row>
    <row r="1254" spans="1:19" x14ac:dyDescent="0.25">
      <c r="A1254" s="28"/>
      <c r="B1254" s="28"/>
      <c r="C1254" s="28"/>
      <c r="D1254" s="28"/>
      <c r="E1254" s="28"/>
      <c r="F1254" s="28"/>
      <c r="G1254" s="28"/>
      <c r="H1254" s="28"/>
      <c r="I1254" s="28"/>
      <c r="J1254" s="28"/>
      <c r="K1254" s="28"/>
      <c r="L1254" s="28"/>
      <c r="M1254" s="28"/>
      <c r="N1254" s="28"/>
      <c r="O1254" s="28"/>
      <c r="P1254" s="28"/>
      <c r="Q1254" s="28"/>
      <c r="R1254" s="28"/>
      <c r="S1254" s="28"/>
    </row>
    <row r="1255" spans="1:19" x14ac:dyDescent="0.25">
      <c r="A1255" s="28"/>
      <c r="B1255" s="28"/>
      <c r="C1255" s="28"/>
      <c r="D1255" s="28"/>
      <c r="E1255" s="28"/>
      <c r="F1255" s="28"/>
      <c r="G1255" s="28"/>
      <c r="H1255" s="28"/>
      <c r="I1255" s="28"/>
      <c r="J1255" s="28"/>
      <c r="K1255" s="28"/>
      <c r="L1255" s="28"/>
      <c r="M1255" s="28"/>
      <c r="N1255" s="28"/>
      <c r="O1255" s="28"/>
      <c r="P1255" s="28"/>
      <c r="Q1255" s="28"/>
      <c r="R1255" s="28"/>
      <c r="S1255" s="28"/>
    </row>
    <row r="1256" spans="1:19" x14ac:dyDescent="0.25">
      <c r="A1256" s="28"/>
      <c r="B1256" s="28"/>
      <c r="C1256" s="28"/>
      <c r="D1256" s="28"/>
      <c r="E1256" s="28"/>
      <c r="F1256" s="28"/>
      <c r="G1256" s="28"/>
      <c r="H1256" s="28"/>
      <c r="I1256" s="28"/>
      <c r="J1256" s="28"/>
      <c r="K1256" s="28"/>
      <c r="L1256" s="28"/>
      <c r="M1256" s="28"/>
      <c r="N1256" s="28"/>
      <c r="O1256" s="28"/>
      <c r="P1256" s="28"/>
      <c r="Q1256" s="28"/>
      <c r="R1256" s="28"/>
      <c r="S1256" s="28"/>
    </row>
    <row r="1257" spans="1:19" x14ac:dyDescent="0.25">
      <c r="A1257" s="28"/>
      <c r="B1257" s="28"/>
      <c r="C1257" s="28"/>
      <c r="D1257" s="28"/>
      <c r="E1257" s="28"/>
      <c r="F1257" s="28"/>
      <c r="G1257" s="28"/>
      <c r="H1257" s="28"/>
      <c r="I1257" s="28"/>
      <c r="J1257" s="28"/>
      <c r="K1257" s="28"/>
      <c r="L1257" s="28"/>
      <c r="M1257" s="28"/>
      <c r="N1257" s="28"/>
      <c r="O1257" s="28"/>
      <c r="P1257" s="28"/>
      <c r="Q1257" s="28"/>
      <c r="R1257" s="28"/>
      <c r="S1257" s="28"/>
    </row>
    <row r="1258" spans="1:19" x14ac:dyDescent="0.25">
      <c r="A1258" s="28"/>
      <c r="B1258" s="28"/>
      <c r="C1258" s="28"/>
      <c r="D1258" s="28"/>
      <c r="E1258" s="28"/>
      <c r="F1258" s="28"/>
      <c r="G1258" s="28"/>
      <c r="H1258" s="28"/>
      <c r="I1258" s="28"/>
      <c r="J1258" s="28"/>
      <c r="K1258" s="28"/>
      <c r="L1258" s="28"/>
      <c r="M1258" s="28"/>
      <c r="N1258" s="28"/>
      <c r="O1258" s="28"/>
      <c r="P1258" s="28"/>
      <c r="Q1258" s="28"/>
      <c r="R1258" s="28"/>
      <c r="S1258" s="28"/>
    </row>
    <row r="1259" spans="1:19" x14ac:dyDescent="0.25">
      <c r="A1259" s="28"/>
      <c r="B1259" s="28"/>
      <c r="C1259" s="28"/>
      <c r="D1259" s="28"/>
      <c r="E1259" s="28"/>
      <c r="F1259" s="28"/>
      <c r="G1259" s="28"/>
      <c r="H1259" s="28"/>
      <c r="I1259" s="28"/>
      <c r="J1259" s="28"/>
      <c r="K1259" s="28"/>
      <c r="L1259" s="28"/>
      <c r="M1259" s="28"/>
      <c r="N1259" s="28"/>
      <c r="O1259" s="28"/>
      <c r="P1259" s="28"/>
      <c r="Q1259" s="28"/>
      <c r="R1259" s="28"/>
      <c r="S1259" s="28"/>
    </row>
    <row r="1260" spans="1:19" x14ac:dyDescent="0.25">
      <c r="A1260" s="28"/>
      <c r="B1260" s="28"/>
      <c r="C1260" s="28"/>
      <c r="D1260" s="28"/>
      <c r="E1260" s="28"/>
      <c r="F1260" s="28"/>
      <c r="G1260" s="28"/>
      <c r="H1260" s="28"/>
      <c r="I1260" s="28"/>
      <c r="J1260" s="28"/>
      <c r="K1260" s="28"/>
      <c r="L1260" s="28"/>
      <c r="M1260" s="28"/>
      <c r="N1260" s="28"/>
      <c r="O1260" s="28"/>
      <c r="P1260" s="28"/>
      <c r="Q1260" s="28"/>
      <c r="R1260" s="28"/>
      <c r="S1260" s="28"/>
    </row>
    <row r="1261" spans="1:19" x14ac:dyDescent="0.25">
      <c r="A1261" s="28"/>
      <c r="B1261" s="28"/>
      <c r="C1261" s="28"/>
      <c r="D1261" s="28"/>
      <c r="E1261" s="28"/>
      <c r="F1261" s="28"/>
      <c r="G1261" s="28"/>
      <c r="H1261" s="28"/>
      <c r="I1261" s="28"/>
      <c r="J1261" s="28"/>
      <c r="K1261" s="28"/>
      <c r="L1261" s="28"/>
      <c r="M1261" s="28"/>
      <c r="N1261" s="28"/>
      <c r="O1261" s="28"/>
      <c r="P1261" s="28"/>
      <c r="Q1261" s="28"/>
      <c r="R1261" s="28"/>
      <c r="S1261" s="28"/>
    </row>
    <row r="1262" spans="1:19" x14ac:dyDescent="0.25">
      <c r="A1262" s="28"/>
      <c r="B1262" s="28"/>
      <c r="C1262" s="28"/>
      <c r="D1262" s="28"/>
      <c r="E1262" s="28"/>
      <c r="F1262" s="28"/>
      <c r="G1262" s="28"/>
      <c r="H1262" s="28"/>
      <c r="I1262" s="28"/>
      <c r="J1262" s="28"/>
      <c r="K1262" s="28"/>
      <c r="L1262" s="28"/>
      <c r="M1262" s="28"/>
      <c r="N1262" s="28"/>
      <c r="O1262" s="28"/>
      <c r="P1262" s="28"/>
      <c r="Q1262" s="28"/>
      <c r="R1262" s="28"/>
      <c r="S1262" s="28"/>
    </row>
    <row r="1263" spans="1:19" x14ac:dyDescent="0.25">
      <c r="A1263" s="28"/>
      <c r="B1263" s="28"/>
      <c r="C1263" s="28"/>
      <c r="D1263" s="28"/>
      <c r="E1263" s="28"/>
      <c r="F1263" s="28"/>
      <c r="G1263" s="28"/>
      <c r="H1263" s="28"/>
      <c r="I1263" s="28"/>
      <c r="J1263" s="28"/>
      <c r="K1263" s="28"/>
      <c r="L1263" s="28"/>
      <c r="M1263" s="28"/>
      <c r="N1263" s="28"/>
      <c r="O1263" s="28"/>
      <c r="P1263" s="28"/>
      <c r="Q1263" s="28"/>
      <c r="R1263" s="28"/>
      <c r="S1263" s="28"/>
    </row>
    <row r="1264" spans="1:19" x14ac:dyDescent="0.25">
      <c r="A1264" s="28"/>
      <c r="B1264" s="28"/>
      <c r="C1264" s="28"/>
      <c r="D1264" s="28"/>
      <c r="E1264" s="28"/>
      <c r="F1264" s="28"/>
      <c r="G1264" s="28"/>
      <c r="H1264" s="28"/>
      <c r="I1264" s="28"/>
      <c r="J1264" s="28"/>
      <c r="K1264" s="28"/>
      <c r="L1264" s="28"/>
      <c r="M1264" s="28"/>
      <c r="N1264" s="28"/>
      <c r="O1264" s="28"/>
      <c r="P1264" s="28"/>
      <c r="Q1264" s="28"/>
      <c r="R1264" s="28"/>
      <c r="S1264" s="28"/>
    </row>
    <row r="1265" spans="1:19" x14ac:dyDescent="0.25">
      <c r="A1265" s="28"/>
      <c r="B1265" s="28"/>
      <c r="C1265" s="28"/>
      <c r="D1265" s="28"/>
      <c r="E1265" s="28"/>
      <c r="F1265" s="28"/>
      <c r="G1265" s="28"/>
      <c r="H1265" s="28"/>
      <c r="I1265" s="28"/>
      <c r="J1265" s="28"/>
      <c r="K1265" s="28"/>
      <c r="L1265" s="28"/>
      <c r="M1265" s="28"/>
      <c r="N1265" s="28"/>
      <c r="O1265" s="28"/>
      <c r="P1265" s="28"/>
      <c r="Q1265" s="28"/>
      <c r="R1265" s="28"/>
      <c r="S1265" s="28"/>
    </row>
    <row r="1266" spans="1:19" x14ac:dyDescent="0.25">
      <c r="A1266" s="28"/>
      <c r="B1266" s="28"/>
      <c r="C1266" s="28"/>
      <c r="D1266" s="28"/>
      <c r="E1266" s="28"/>
      <c r="F1266" s="28"/>
      <c r="G1266" s="28"/>
      <c r="H1266" s="28"/>
      <c r="I1266" s="28"/>
      <c r="J1266" s="28"/>
      <c r="K1266" s="28"/>
      <c r="L1266" s="28"/>
      <c r="M1266" s="28"/>
      <c r="N1266" s="28"/>
      <c r="O1266" s="28"/>
      <c r="P1266" s="28"/>
      <c r="Q1266" s="28"/>
      <c r="R1266" s="28"/>
      <c r="S1266" s="28"/>
    </row>
    <row r="1267" spans="1:19" x14ac:dyDescent="0.25">
      <c r="A1267" s="28"/>
      <c r="B1267" s="28"/>
      <c r="C1267" s="28"/>
      <c r="D1267" s="28"/>
      <c r="E1267" s="28"/>
      <c r="F1267" s="28"/>
      <c r="G1267" s="28"/>
      <c r="H1267" s="28"/>
      <c r="I1267" s="28"/>
      <c r="J1267" s="28"/>
      <c r="K1267" s="28"/>
      <c r="L1267" s="28"/>
      <c r="M1267" s="28"/>
      <c r="N1267" s="28"/>
      <c r="O1267" s="28"/>
      <c r="P1267" s="28"/>
      <c r="Q1267" s="28"/>
      <c r="R1267" s="28"/>
      <c r="S1267" s="28"/>
    </row>
    <row r="1268" spans="1:19" x14ac:dyDescent="0.25">
      <c r="A1268" s="28"/>
      <c r="B1268" s="28"/>
      <c r="C1268" s="28"/>
      <c r="D1268" s="28"/>
      <c r="E1268" s="28"/>
      <c r="F1268" s="28"/>
      <c r="G1268" s="28"/>
      <c r="H1268" s="28"/>
      <c r="I1268" s="28"/>
      <c r="J1268" s="28"/>
      <c r="K1268" s="28"/>
      <c r="L1268" s="28"/>
      <c r="M1268" s="28"/>
      <c r="N1268" s="28"/>
      <c r="O1268" s="28"/>
      <c r="P1268" s="28"/>
      <c r="Q1268" s="28"/>
      <c r="R1268" s="28"/>
      <c r="S1268" s="28"/>
    </row>
    <row r="1269" spans="1:19" x14ac:dyDescent="0.25">
      <c r="A1269" s="28"/>
      <c r="B1269" s="28"/>
      <c r="C1269" s="28"/>
      <c r="D1269" s="28"/>
      <c r="E1269" s="28"/>
      <c r="F1269" s="28"/>
      <c r="G1269" s="28"/>
      <c r="H1269" s="28"/>
      <c r="I1269" s="28"/>
      <c r="J1269" s="28"/>
      <c r="K1269" s="28"/>
      <c r="L1269" s="28"/>
      <c r="M1269" s="28"/>
      <c r="N1269" s="28"/>
      <c r="O1269" s="28"/>
      <c r="P1269" s="28"/>
      <c r="Q1269" s="28"/>
      <c r="R1269" s="28"/>
      <c r="S1269" s="28"/>
    </row>
    <row r="1270" spans="1:19" x14ac:dyDescent="0.25">
      <c r="A1270" s="28"/>
      <c r="B1270" s="28"/>
      <c r="C1270" s="28"/>
      <c r="D1270" s="28"/>
      <c r="E1270" s="28"/>
      <c r="F1270" s="28"/>
      <c r="G1270" s="28"/>
      <c r="H1270" s="28"/>
      <c r="I1270" s="28"/>
      <c r="J1270" s="28"/>
      <c r="K1270" s="28"/>
      <c r="L1270" s="28"/>
      <c r="M1270" s="28"/>
      <c r="N1270" s="28"/>
      <c r="O1270" s="28"/>
      <c r="P1270" s="28"/>
      <c r="Q1270" s="28"/>
      <c r="R1270" s="28"/>
      <c r="S1270" s="28"/>
    </row>
    <row r="1271" spans="1:19" x14ac:dyDescent="0.25">
      <c r="A1271" s="28"/>
      <c r="B1271" s="28"/>
      <c r="C1271" s="28"/>
      <c r="D1271" s="28"/>
      <c r="E1271" s="28"/>
      <c r="F1271" s="28"/>
      <c r="G1271" s="28"/>
      <c r="H1271" s="28"/>
      <c r="I1271" s="28"/>
      <c r="J1271" s="28"/>
      <c r="K1271" s="28"/>
      <c r="L1271" s="28"/>
      <c r="M1271" s="28"/>
      <c r="N1271" s="28"/>
      <c r="O1271" s="28"/>
      <c r="P1271" s="28"/>
      <c r="Q1271" s="28"/>
      <c r="R1271" s="28"/>
      <c r="S1271" s="28"/>
    </row>
    <row r="1272" spans="1:19" x14ac:dyDescent="0.25">
      <c r="A1272" s="28"/>
      <c r="B1272" s="28"/>
      <c r="C1272" s="28"/>
      <c r="D1272" s="28"/>
      <c r="E1272" s="28"/>
      <c r="F1272" s="28"/>
      <c r="G1272" s="28"/>
      <c r="H1272" s="28"/>
      <c r="I1272" s="28"/>
      <c r="J1272" s="28"/>
      <c r="K1272" s="28"/>
      <c r="L1272" s="28"/>
      <c r="M1272" s="28"/>
      <c r="N1272" s="28"/>
      <c r="O1272" s="28"/>
      <c r="P1272" s="28"/>
      <c r="Q1272" s="28"/>
      <c r="R1272" s="28"/>
      <c r="S1272" s="28"/>
    </row>
    <row r="1273" spans="1:19" x14ac:dyDescent="0.25">
      <c r="A1273" s="28"/>
      <c r="B1273" s="28"/>
      <c r="C1273" s="28"/>
      <c r="D1273" s="28"/>
      <c r="E1273" s="28"/>
      <c r="F1273" s="28"/>
      <c r="G1273" s="28"/>
      <c r="H1273" s="28"/>
      <c r="I1273" s="28"/>
      <c r="J1273" s="28"/>
      <c r="K1273" s="28"/>
      <c r="L1273" s="28"/>
      <c r="M1273" s="28"/>
      <c r="N1273" s="28"/>
      <c r="O1273" s="28"/>
      <c r="P1273" s="28"/>
      <c r="Q1273" s="28"/>
      <c r="R1273" s="28"/>
      <c r="S1273" s="28"/>
    </row>
    <row r="1274" spans="1:19" x14ac:dyDescent="0.25">
      <c r="A1274" s="28"/>
      <c r="B1274" s="28"/>
      <c r="C1274" s="28"/>
      <c r="D1274" s="28"/>
      <c r="E1274" s="28"/>
      <c r="F1274" s="28"/>
      <c r="G1274" s="28"/>
      <c r="H1274" s="28"/>
      <c r="I1274" s="28"/>
      <c r="J1274" s="28"/>
      <c r="K1274" s="28"/>
      <c r="L1274" s="28"/>
      <c r="M1274" s="28"/>
      <c r="N1274" s="28"/>
      <c r="O1274" s="28"/>
      <c r="P1274" s="28"/>
      <c r="Q1274" s="28"/>
      <c r="R1274" s="28"/>
      <c r="S1274" s="28"/>
    </row>
    <row r="1275" spans="1:19" x14ac:dyDescent="0.25">
      <c r="A1275" s="28"/>
      <c r="B1275" s="28"/>
      <c r="C1275" s="28"/>
      <c r="D1275" s="28"/>
      <c r="E1275" s="28"/>
      <c r="F1275" s="28"/>
      <c r="G1275" s="28"/>
      <c r="H1275" s="28"/>
      <c r="I1275" s="28"/>
      <c r="J1275" s="28"/>
      <c r="K1275" s="28"/>
      <c r="L1275" s="28"/>
      <c r="M1275" s="28"/>
      <c r="N1275" s="28"/>
      <c r="O1275" s="28"/>
      <c r="P1275" s="28"/>
      <c r="Q1275" s="28"/>
      <c r="R1275" s="28"/>
      <c r="S1275" s="28"/>
    </row>
    <row r="1276" spans="1:19" x14ac:dyDescent="0.25">
      <c r="A1276" s="28"/>
      <c r="B1276" s="28"/>
      <c r="C1276" s="28"/>
      <c r="D1276" s="28"/>
      <c r="E1276" s="28"/>
      <c r="F1276" s="28"/>
      <c r="G1276" s="28"/>
      <c r="H1276" s="28"/>
      <c r="I1276" s="28"/>
      <c r="J1276" s="28"/>
      <c r="K1276" s="28"/>
      <c r="L1276" s="28"/>
      <c r="M1276" s="28"/>
      <c r="N1276" s="28"/>
      <c r="O1276" s="28"/>
      <c r="P1276" s="28"/>
      <c r="Q1276" s="28"/>
      <c r="R1276" s="28"/>
      <c r="S1276" s="28"/>
    </row>
    <row r="1277" spans="1:19" x14ac:dyDescent="0.25">
      <c r="A1277" s="28"/>
      <c r="B1277" s="28"/>
      <c r="C1277" s="28"/>
      <c r="D1277" s="28"/>
      <c r="E1277" s="28"/>
      <c r="F1277" s="28"/>
      <c r="G1277" s="28"/>
      <c r="H1277" s="28"/>
      <c r="I1277" s="28"/>
      <c r="J1277" s="28"/>
      <c r="K1277" s="28"/>
      <c r="L1277" s="28"/>
      <c r="M1277" s="28"/>
      <c r="N1277" s="28"/>
      <c r="O1277" s="28"/>
      <c r="P1277" s="28"/>
      <c r="Q1277" s="28"/>
      <c r="R1277" s="28"/>
      <c r="S1277" s="28"/>
    </row>
    <row r="1278" spans="1:19" x14ac:dyDescent="0.25">
      <c r="A1278" s="28"/>
      <c r="B1278" s="28"/>
      <c r="C1278" s="28"/>
      <c r="D1278" s="28"/>
      <c r="E1278" s="28"/>
      <c r="F1278" s="28"/>
      <c r="G1278" s="28"/>
      <c r="H1278" s="28"/>
      <c r="I1278" s="28"/>
      <c r="J1278" s="28"/>
      <c r="K1278" s="28"/>
      <c r="L1278" s="28"/>
      <c r="M1278" s="28"/>
      <c r="N1278" s="28"/>
      <c r="O1278" s="28"/>
      <c r="P1278" s="28"/>
      <c r="Q1278" s="28"/>
      <c r="R1278" s="28"/>
      <c r="S1278" s="28"/>
    </row>
    <row r="1279" spans="1:19" x14ac:dyDescent="0.25">
      <c r="A1279" s="28"/>
      <c r="B1279" s="28"/>
      <c r="C1279" s="28"/>
      <c r="D1279" s="28"/>
      <c r="E1279" s="28"/>
      <c r="F1279" s="28"/>
      <c r="G1279" s="28"/>
      <c r="H1279" s="28"/>
      <c r="I1279" s="28"/>
      <c r="J1279" s="28"/>
      <c r="K1279" s="28"/>
      <c r="L1279" s="28"/>
      <c r="M1279" s="28"/>
      <c r="N1279" s="28"/>
      <c r="O1279" s="28"/>
      <c r="P1279" s="28"/>
      <c r="Q1279" s="28"/>
      <c r="R1279" s="28"/>
      <c r="S1279" s="28"/>
    </row>
    <row r="1280" spans="1:19" x14ac:dyDescent="0.25">
      <c r="A1280" s="28"/>
      <c r="B1280" s="28"/>
      <c r="C1280" s="28"/>
      <c r="D1280" s="28"/>
      <c r="E1280" s="28"/>
      <c r="F1280" s="28"/>
      <c r="G1280" s="28"/>
      <c r="H1280" s="28"/>
      <c r="I1280" s="28"/>
      <c r="J1280" s="28"/>
      <c r="K1280" s="28"/>
      <c r="L1280" s="28"/>
      <c r="M1280" s="28"/>
      <c r="N1280" s="28"/>
      <c r="O1280" s="28"/>
      <c r="P1280" s="28"/>
      <c r="Q1280" s="28"/>
      <c r="R1280" s="28"/>
      <c r="S1280" s="28"/>
    </row>
    <row r="1281" spans="1:19" x14ac:dyDescent="0.25">
      <c r="A1281" s="28"/>
      <c r="B1281" s="28"/>
      <c r="C1281" s="28"/>
      <c r="D1281" s="28"/>
      <c r="E1281" s="28"/>
      <c r="F1281" s="28"/>
      <c r="G1281" s="28"/>
      <c r="H1281" s="28"/>
      <c r="I1281" s="28"/>
      <c r="J1281" s="28"/>
      <c r="K1281" s="28"/>
      <c r="L1281" s="28"/>
      <c r="M1281" s="28"/>
      <c r="N1281" s="28"/>
      <c r="O1281" s="28"/>
      <c r="P1281" s="28"/>
      <c r="Q1281" s="28"/>
      <c r="R1281" s="28"/>
      <c r="S1281" s="28"/>
    </row>
    <row r="1282" spans="1:19" x14ac:dyDescent="0.25">
      <c r="A1282" s="28"/>
      <c r="B1282" s="28"/>
      <c r="C1282" s="28"/>
      <c r="D1282" s="28"/>
      <c r="E1282" s="28"/>
      <c r="F1282" s="28"/>
      <c r="G1282" s="28"/>
      <c r="H1282" s="28"/>
      <c r="I1282" s="28"/>
      <c r="J1282" s="28"/>
      <c r="K1282" s="28"/>
      <c r="L1282" s="28"/>
      <c r="M1282" s="28"/>
      <c r="N1282" s="28"/>
      <c r="O1282" s="28"/>
      <c r="P1282" s="28"/>
      <c r="Q1282" s="28"/>
      <c r="R1282" s="28"/>
      <c r="S1282" s="28"/>
    </row>
    <row r="1283" spans="1:19" x14ac:dyDescent="0.25">
      <c r="A1283" s="28"/>
      <c r="B1283" s="28"/>
      <c r="C1283" s="28"/>
      <c r="D1283" s="28"/>
      <c r="E1283" s="28"/>
      <c r="F1283" s="28"/>
      <c r="G1283" s="28"/>
      <c r="H1283" s="28"/>
      <c r="I1283" s="28"/>
      <c r="J1283" s="28"/>
      <c r="K1283" s="28"/>
      <c r="L1283" s="28"/>
      <c r="M1283" s="28"/>
      <c r="N1283" s="28"/>
      <c r="O1283" s="28"/>
      <c r="P1283" s="28"/>
      <c r="Q1283" s="28"/>
      <c r="R1283" s="28"/>
      <c r="S1283" s="28"/>
    </row>
    <row r="1284" spans="1:19" x14ac:dyDescent="0.25">
      <c r="A1284" s="28"/>
      <c r="B1284" s="28"/>
      <c r="C1284" s="28"/>
      <c r="D1284" s="28"/>
      <c r="E1284" s="28"/>
      <c r="F1284" s="28"/>
      <c r="G1284" s="28"/>
      <c r="H1284" s="28"/>
      <c r="I1284" s="28"/>
      <c r="J1284" s="28"/>
      <c r="K1284" s="28"/>
      <c r="L1284" s="28"/>
      <c r="M1284" s="28"/>
      <c r="N1284" s="28"/>
      <c r="O1284" s="28"/>
      <c r="P1284" s="28"/>
      <c r="Q1284" s="28"/>
      <c r="R1284" s="28"/>
      <c r="S1284" s="28"/>
    </row>
    <row r="1285" spans="1:19" x14ac:dyDescent="0.25">
      <c r="A1285" s="28"/>
      <c r="B1285" s="28"/>
      <c r="C1285" s="28"/>
      <c r="D1285" s="28"/>
      <c r="E1285" s="28"/>
      <c r="F1285" s="28"/>
      <c r="G1285" s="28"/>
      <c r="H1285" s="28"/>
      <c r="I1285" s="28"/>
      <c r="J1285" s="28"/>
      <c r="K1285" s="28"/>
      <c r="L1285" s="28"/>
      <c r="M1285" s="28"/>
      <c r="N1285" s="28"/>
      <c r="O1285" s="28"/>
      <c r="P1285" s="28"/>
      <c r="Q1285" s="28"/>
      <c r="R1285" s="28"/>
      <c r="S1285" s="28"/>
    </row>
    <row r="1286" spans="1:19" x14ac:dyDescent="0.25">
      <c r="A1286" s="28"/>
      <c r="B1286" s="28"/>
      <c r="C1286" s="28"/>
      <c r="D1286" s="28"/>
      <c r="E1286" s="28"/>
      <c r="F1286" s="28"/>
      <c r="G1286" s="28"/>
      <c r="H1286" s="28"/>
      <c r="I1286" s="28"/>
      <c r="J1286" s="28"/>
      <c r="K1286" s="28"/>
      <c r="L1286" s="28"/>
      <c r="M1286" s="28"/>
      <c r="N1286" s="28"/>
      <c r="O1286" s="28"/>
      <c r="P1286" s="28"/>
      <c r="Q1286" s="28"/>
      <c r="R1286" s="28"/>
      <c r="S1286" s="28"/>
    </row>
    <row r="1287" spans="1:19" x14ac:dyDescent="0.25">
      <c r="A1287" s="28"/>
      <c r="B1287" s="28"/>
      <c r="C1287" s="28"/>
      <c r="D1287" s="28"/>
      <c r="E1287" s="28"/>
      <c r="F1287" s="28"/>
      <c r="G1287" s="28"/>
      <c r="H1287" s="28"/>
      <c r="I1287" s="28"/>
      <c r="J1287" s="28"/>
      <c r="K1287" s="28"/>
      <c r="L1287" s="28"/>
      <c r="M1287" s="28"/>
      <c r="N1287" s="28"/>
      <c r="O1287" s="28"/>
      <c r="P1287" s="28"/>
      <c r="Q1287" s="28"/>
      <c r="R1287" s="28"/>
      <c r="S1287" s="28"/>
    </row>
    <row r="1288" spans="1:19" x14ac:dyDescent="0.25">
      <c r="A1288" s="28"/>
      <c r="B1288" s="28"/>
      <c r="C1288" s="28"/>
      <c r="D1288" s="28"/>
      <c r="E1288" s="28"/>
      <c r="F1288" s="28"/>
      <c r="G1288" s="28"/>
      <c r="H1288" s="28"/>
      <c r="I1288" s="28"/>
      <c r="J1288" s="28"/>
      <c r="K1288" s="28"/>
      <c r="L1288" s="28"/>
      <c r="M1288" s="28"/>
      <c r="N1288" s="28"/>
      <c r="O1288" s="28"/>
      <c r="P1288" s="28"/>
      <c r="Q1288" s="28"/>
      <c r="R1288" s="28"/>
      <c r="S1288" s="28"/>
    </row>
    <row r="1289" spans="1:19" x14ac:dyDescent="0.25">
      <c r="A1289" s="28"/>
      <c r="B1289" s="28"/>
      <c r="C1289" s="28"/>
      <c r="D1289" s="28"/>
      <c r="E1289" s="28"/>
      <c r="F1289" s="28"/>
      <c r="G1289" s="28"/>
      <c r="H1289" s="28"/>
      <c r="I1289" s="28"/>
      <c r="J1289" s="28"/>
      <c r="K1289" s="28"/>
      <c r="L1289" s="28"/>
      <c r="M1289" s="28"/>
      <c r="N1289" s="28"/>
      <c r="O1289" s="28"/>
      <c r="P1289" s="28"/>
      <c r="Q1289" s="28"/>
      <c r="R1289" s="28"/>
      <c r="S1289" s="28"/>
    </row>
    <row r="1290" spans="1:19" x14ac:dyDescent="0.25">
      <c r="A1290" s="28"/>
      <c r="B1290" s="28"/>
      <c r="C1290" s="28"/>
      <c r="D1290" s="28"/>
      <c r="E1290" s="28"/>
      <c r="F1290" s="28"/>
      <c r="G1290" s="28"/>
      <c r="H1290" s="28"/>
      <c r="I1290" s="28"/>
      <c r="J1290" s="28"/>
      <c r="K1290" s="28"/>
      <c r="L1290" s="28"/>
      <c r="M1290" s="28"/>
      <c r="N1290" s="28"/>
      <c r="O1290" s="28"/>
      <c r="P1290" s="28"/>
      <c r="Q1290" s="28"/>
      <c r="R1290" s="28"/>
      <c r="S1290" s="28"/>
    </row>
    <row r="1291" spans="1:19" x14ac:dyDescent="0.25">
      <c r="A1291" s="28"/>
      <c r="B1291" s="28"/>
      <c r="C1291" s="28"/>
      <c r="D1291" s="28"/>
      <c r="E1291" s="28"/>
      <c r="F1291" s="28"/>
      <c r="G1291" s="28"/>
      <c r="H1291" s="28"/>
      <c r="I1291" s="28"/>
      <c r="J1291" s="28"/>
      <c r="K1291" s="28"/>
      <c r="L1291" s="28"/>
      <c r="M1291" s="28"/>
      <c r="N1291" s="28"/>
      <c r="O1291" s="28"/>
      <c r="P1291" s="28"/>
      <c r="Q1291" s="28"/>
      <c r="R1291" s="28"/>
      <c r="S1291" s="28"/>
    </row>
    <row r="1292" spans="1:19" x14ac:dyDescent="0.25">
      <c r="A1292" s="28"/>
      <c r="B1292" s="28"/>
      <c r="C1292" s="28"/>
      <c r="D1292" s="28"/>
      <c r="E1292" s="28"/>
      <c r="F1292" s="28"/>
      <c r="G1292" s="28"/>
      <c r="H1292" s="28"/>
      <c r="I1292" s="28"/>
      <c r="J1292" s="28"/>
      <c r="K1292" s="28"/>
      <c r="L1292" s="28"/>
      <c r="M1292" s="28"/>
      <c r="N1292" s="28"/>
      <c r="O1292" s="28"/>
      <c r="P1292" s="28"/>
      <c r="Q1292" s="28"/>
      <c r="R1292" s="28"/>
      <c r="S1292" s="28"/>
    </row>
    <row r="1293" spans="1:19" x14ac:dyDescent="0.25">
      <c r="A1293" s="28"/>
      <c r="B1293" s="28"/>
      <c r="C1293" s="28"/>
      <c r="D1293" s="28"/>
      <c r="E1293" s="28"/>
      <c r="F1293" s="28"/>
      <c r="G1293" s="28"/>
      <c r="H1293" s="28"/>
      <c r="I1293" s="28"/>
      <c r="J1293" s="28"/>
      <c r="K1293" s="28"/>
      <c r="L1293" s="28"/>
      <c r="M1293" s="28"/>
      <c r="N1293" s="28"/>
      <c r="O1293" s="28"/>
      <c r="P1293" s="28"/>
      <c r="Q1293" s="28"/>
      <c r="R1293" s="28"/>
      <c r="S1293" s="28"/>
    </row>
    <row r="1294" spans="1:19" x14ac:dyDescent="0.25">
      <c r="A1294" s="28"/>
      <c r="B1294" s="28"/>
      <c r="C1294" s="28"/>
      <c r="D1294" s="28"/>
      <c r="E1294" s="28"/>
      <c r="F1294" s="28"/>
      <c r="G1294" s="28"/>
      <c r="H1294" s="28"/>
      <c r="I1294" s="28"/>
      <c r="J1294" s="28"/>
      <c r="K1294" s="28"/>
      <c r="L1294" s="28"/>
      <c r="M1294" s="28"/>
      <c r="N1294" s="28"/>
      <c r="O1294" s="28"/>
      <c r="P1294" s="28"/>
      <c r="Q1294" s="28"/>
      <c r="R1294" s="28"/>
      <c r="S1294" s="28"/>
    </row>
    <row r="1295" spans="1:19" x14ac:dyDescent="0.25">
      <c r="A1295" s="28"/>
      <c r="B1295" s="28"/>
      <c r="C1295" s="28"/>
      <c r="D1295" s="28"/>
      <c r="E1295" s="28"/>
      <c r="F1295" s="28"/>
      <c r="G1295" s="28"/>
      <c r="H1295" s="28"/>
      <c r="I1295" s="28"/>
      <c r="J1295" s="28"/>
      <c r="K1295" s="28"/>
      <c r="L1295" s="28"/>
      <c r="M1295" s="28"/>
      <c r="N1295" s="28"/>
      <c r="O1295" s="28"/>
      <c r="P1295" s="28"/>
      <c r="Q1295" s="28"/>
      <c r="R1295" s="28"/>
      <c r="S1295" s="28"/>
    </row>
    <row r="1296" spans="1:19" x14ac:dyDescent="0.25">
      <c r="A1296" s="28"/>
      <c r="B1296" s="28"/>
      <c r="C1296" s="28"/>
      <c r="D1296" s="28"/>
      <c r="E1296" s="28"/>
      <c r="F1296" s="28"/>
      <c r="G1296" s="28"/>
      <c r="H1296" s="28"/>
      <c r="I1296" s="28"/>
      <c r="J1296" s="28"/>
      <c r="K1296" s="28"/>
      <c r="L1296" s="28"/>
      <c r="M1296" s="28"/>
      <c r="N1296" s="28"/>
      <c r="O1296" s="28"/>
      <c r="P1296" s="28"/>
      <c r="Q1296" s="28"/>
      <c r="R1296" s="28"/>
      <c r="S1296" s="28"/>
    </row>
    <row r="1297" spans="1:19" x14ac:dyDescent="0.25">
      <c r="A1297" s="28"/>
      <c r="B1297" s="28"/>
      <c r="C1297" s="28"/>
      <c r="D1297" s="28"/>
      <c r="E1297" s="28"/>
      <c r="F1297" s="28"/>
      <c r="G1297" s="28"/>
      <c r="H1297" s="28"/>
      <c r="I1297" s="28"/>
      <c r="J1297" s="28"/>
      <c r="K1297" s="28"/>
      <c r="L1297" s="28"/>
      <c r="M1297" s="28"/>
      <c r="N1297" s="28"/>
      <c r="O1297" s="28"/>
      <c r="P1297" s="28"/>
      <c r="Q1297" s="28"/>
      <c r="R1297" s="28"/>
      <c r="S1297" s="28"/>
    </row>
    <row r="1298" spans="1:19" x14ac:dyDescent="0.25">
      <c r="A1298" s="28"/>
      <c r="B1298" s="28"/>
      <c r="C1298" s="28"/>
      <c r="D1298" s="28"/>
      <c r="E1298" s="28"/>
      <c r="F1298" s="28"/>
      <c r="G1298" s="28"/>
      <c r="H1298" s="28"/>
      <c r="I1298" s="28"/>
      <c r="J1298" s="28"/>
      <c r="K1298" s="28"/>
      <c r="L1298" s="28"/>
      <c r="M1298" s="28"/>
      <c r="N1298" s="28"/>
      <c r="O1298" s="28"/>
      <c r="P1298" s="28"/>
      <c r="Q1298" s="28"/>
      <c r="R1298" s="28"/>
      <c r="S1298" s="28"/>
    </row>
    <row r="1299" spans="1:19" x14ac:dyDescent="0.25">
      <c r="A1299" s="28"/>
      <c r="B1299" s="28"/>
      <c r="C1299" s="28"/>
      <c r="D1299" s="28"/>
      <c r="E1299" s="28"/>
      <c r="F1299" s="28"/>
      <c r="G1299" s="28"/>
      <c r="H1299" s="28"/>
      <c r="I1299" s="28"/>
      <c r="J1299" s="28"/>
      <c r="K1299" s="28"/>
      <c r="L1299" s="28"/>
      <c r="M1299" s="28"/>
      <c r="N1299" s="28"/>
      <c r="O1299" s="28"/>
      <c r="P1299" s="28"/>
      <c r="Q1299" s="28"/>
      <c r="R1299" s="28"/>
      <c r="S1299" s="28"/>
    </row>
    <row r="1300" spans="1:19" x14ac:dyDescent="0.25">
      <c r="A1300" s="28"/>
      <c r="B1300" s="28"/>
      <c r="C1300" s="28"/>
      <c r="D1300" s="28"/>
      <c r="E1300" s="28"/>
      <c r="F1300" s="28"/>
      <c r="G1300" s="28"/>
      <c r="H1300" s="28"/>
      <c r="I1300" s="28"/>
      <c r="J1300" s="28"/>
      <c r="K1300" s="28"/>
      <c r="L1300" s="28"/>
      <c r="M1300" s="28"/>
      <c r="N1300" s="28"/>
      <c r="O1300" s="28"/>
      <c r="P1300" s="28"/>
      <c r="Q1300" s="28"/>
      <c r="R1300" s="28"/>
      <c r="S1300" s="28"/>
    </row>
    <row r="1301" spans="1:19" x14ac:dyDescent="0.25">
      <c r="A1301" s="28"/>
      <c r="B1301" s="28"/>
      <c r="C1301" s="28"/>
      <c r="D1301" s="28"/>
      <c r="E1301" s="28"/>
      <c r="F1301" s="28"/>
      <c r="G1301" s="28"/>
      <c r="H1301" s="28"/>
      <c r="I1301" s="28"/>
      <c r="J1301" s="28"/>
      <c r="K1301" s="28"/>
      <c r="L1301" s="28"/>
      <c r="M1301" s="28"/>
      <c r="N1301" s="28"/>
      <c r="O1301" s="28"/>
      <c r="P1301" s="28"/>
      <c r="Q1301" s="28"/>
      <c r="R1301" s="28"/>
      <c r="S1301" s="28"/>
    </row>
    <row r="1302" spans="1:19" x14ac:dyDescent="0.25">
      <c r="A1302" s="28"/>
      <c r="B1302" s="28"/>
      <c r="C1302" s="28"/>
      <c r="D1302" s="28"/>
      <c r="E1302" s="28"/>
      <c r="F1302" s="28"/>
      <c r="G1302" s="28"/>
      <c r="H1302" s="28"/>
      <c r="I1302" s="28"/>
      <c r="J1302" s="28"/>
      <c r="K1302" s="28"/>
      <c r="L1302" s="28"/>
      <c r="M1302" s="28"/>
      <c r="N1302" s="28"/>
      <c r="O1302" s="28"/>
      <c r="P1302" s="28"/>
      <c r="Q1302" s="28"/>
      <c r="R1302" s="28"/>
      <c r="S1302" s="28"/>
    </row>
    <row r="1303" spans="1:19" x14ac:dyDescent="0.25">
      <c r="A1303" s="28"/>
      <c r="B1303" s="28"/>
      <c r="C1303" s="28"/>
      <c r="D1303" s="28"/>
      <c r="E1303" s="28"/>
      <c r="F1303" s="28"/>
      <c r="G1303" s="28"/>
      <c r="H1303" s="28"/>
      <c r="I1303" s="28"/>
      <c r="J1303" s="28"/>
      <c r="K1303" s="28"/>
      <c r="L1303" s="28"/>
      <c r="M1303" s="28"/>
      <c r="N1303" s="28"/>
      <c r="O1303" s="28"/>
      <c r="P1303" s="28"/>
      <c r="Q1303" s="28"/>
      <c r="R1303" s="28"/>
      <c r="S1303" s="28"/>
    </row>
    <row r="1304" spans="1:19" x14ac:dyDescent="0.25">
      <c r="A1304" s="28"/>
      <c r="B1304" s="28"/>
      <c r="C1304" s="28"/>
      <c r="D1304" s="28"/>
      <c r="E1304" s="28"/>
      <c r="F1304" s="28"/>
      <c r="G1304" s="28"/>
      <c r="H1304" s="28"/>
      <c r="I1304" s="28"/>
      <c r="J1304" s="28"/>
      <c r="K1304" s="28"/>
      <c r="L1304" s="28"/>
      <c r="M1304" s="28"/>
      <c r="N1304" s="28"/>
      <c r="O1304" s="28"/>
      <c r="P1304" s="28"/>
      <c r="Q1304" s="28"/>
      <c r="R1304" s="28"/>
      <c r="S1304" s="28"/>
    </row>
    <row r="1305" spans="1:19" x14ac:dyDescent="0.25">
      <c r="A1305" s="28"/>
      <c r="B1305" s="28"/>
      <c r="C1305" s="28"/>
      <c r="D1305" s="28"/>
      <c r="E1305" s="28"/>
      <c r="F1305" s="28"/>
      <c r="G1305" s="28"/>
      <c r="H1305" s="28"/>
      <c r="I1305" s="28"/>
      <c r="J1305" s="28"/>
      <c r="K1305" s="28"/>
      <c r="L1305" s="28"/>
      <c r="M1305" s="28"/>
      <c r="N1305" s="28"/>
      <c r="O1305" s="28"/>
      <c r="P1305" s="28"/>
      <c r="Q1305" s="28"/>
      <c r="R1305" s="28"/>
      <c r="S1305" s="28"/>
    </row>
    <row r="1306" spans="1:19" x14ac:dyDescent="0.25">
      <c r="A1306" s="28"/>
      <c r="B1306" s="28"/>
      <c r="C1306" s="28"/>
      <c r="D1306" s="28"/>
      <c r="E1306" s="28"/>
      <c r="F1306" s="28"/>
      <c r="G1306" s="28"/>
      <c r="H1306" s="28"/>
      <c r="I1306" s="28"/>
      <c r="J1306" s="28"/>
      <c r="K1306" s="28"/>
      <c r="L1306" s="28"/>
      <c r="M1306" s="28"/>
      <c r="N1306" s="28"/>
      <c r="O1306" s="28"/>
      <c r="P1306" s="28"/>
      <c r="Q1306" s="28"/>
      <c r="R1306" s="28"/>
      <c r="S1306" s="28"/>
    </row>
    <row r="1307" spans="1:19" x14ac:dyDescent="0.25">
      <c r="A1307" s="28"/>
      <c r="B1307" s="28"/>
      <c r="C1307" s="28"/>
      <c r="D1307" s="28"/>
      <c r="E1307" s="28"/>
      <c r="F1307" s="28"/>
      <c r="G1307" s="28"/>
      <c r="H1307" s="28"/>
      <c r="I1307" s="28"/>
      <c r="J1307" s="28"/>
      <c r="K1307" s="28"/>
      <c r="L1307" s="28"/>
      <c r="M1307" s="28"/>
      <c r="N1307" s="28"/>
      <c r="O1307" s="28"/>
      <c r="P1307" s="28"/>
      <c r="Q1307" s="28"/>
      <c r="R1307" s="28"/>
      <c r="S1307" s="28"/>
    </row>
    <row r="1308" spans="1:19" x14ac:dyDescent="0.25">
      <c r="A1308" s="28"/>
      <c r="B1308" s="28"/>
      <c r="C1308" s="28"/>
      <c r="D1308" s="28"/>
      <c r="E1308" s="28"/>
      <c r="F1308" s="28"/>
      <c r="G1308" s="28"/>
      <c r="H1308" s="28"/>
      <c r="I1308" s="28"/>
      <c r="J1308" s="28"/>
      <c r="K1308" s="28"/>
      <c r="L1308" s="28"/>
      <c r="M1308" s="28"/>
      <c r="N1308" s="28"/>
      <c r="O1308" s="28"/>
      <c r="P1308" s="28"/>
      <c r="Q1308" s="28"/>
      <c r="R1308" s="28"/>
      <c r="S1308" s="28"/>
    </row>
    <row r="1309" spans="1:19" x14ac:dyDescent="0.25">
      <c r="A1309" s="28"/>
      <c r="B1309" s="28"/>
      <c r="C1309" s="28"/>
      <c r="D1309" s="28"/>
      <c r="E1309" s="28"/>
      <c r="F1309" s="28"/>
      <c r="G1309" s="28"/>
      <c r="H1309" s="28"/>
      <c r="I1309" s="28"/>
      <c r="J1309" s="28"/>
      <c r="K1309" s="28"/>
      <c r="L1309" s="28"/>
      <c r="M1309" s="28"/>
      <c r="N1309" s="28"/>
      <c r="O1309" s="28"/>
      <c r="P1309" s="28"/>
      <c r="Q1309" s="28"/>
      <c r="R1309" s="28"/>
      <c r="S1309" s="28"/>
    </row>
    <row r="1310" spans="1:19" x14ac:dyDescent="0.25">
      <c r="A1310" s="28"/>
      <c r="B1310" s="28"/>
      <c r="C1310" s="28"/>
      <c r="D1310" s="28"/>
      <c r="E1310" s="28"/>
      <c r="F1310" s="28"/>
      <c r="G1310" s="28"/>
      <c r="H1310" s="28"/>
      <c r="I1310" s="28"/>
      <c r="J1310" s="28"/>
      <c r="K1310" s="28"/>
      <c r="L1310" s="28"/>
      <c r="M1310" s="28"/>
      <c r="N1310" s="28"/>
      <c r="O1310" s="28"/>
      <c r="P1310" s="28"/>
      <c r="Q1310" s="28"/>
      <c r="R1310" s="28"/>
      <c r="S1310" s="28"/>
    </row>
    <row r="1311" spans="1:19" x14ac:dyDescent="0.25">
      <c r="A1311" s="28"/>
      <c r="B1311" s="28"/>
      <c r="C1311" s="28"/>
      <c r="D1311" s="28"/>
      <c r="E1311" s="28"/>
      <c r="F1311" s="28"/>
      <c r="G1311" s="28"/>
      <c r="H1311" s="28"/>
      <c r="I1311" s="28"/>
      <c r="J1311" s="28"/>
      <c r="K1311" s="28"/>
      <c r="L1311" s="28"/>
      <c r="M1311" s="28"/>
      <c r="N1311" s="28"/>
      <c r="O1311" s="28"/>
      <c r="P1311" s="28"/>
      <c r="Q1311" s="28"/>
      <c r="R1311" s="28"/>
      <c r="S1311" s="28"/>
    </row>
    <row r="1312" spans="1:19" x14ac:dyDescent="0.25">
      <c r="A1312" s="28"/>
      <c r="B1312" s="28"/>
      <c r="C1312" s="28"/>
      <c r="D1312" s="28"/>
      <c r="E1312" s="28"/>
      <c r="F1312" s="28"/>
      <c r="G1312" s="28"/>
      <c r="H1312" s="28"/>
      <c r="I1312" s="28"/>
      <c r="J1312" s="28"/>
      <c r="K1312" s="28"/>
      <c r="L1312" s="28"/>
      <c r="M1312" s="28"/>
      <c r="N1312" s="28"/>
      <c r="O1312" s="28"/>
      <c r="P1312" s="28"/>
      <c r="Q1312" s="28"/>
      <c r="R1312" s="28"/>
      <c r="S1312" s="28"/>
    </row>
    <row r="1313" spans="1:19" x14ac:dyDescent="0.25">
      <c r="A1313" s="28"/>
      <c r="B1313" s="28"/>
      <c r="C1313" s="28"/>
      <c r="D1313" s="28"/>
      <c r="E1313" s="28"/>
      <c r="F1313" s="28"/>
      <c r="G1313" s="28"/>
      <c r="H1313" s="28"/>
      <c r="I1313" s="28"/>
      <c r="J1313" s="28"/>
      <c r="K1313" s="28"/>
      <c r="L1313" s="28"/>
      <c r="M1313" s="28"/>
      <c r="N1313" s="28"/>
      <c r="O1313" s="28"/>
      <c r="P1313" s="28"/>
      <c r="Q1313" s="28"/>
      <c r="R1313" s="28"/>
      <c r="S1313" s="28"/>
    </row>
    <row r="1314" spans="1:19" x14ac:dyDescent="0.25">
      <c r="A1314" s="28"/>
      <c r="B1314" s="28"/>
      <c r="C1314" s="28"/>
      <c r="D1314" s="28"/>
      <c r="E1314" s="28"/>
      <c r="F1314" s="28"/>
      <c r="G1314" s="28"/>
      <c r="H1314" s="28"/>
      <c r="I1314" s="28"/>
      <c r="J1314" s="28"/>
      <c r="K1314" s="28"/>
      <c r="L1314" s="28"/>
      <c r="M1314" s="28"/>
      <c r="N1314" s="28"/>
      <c r="O1314" s="28"/>
      <c r="P1314" s="28"/>
      <c r="Q1314" s="28"/>
      <c r="R1314" s="28"/>
      <c r="S1314" s="28"/>
    </row>
    <row r="1315" spans="1:19" x14ac:dyDescent="0.25">
      <c r="A1315" s="28"/>
      <c r="B1315" s="28"/>
      <c r="C1315" s="28"/>
      <c r="D1315" s="28"/>
      <c r="E1315" s="28"/>
      <c r="F1315" s="28"/>
      <c r="G1315" s="28"/>
      <c r="H1315" s="28"/>
      <c r="I1315" s="28"/>
      <c r="J1315" s="28"/>
      <c r="K1315" s="28"/>
      <c r="L1315" s="28"/>
      <c r="M1315" s="28"/>
      <c r="N1315" s="28"/>
      <c r="O1315" s="28"/>
      <c r="P1315" s="28"/>
      <c r="Q1315" s="28"/>
      <c r="R1315" s="28"/>
      <c r="S1315" s="28"/>
    </row>
    <row r="1316" spans="1:19" x14ac:dyDescent="0.25">
      <c r="A1316" s="28"/>
      <c r="B1316" s="28"/>
      <c r="C1316" s="28"/>
      <c r="D1316" s="28"/>
      <c r="E1316" s="28"/>
      <c r="F1316" s="28"/>
      <c r="G1316" s="28"/>
      <c r="H1316" s="28"/>
      <c r="I1316" s="28"/>
      <c r="J1316" s="28"/>
      <c r="K1316" s="28"/>
      <c r="L1316" s="28"/>
      <c r="M1316" s="28"/>
      <c r="N1316" s="28"/>
      <c r="O1316" s="28"/>
      <c r="P1316" s="28"/>
      <c r="Q1316" s="28"/>
      <c r="R1316" s="28"/>
      <c r="S1316" s="28"/>
    </row>
    <row r="1317" spans="1:19" x14ac:dyDescent="0.25">
      <c r="A1317" s="28"/>
      <c r="B1317" s="28"/>
      <c r="C1317" s="28"/>
      <c r="D1317" s="28"/>
      <c r="E1317" s="28"/>
      <c r="F1317" s="28"/>
      <c r="G1317" s="28"/>
      <c r="H1317" s="28"/>
      <c r="I1317" s="28"/>
      <c r="J1317" s="28"/>
      <c r="K1317" s="28"/>
      <c r="L1317" s="28"/>
      <c r="M1317" s="28"/>
      <c r="N1317" s="28"/>
      <c r="O1317" s="28"/>
      <c r="P1317" s="28"/>
      <c r="Q1317" s="28"/>
      <c r="R1317" s="28"/>
      <c r="S1317" s="28"/>
    </row>
    <row r="1318" spans="1:19" x14ac:dyDescent="0.25">
      <c r="A1318" s="28"/>
      <c r="B1318" s="28"/>
      <c r="C1318" s="28"/>
      <c r="D1318" s="28"/>
      <c r="E1318" s="28"/>
      <c r="F1318" s="28"/>
      <c r="G1318" s="28"/>
      <c r="H1318" s="28"/>
      <c r="I1318" s="28"/>
      <c r="J1318" s="28"/>
      <c r="K1318" s="28"/>
      <c r="L1318" s="28"/>
      <c r="M1318" s="28"/>
      <c r="N1318" s="28"/>
      <c r="O1318" s="28"/>
      <c r="P1318" s="28"/>
      <c r="Q1318" s="28"/>
      <c r="R1318" s="28"/>
      <c r="S1318" s="28"/>
    </row>
    <row r="1319" spans="1:19" x14ac:dyDescent="0.25">
      <c r="A1319" s="28"/>
      <c r="B1319" s="28"/>
      <c r="C1319" s="28"/>
      <c r="D1319" s="28"/>
      <c r="E1319" s="28"/>
      <c r="F1319" s="28"/>
      <c r="G1319" s="28"/>
      <c r="H1319" s="28"/>
      <c r="I1319" s="28"/>
      <c r="J1319" s="28"/>
      <c r="K1319" s="28"/>
      <c r="L1319" s="28"/>
      <c r="M1319" s="28"/>
      <c r="N1319" s="28"/>
      <c r="O1319" s="28"/>
      <c r="P1319" s="28"/>
      <c r="Q1319" s="28"/>
      <c r="R1319" s="28"/>
      <c r="S1319" s="28"/>
    </row>
    <row r="1320" spans="1:19" x14ac:dyDescent="0.25">
      <c r="A1320" s="28"/>
      <c r="B1320" s="28"/>
      <c r="C1320" s="28"/>
      <c r="D1320" s="28"/>
      <c r="E1320" s="28"/>
      <c r="F1320" s="28"/>
      <c r="G1320" s="28"/>
      <c r="H1320" s="28"/>
      <c r="I1320" s="28"/>
      <c r="J1320" s="28"/>
      <c r="K1320" s="28"/>
      <c r="L1320" s="28"/>
      <c r="M1320" s="28"/>
      <c r="N1320" s="28"/>
      <c r="O1320" s="28"/>
      <c r="P1320" s="28"/>
      <c r="Q1320" s="28"/>
      <c r="R1320" s="28"/>
      <c r="S1320" s="28"/>
    </row>
    <row r="1321" spans="1:19" x14ac:dyDescent="0.25">
      <c r="A1321" s="28"/>
      <c r="B1321" s="28"/>
      <c r="C1321" s="28"/>
      <c r="D1321" s="28"/>
      <c r="E1321" s="28"/>
      <c r="F1321" s="28"/>
      <c r="G1321" s="28"/>
      <c r="H1321" s="28"/>
      <c r="I1321" s="28"/>
      <c r="J1321" s="28"/>
      <c r="K1321" s="28"/>
      <c r="L1321" s="28"/>
      <c r="M1321" s="28"/>
      <c r="N1321" s="28"/>
      <c r="O1321" s="28"/>
      <c r="P1321" s="28"/>
      <c r="Q1321" s="28"/>
      <c r="R1321" s="28"/>
      <c r="S1321" s="28"/>
    </row>
    <row r="1322" spans="1:19" x14ac:dyDescent="0.25">
      <c r="A1322" s="28"/>
      <c r="B1322" s="28"/>
      <c r="C1322" s="28"/>
      <c r="D1322" s="28"/>
      <c r="E1322" s="28"/>
      <c r="F1322" s="28"/>
      <c r="G1322" s="28"/>
      <c r="H1322" s="28"/>
      <c r="I1322" s="28"/>
      <c r="J1322" s="28"/>
      <c r="K1322" s="28"/>
      <c r="L1322" s="28"/>
      <c r="M1322" s="28"/>
      <c r="N1322" s="28"/>
      <c r="O1322" s="28"/>
      <c r="P1322" s="28"/>
      <c r="Q1322" s="28"/>
      <c r="R1322" s="28"/>
      <c r="S1322" s="28"/>
    </row>
    <row r="1323" spans="1:19" x14ac:dyDescent="0.25">
      <c r="A1323" s="28"/>
      <c r="B1323" s="28"/>
      <c r="C1323" s="28"/>
      <c r="D1323" s="28"/>
      <c r="E1323" s="28"/>
      <c r="F1323" s="28"/>
      <c r="G1323" s="28"/>
      <c r="H1323" s="28"/>
      <c r="I1323" s="28"/>
      <c r="J1323" s="28"/>
      <c r="K1323" s="28"/>
      <c r="L1323" s="28"/>
      <c r="M1323" s="28"/>
      <c r="N1323" s="28"/>
      <c r="O1323" s="28"/>
      <c r="P1323" s="28"/>
      <c r="Q1323" s="28"/>
      <c r="R1323" s="28"/>
      <c r="S1323" s="28"/>
    </row>
    <row r="1324" spans="1:19" x14ac:dyDescent="0.25">
      <c r="A1324" s="28"/>
      <c r="B1324" s="28"/>
      <c r="C1324" s="28"/>
      <c r="D1324" s="28"/>
      <c r="E1324" s="28"/>
      <c r="F1324" s="28"/>
      <c r="G1324" s="28"/>
      <c r="H1324" s="28"/>
      <c r="I1324" s="28"/>
      <c r="J1324" s="28"/>
      <c r="K1324" s="28"/>
      <c r="L1324" s="28"/>
      <c r="M1324" s="28"/>
      <c r="N1324" s="28"/>
      <c r="O1324" s="28"/>
      <c r="P1324" s="28"/>
      <c r="Q1324" s="28"/>
      <c r="R1324" s="28"/>
      <c r="S1324" s="28"/>
    </row>
    <row r="1325" spans="1:19" x14ac:dyDescent="0.25">
      <c r="A1325" s="28"/>
      <c r="B1325" s="28"/>
      <c r="C1325" s="28"/>
      <c r="D1325" s="28"/>
      <c r="E1325" s="28"/>
      <c r="F1325" s="28"/>
      <c r="G1325" s="28"/>
      <c r="H1325" s="28"/>
      <c r="I1325" s="28"/>
      <c r="J1325" s="28"/>
      <c r="K1325" s="28"/>
      <c r="L1325" s="28"/>
      <c r="M1325" s="28"/>
      <c r="N1325" s="28"/>
      <c r="O1325" s="28"/>
      <c r="P1325" s="28"/>
      <c r="Q1325" s="28"/>
      <c r="R1325" s="28"/>
      <c r="S1325" s="28"/>
    </row>
    <row r="1326" spans="1:19" x14ac:dyDescent="0.25">
      <c r="A1326" s="28"/>
      <c r="B1326" s="28"/>
      <c r="C1326" s="28"/>
      <c r="D1326" s="28"/>
      <c r="E1326" s="28"/>
      <c r="F1326" s="28"/>
      <c r="G1326" s="28"/>
      <c r="H1326" s="28"/>
      <c r="I1326" s="28"/>
      <c r="J1326" s="28"/>
      <c r="K1326" s="28"/>
      <c r="L1326" s="28"/>
      <c r="M1326" s="28"/>
      <c r="N1326" s="28"/>
      <c r="O1326" s="28"/>
      <c r="P1326" s="28"/>
      <c r="Q1326" s="28"/>
      <c r="R1326" s="28"/>
      <c r="S1326" s="28"/>
    </row>
    <row r="1327" spans="1:19" x14ac:dyDescent="0.25">
      <c r="A1327" s="28"/>
      <c r="B1327" s="28"/>
      <c r="C1327" s="28"/>
      <c r="D1327" s="28"/>
      <c r="E1327" s="28"/>
      <c r="F1327" s="28"/>
      <c r="G1327" s="28"/>
      <c r="H1327" s="28"/>
      <c r="I1327" s="28"/>
      <c r="J1327" s="28"/>
      <c r="K1327" s="28"/>
      <c r="L1327" s="28"/>
      <c r="M1327" s="28"/>
      <c r="N1327" s="28"/>
      <c r="O1327" s="28"/>
      <c r="P1327" s="28"/>
      <c r="Q1327" s="28"/>
      <c r="R1327" s="28"/>
      <c r="S1327" s="28"/>
    </row>
    <row r="1328" spans="1:19" x14ac:dyDescent="0.25">
      <c r="A1328" s="28"/>
      <c r="B1328" s="28"/>
      <c r="C1328" s="28"/>
      <c r="D1328" s="28"/>
      <c r="E1328" s="28"/>
      <c r="F1328" s="28"/>
      <c r="G1328" s="28"/>
      <c r="H1328" s="28"/>
      <c r="I1328" s="28"/>
      <c r="J1328" s="28"/>
      <c r="K1328" s="28"/>
      <c r="L1328" s="28"/>
      <c r="M1328" s="28"/>
      <c r="N1328" s="28"/>
      <c r="O1328" s="28"/>
      <c r="P1328" s="28"/>
      <c r="Q1328" s="28"/>
      <c r="R1328" s="28"/>
      <c r="S1328" s="28"/>
    </row>
    <row r="1329" spans="1:19" x14ac:dyDescent="0.25">
      <c r="A1329" s="28"/>
      <c r="B1329" s="28"/>
      <c r="C1329" s="28"/>
      <c r="D1329" s="28"/>
      <c r="E1329" s="28"/>
      <c r="F1329" s="28"/>
      <c r="G1329" s="28"/>
      <c r="H1329" s="28"/>
      <c r="I1329" s="28"/>
      <c r="J1329" s="28"/>
      <c r="K1329" s="28"/>
      <c r="L1329" s="28"/>
      <c r="M1329" s="28"/>
      <c r="N1329" s="28"/>
      <c r="O1329" s="28"/>
      <c r="P1329" s="28"/>
      <c r="Q1329" s="28"/>
      <c r="R1329" s="28"/>
      <c r="S1329" s="28"/>
    </row>
    <row r="1330" spans="1:19" x14ac:dyDescent="0.25">
      <c r="A1330" s="28"/>
      <c r="B1330" s="28"/>
      <c r="C1330" s="28"/>
      <c r="D1330" s="28"/>
      <c r="E1330" s="28"/>
      <c r="F1330" s="28"/>
      <c r="G1330" s="28"/>
      <c r="H1330" s="28"/>
      <c r="I1330" s="28"/>
      <c r="J1330" s="28"/>
      <c r="K1330" s="28"/>
      <c r="L1330" s="28"/>
      <c r="M1330" s="28"/>
      <c r="N1330" s="28"/>
      <c r="O1330" s="28"/>
      <c r="P1330" s="28"/>
      <c r="Q1330" s="28"/>
      <c r="R1330" s="28"/>
      <c r="S1330" s="28"/>
    </row>
    <row r="1331" spans="1:19" x14ac:dyDescent="0.25">
      <c r="A1331" s="28"/>
      <c r="B1331" s="28"/>
      <c r="C1331" s="28"/>
      <c r="D1331" s="28"/>
      <c r="E1331" s="28"/>
      <c r="F1331" s="28"/>
      <c r="G1331" s="28"/>
      <c r="H1331" s="28"/>
      <c r="I1331" s="28"/>
      <c r="J1331" s="28"/>
      <c r="K1331" s="28"/>
      <c r="L1331" s="28"/>
      <c r="M1331" s="28"/>
      <c r="N1331" s="28"/>
      <c r="O1331" s="28"/>
      <c r="P1331" s="28"/>
      <c r="Q1331" s="28"/>
      <c r="R1331" s="28"/>
      <c r="S1331" s="28"/>
    </row>
    <row r="1332" spans="1:19" x14ac:dyDescent="0.25">
      <c r="A1332" s="28"/>
      <c r="B1332" s="28"/>
      <c r="C1332" s="28"/>
      <c r="D1332" s="28"/>
      <c r="E1332" s="28"/>
      <c r="F1332" s="28"/>
      <c r="G1332" s="28"/>
      <c r="H1332" s="28"/>
      <c r="I1332" s="28"/>
      <c r="J1332" s="28"/>
      <c r="K1332" s="28"/>
      <c r="L1332" s="28"/>
      <c r="M1332" s="28"/>
      <c r="N1332" s="28"/>
      <c r="O1332" s="28"/>
      <c r="P1332" s="28"/>
      <c r="Q1332" s="28"/>
      <c r="R1332" s="28"/>
      <c r="S1332" s="28"/>
    </row>
    <row r="1333" spans="1:19" x14ac:dyDescent="0.25">
      <c r="A1333" s="28"/>
      <c r="B1333" s="28"/>
      <c r="C1333" s="28"/>
      <c r="D1333" s="28"/>
      <c r="E1333" s="28"/>
      <c r="F1333" s="28"/>
      <c r="G1333" s="28"/>
      <c r="H1333" s="28"/>
      <c r="I1333" s="28"/>
      <c r="J1333" s="28"/>
      <c r="K1333" s="28"/>
      <c r="L1333" s="28"/>
      <c r="M1333" s="28"/>
      <c r="N1333" s="28"/>
      <c r="O1333" s="28"/>
      <c r="P1333" s="28"/>
      <c r="Q1333" s="28"/>
      <c r="R1333" s="28"/>
      <c r="S1333" s="28"/>
    </row>
    <row r="1334" spans="1:19" x14ac:dyDescent="0.25">
      <c r="A1334" s="28"/>
      <c r="B1334" s="28"/>
      <c r="C1334" s="28"/>
      <c r="D1334" s="28"/>
      <c r="E1334" s="28"/>
      <c r="F1334" s="28"/>
      <c r="G1334" s="28"/>
      <c r="H1334" s="28"/>
      <c r="I1334" s="28"/>
      <c r="J1334" s="28"/>
      <c r="K1334" s="28"/>
      <c r="L1334" s="28"/>
      <c r="M1334" s="28"/>
      <c r="N1334" s="28"/>
      <c r="O1334" s="28"/>
      <c r="P1334" s="28"/>
      <c r="Q1334" s="28"/>
      <c r="R1334" s="28"/>
      <c r="S1334" s="28"/>
    </row>
    <row r="1335" spans="1:19" x14ac:dyDescent="0.25">
      <c r="A1335" s="28"/>
      <c r="B1335" s="28"/>
      <c r="C1335" s="28"/>
      <c r="D1335" s="28"/>
      <c r="E1335" s="28"/>
      <c r="F1335" s="28"/>
      <c r="G1335" s="28"/>
      <c r="H1335" s="28"/>
      <c r="I1335" s="28"/>
      <c r="J1335" s="28"/>
      <c r="K1335" s="28"/>
      <c r="L1335" s="28"/>
      <c r="M1335" s="28"/>
      <c r="N1335" s="28"/>
      <c r="O1335" s="28"/>
      <c r="P1335" s="28"/>
      <c r="Q1335" s="28"/>
      <c r="R1335" s="28"/>
      <c r="S1335" s="28"/>
    </row>
    <row r="1336" spans="1:19" x14ac:dyDescent="0.25">
      <c r="A1336" s="28"/>
      <c r="B1336" s="28"/>
      <c r="C1336" s="28"/>
      <c r="D1336" s="28"/>
      <c r="E1336" s="28"/>
      <c r="F1336" s="28"/>
      <c r="G1336" s="28"/>
      <c r="H1336" s="28"/>
      <c r="I1336" s="28"/>
      <c r="J1336" s="28"/>
      <c r="K1336" s="28"/>
      <c r="L1336" s="28"/>
      <c r="M1336" s="28"/>
      <c r="N1336" s="28"/>
      <c r="O1336" s="28"/>
      <c r="P1336" s="28"/>
      <c r="Q1336" s="28"/>
      <c r="R1336" s="28"/>
      <c r="S1336" s="28"/>
    </row>
    <row r="1337" spans="1:19" x14ac:dyDescent="0.25">
      <c r="A1337" s="28"/>
      <c r="B1337" s="28"/>
      <c r="C1337" s="28"/>
      <c r="D1337" s="28"/>
      <c r="E1337" s="28"/>
      <c r="F1337" s="28"/>
      <c r="G1337" s="28"/>
      <c r="H1337" s="28"/>
      <c r="I1337" s="28"/>
      <c r="J1337" s="28"/>
      <c r="K1337" s="28"/>
      <c r="L1337" s="28"/>
      <c r="M1337" s="28"/>
      <c r="N1337" s="28"/>
      <c r="O1337" s="28"/>
      <c r="P1337" s="28"/>
      <c r="Q1337" s="28"/>
      <c r="R1337" s="28"/>
      <c r="S1337" s="28"/>
    </row>
    <row r="1338" spans="1:19" x14ac:dyDescent="0.25">
      <c r="A1338" s="28"/>
      <c r="B1338" s="28"/>
      <c r="C1338" s="28"/>
      <c r="D1338" s="28"/>
      <c r="E1338" s="28"/>
      <c r="F1338" s="28"/>
      <c r="G1338" s="28"/>
      <c r="H1338" s="28"/>
      <c r="I1338" s="28"/>
      <c r="J1338" s="28"/>
      <c r="K1338" s="28"/>
      <c r="L1338" s="28"/>
      <c r="M1338" s="28"/>
      <c r="N1338" s="28"/>
      <c r="O1338" s="28"/>
      <c r="P1338" s="28"/>
      <c r="Q1338" s="28"/>
      <c r="R1338" s="28"/>
      <c r="S1338" s="28"/>
    </row>
    <row r="1339" spans="1:19" x14ac:dyDescent="0.25">
      <c r="A1339" s="28"/>
      <c r="B1339" s="28"/>
      <c r="C1339" s="28"/>
      <c r="D1339" s="28"/>
      <c r="E1339" s="28"/>
      <c r="F1339" s="28"/>
      <c r="G1339" s="28"/>
      <c r="H1339" s="28"/>
      <c r="I1339" s="28"/>
      <c r="J1339" s="28"/>
      <c r="K1339" s="28"/>
      <c r="L1339" s="28"/>
      <c r="M1339" s="28"/>
      <c r="N1339" s="28"/>
      <c r="O1339" s="28"/>
      <c r="P1339" s="28"/>
      <c r="Q1339" s="28"/>
      <c r="R1339" s="28"/>
      <c r="S1339" s="28"/>
    </row>
    <row r="1340" spans="1:19" x14ac:dyDescent="0.25">
      <c r="A1340" s="28"/>
      <c r="B1340" s="28"/>
      <c r="C1340" s="28"/>
      <c r="D1340" s="28"/>
      <c r="E1340" s="28"/>
      <c r="F1340" s="28"/>
      <c r="G1340" s="28"/>
      <c r="H1340" s="28"/>
      <c r="I1340" s="28"/>
      <c r="J1340" s="28"/>
      <c r="K1340" s="28"/>
      <c r="L1340" s="28"/>
      <c r="M1340" s="28"/>
      <c r="N1340" s="28"/>
      <c r="O1340" s="28"/>
      <c r="P1340" s="28"/>
      <c r="Q1340" s="28"/>
      <c r="R1340" s="28"/>
      <c r="S1340" s="28"/>
    </row>
    <row r="1341" spans="1:19" x14ac:dyDescent="0.25">
      <c r="A1341" s="28"/>
      <c r="B1341" s="28"/>
      <c r="C1341" s="28"/>
      <c r="D1341" s="28"/>
      <c r="E1341" s="28"/>
      <c r="F1341" s="28"/>
      <c r="G1341" s="28"/>
      <c r="H1341" s="28"/>
      <c r="I1341" s="28"/>
      <c r="J1341" s="28"/>
      <c r="K1341" s="28"/>
      <c r="L1341" s="28"/>
      <c r="M1341" s="28"/>
      <c r="N1341" s="28"/>
      <c r="O1341" s="28"/>
      <c r="P1341" s="28"/>
      <c r="Q1341" s="28"/>
      <c r="R1341" s="28"/>
      <c r="S1341" s="28"/>
    </row>
    <row r="1342" spans="1:19" x14ac:dyDescent="0.25">
      <c r="A1342" s="28"/>
      <c r="B1342" s="28"/>
      <c r="C1342" s="28"/>
      <c r="D1342" s="28"/>
      <c r="E1342" s="28"/>
      <c r="F1342" s="28"/>
      <c r="G1342" s="28"/>
      <c r="H1342" s="28"/>
      <c r="I1342" s="28"/>
      <c r="J1342" s="28"/>
      <c r="K1342" s="28"/>
      <c r="L1342" s="28"/>
      <c r="M1342" s="28"/>
      <c r="N1342" s="28"/>
      <c r="O1342" s="28"/>
      <c r="P1342" s="28"/>
      <c r="Q1342" s="28"/>
      <c r="R1342" s="28"/>
      <c r="S1342" s="28"/>
    </row>
    <row r="1343" spans="1:19" x14ac:dyDescent="0.25">
      <c r="A1343" s="28"/>
      <c r="B1343" s="28"/>
      <c r="C1343" s="28"/>
      <c r="D1343" s="28"/>
      <c r="E1343" s="28"/>
      <c r="F1343" s="28"/>
      <c r="G1343" s="28"/>
      <c r="H1343" s="28"/>
      <c r="I1343" s="28"/>
      <c r="J1343" s="28"/>
      <c r="K1343" s="28"/>
      <c r="L1343" s="28"/>
      <c r="M1343" s="28"/>
      <c r="N1343" s="28"/>
      <c r="O1343" s="28"/>
      <c r="P1343" s="28"/>
      <c r="Q1343" s="28"/>
      <c r="R1343" s="28"/>
      <c r="S1343" s="28"/>
    </row>
    <row r="1344" spans="1:19" x14ac:dyDescent="0.25">
      <c r="A1344" s="28"/>
      <c r="B1344" s="28"/>
      <c r="C1344" s="28"/>
      <c r="D1344" s="28"/>
      <c r="E1344" s="28"/>
      <c r="F1344" s="28"/>
      <c r="G1344" s="28"/>
      <c r="H1344" s="28"/>
      <c r="I1344" s="28"/>
      <c r="J1344" s="28"/>
      <c r="K1344" s="28"/>
      <c r="L1344" s="28"/>
      <c r="M1344" s="28"/>
      <c r="N1344" s="28"/>
      <c r="O1344" s="28"/>
      <c r="P1344" s="28"/>
      <c r="Q1344" s="28"/>
      <c r="R1344" s="28"/>
      <c r="S1344" s="28"/>
    </row>
    <row r="1345" spans="1:19" x14ac:dyDescent="0.25">
      <c r="A1345" s="28"/>
      <c r="B1345" s="28"/>
      <c r="C1345" s="28"/>
      <c r="D1345" s="28"/>
      <c r="E1345" s="28"/>
      <c r="F1345" s="28"/>
      <c r="G1345" s="28"/>
      <c r="H1345" s="28"/>
      <c r="I1345" s="28"/>
      <c r="J1345" s="28"/>
      <c r="K1345" s="28"/>
      <c r="L1345" s="28"/>
      <c r="M1345" s="28"/>
      <c r="N1345" s="28"/>
      <c r="O1345" s="28"/>
      <c r="P1345" s="28"/>
      <c r="Q1345" s="28"/>
      <c r="R1345" s="28"/>
      <c r="S1345" s="28"/>
    </row>
    <row r="1346" spans="1:19" x14ac:dyDescent="0.25">
      <c r="A1346" s="28"/>
      <c r="B1346" s="28"/>
      <c r="C1346" s="28"/>
      <c r="D1346" s="28"/>
      <c r="E1346" s="28"/>
      <c r="F1346" s="28"/>
      <c r="G1346" s="28"/>
      <c r="H1346" s="28"/>
      <c r="I1346" s="28"/>
      <c r="J1346" s="28"/>
      <c r="K1346" s="28"/>
      <c r="L1346" s="28"/>
      <c r="M1346" s="28"/>
      <c r="N1346" s="28"/>
      <c r="O1346" s="28"/>
      <c r="P1346" s="28"/>
      <c r="Q1346" s="28"/>
      <c r="R1346" s="28"/>
      <c r="S1346" s="28"/>
    </row>
    <row r="1347" spans="1:19" x14ac:dyDescent="0.25">
      <c r="A1347" s="28"/>
      <c r="B1347" s="28"/>
      <c r="C1347" s="28"/>
      <c r="D1347" s="28"/>
      <c r="E1347" s="28"/>
      <c r="F1347" s="28"/>
      <c r="G1347" s="28"/>
      <c r="H1347" s="28"/>
      <c r="I1347" s="28"/>
      <c r="J1347" s="28"/>
      <c r="K1347" s="28"/>
      <c r="L1347" s="28"/>
      <c r="M1347" s="28"/>
      <c r="N1347" s="28"/>
      <c r="O1347" s="28"/>
      <c r="P1347" s="28"/>
      <c r="Q1347" s="28"/>
      <c r="R1347" s="28"/>
      <c r="S1347" s="28"/>
    </row>
    <row r="1348" spans="1:19" x14ac:dyDescent="0.25">
      <c r="A1348" s="28"/>
      <c r="B1348" s="28"/>
      <c r="C1348" s="28"/>
      <c r="D1348" s="28"/>
      <c r="E1348" s="28"/>
      <c r="F1348" s="28"/>
      <c r="G1348" s="28"/>
      <c r="H1348" s="28"/>
      <c r="I1348" s="28"/>
      <c r="J1348" s="28"/>
      <c r="K1348" s="28"/>
      <c r="L1348" s="28"/>
      <c r="M1348" s="28"/>
      <c r="N1348" s="28"/>
      <c r="O1348" s="28"/>
      <c r="P1348" s="28"/>
      <c r="Q1348" s="28"/>
      <c r="R1348" s="28"/>
      <c r="S1348" s="28"/>
    </row>
    <row r="1349" spans="1:19" x14ac:dyDescent="0.25">
      <c r="A1349" s="28"/>
      <c r="B1349" s="28"/>
      <c r="C1349" s="28"/>
      <c r="D1349" s="28"/>
      <c r="E1349" s="28"/>
      <c r="F1349" s="28"/>
      <c r="G1349" s="28"/>
      <c r="H1349" s="28"/>
      <c r="I1349" s="28"/>
      <c r="J1349" s="28"/>
      <c r="K1349" s="28"/>
      <c r="L1349" s="28"/>
      <c r="M1349" s="28"/>
      <c r="N1349" s="28"/>
      <c r="O1349" s="28"/>
      <c r="P1349" s="28"/>
      <c r="Q1349" s="28"/>
      <c r="R1349" s="28"/>
      <c r="S1349" s="28"/>
    </row>
    <row r="1350" spans="1:19" x14ac:dyDescent="0.25">
      <c r="A1350" s="28"/>
      <c r="B1350" s="28"/>
      <c r="C1350" s="28"/>
      <c r="D1350" s="28"/>
      <c r="E1350" s="28"/>
      <c r="F1350" s="28"/>
      <c r="G1350" s="28"/>
      <c r="H1350" s="28"/>
      <c r="I1350" s="28"/>
      <c r="J1350" s="28"/>
      <c r="K1350" s="28"/>
      <c r="L1350" s="28"/>
      <c r="M1350" s="28"/>
      <c r="N1350" s="28"/>
      <c r="O1350" s="28"/>
      <c r="P1350" s="28"/>
      <c r="Q1350" s="28"/>
      <c r="R1350" s="28"/>
      <c r="S1350" s="28"/>
    </row>
    <row r="1351" spans="1:19" x14ac:dyDescent="0.25">
      <c r="A1351" s="28"/>
      <c r="B1351" s="28"/>
      <c r="C1351" s="28"/>
      <c r="D1351" s="28"/>
      <c r="E1351" s="28"/>
      <c r="F1351" s="28"/>
      <c r="G1351" s="28"/>
      <c r="H1351" s="28"/>
      <c r="I1351" s="28"/>
      <c r="J1351" s="28"/>
      <c r="K1351" s="28"/>
      <c r="L1351" s="28"/>
      <c r="M1351" s="28"/>
      <c r="N1351" s="28"/>
      <c r="O1351" s="28"/>
      <c r="P1351" s="28"/>
      <c r="Q1351" s="28"/>
      <c r="R1351" s="28"/>
      <c r="S1351" s="28"/>
    </row>
    <row r="1352" spans="1:19" x14ac:dyDescent="0.25">
      <c r="A1352" s="28"/>
      <c r="B1352" s="28"/>
      <c r="C1352" s="28"/>
      <c r="D1352" s="28"/>
      <c r="E1352" s="28"/>
      <c r="F1352" s="28"/>
      <c r="G1352" s="28"/>
      <c r="H1352" s="28"/>
      <c r="I1352" s="28"/>
      <c r="J1352" s="28"/>
      <c r="K1352" s="28"/>
      <c r="L1352" s="28"/>
      <c r="M1352" s="28"/>
      <c r="N1352" s="28"/>
      <c r="O1352" s="28"/>
      <c r="P1352" s="28"/>
      <c r="Q1352" s="28"/>
      <c r="R1352" s="28"/>
      <c r="S1352" s="28"/>
    </row>
    <row r="1353" spans="1:19" x14ac:dyDescent="0.25">
      <c r="A1353" s="28"/>
      <c r="B1353" s="28"/>
      <c r="C1353" s="28"/>
      <c r="D1353" s="28"/>
      <c r="E1353" s="28"/>
      <c r="F1353" s="28"/>
      <c r="G1353" s="28"/>
      <c r="H1353" s="28"/>
      <c r="I1353" s="28"/>
      <c r="J1353" s="28"/>
      <c r="K1353" s="28"/>
      <c r="L1353" s="28"/>
      <c r="M1353" s="28"/>
      <c r="N1353" s="28"/>
      <c r="O1353" s="28"/>
      <c r="P1353" s="28"/>
      <c r="Q1353" s="28"/>
      <c r="R1353" s="28"/>
      <c r="S1353" s="28"/>
    </row>
    <row r="1354" spans="1:19" x14ac:dyDescent="0.25">
      <c r="A1354" s="28"/>
      <c r="B1354" s="28"/>
      <c r="C1354" s="28"/>
      <c r="D1354" s="28"/>
      <c r="E1354" s="28"/>
      <c r="F1354" s="28"/>
      <c r="G1354" s="28"/>
      <c r="H1354" s="28"/>
      <c r="I1354" s="28"/>
      <c r="J1354" s="28"/>
      <c r="K1354" s="28"/>
      <c r="L1354" s="28"/>
      <c r="M1354" s="28"/>
      <c r="N1354" s="28"/>
      <c r="O1354" s="28"/>
      <c r="P1354" s="28"/>
      <c r="Q1354" s="28"/>
      <c r="R1354" s="28"/>
      <c r="S1354" s="28"/>
    </row>
    <row r="1355" spans="1:19" x14ac:dyDescent="0.25">
      <c r="A1355" s="28"/>
      <c r="B1355" s="28"/>
      <c r="C1355" s="28"/>
      <c r="D1355" s="28"/>
      <c r="E1355" s="28"/>
      <c r="F1355" s="28"/>
      <c r="G1355" s="28"/>
      <c r="H1355" s="28"/>
      <c r="I1355" s="28"/>
      <c r="J1355" s="28"/>
      <c r="K1355" s="28"/>
      <c r="L1355" s="28"/>
      <c r="M1355" s="28"/>
      <c r="N1355" s="28"/>
      <c r="O1355" s="28"/>
      <c r="P1355" s="28"/>
      <c r="Q1355" s="28"/>
      <c r="R1355" s="28"/>
      <c r="S1355" s="28"/>
    </row>
    <row r="1356" spans="1:19" x14ac:dyDescent="0.25">
      <c r="A1356" s="28"/>
      <c r="B1356" s="28"/>
      <c r="C1356" s="28"/>
      <c r="D1356" s="28"/>
      <c r="E1356" s="28"/>
      <c r="F1356" s="28"/>
      <c r="G1356" s="28"/>
      <c r="H1356" s="28"/>
      <c r="I1356" s="28"/>
      <c r="J1356" s="28"/>
      <c r="K1356" s="28"/>
      <c r="L1356" s="28"/>
      <c r="M1356" s="28"/>
      <c r="N1356" s="28"/>
      <c r="O1356" s="28"/>
      <c r="P1356" s="28"/>
      <c r="Q1356" s="28"/>
      <c r="R1356" s="28"/>
      <c r="S1356" s="28"/>
    </row>
    <row r="1357" spans="1:19" x14ac:dyDescent="0.25">
      <c r="A1357" s="28"/>
      <c r="B1357" s="28"/>
      <c r="C1357" s="28"/>
      <c r="D1357" s="28"/>
      <c r="E1357" s="28"/>
      <c r="F1357" s="28"/>
      <c r="G1357" s="28"/>
      <c r="H1357" s="28"/>
      <c r="I1357" s="28"/>
      <c r="J1357" s="28"/>
      <c r="K1357" s="28"/>
      <c r="L1357" s="28"/>
      <c r="M1357" s="28"/>
      <c r="N1357" s="28"/>
      <c r="O1357" s="28"/>
      <c r="P1357" s="28"/>
      <c r="Q1357" s="28"/>
      <c r="R1357" s="28"/>
      <c r="S1357" s="28"/>
    </row>
    <row r="1358" spans="1:19" x14ac:dyDescent="0.25">
      <c r="A1358" s="28"/>
      <c r="B1358" s="28"/>
      <c r="C1358" s="28"/>
      <c r="D1358" s="28"/>
      <c r="E1358" s="28"/>
      <c r="F1358" s="28"/>
      <c r="G1358" s="28"/>
      <c r="H1358" s="28"/>
      <c r="I1358" s="28"/>
      <c r="J1358" s="28"/>
      <c r="K1358" s="28"/>
      <c r="L1358" s="28"/>
      <c r="M1358" s="28"/>
      <c r="N1358" s="28"/>
      <c r="O1358" s="28"/>
      <c r="P1358" s="28"/>
      <c r="Q1358" s="28"/>
      <c r="R1358" s="28"/>
      <c r="S1358" s="28"/>
    </row>
    <row r="1359" spans="1:19" x14ac:dyDescent="0.25">
      <c r="A1359" s="28"/>
      <c r="B1359" s="28"/>
      <c r="C1359" s="28"/>
      <c r="D1359" s="28"/>
      <c r="E1359" s="28"/>
      <c r="F1359" s="28"/>
      <c r="G1359" s="28"/>
      <c r="H1359" s="28"/>
      <c r="I1359" s="28"/>
      <c r="J1359" s="28"/>
      <c r="K1359" s="28"/>
      <c r="L1359" s="28"/>
      <c r="M1359" s="28"/>
      <c r="N1359" s="28"/>
      <c r="O1359" s="28"/>
      <c r="P1359" s="28"/>
      <c r="Q1359" s="28"/>
      <c r="R1359" s="28"/>
      <c r="S1359" s="28"/>
    </row>
    <row r="1360" spans="1:19" x14ac:dyDescent="0.25">
      <c r="A1360" s="28"/>
      <c r="B1360" s="28"/>
      <c r="C1360" s="28"/>
      <c r="D1360" s="28"/>
      <c r="E1360" s="28"/>
      <c r="F1360" s="28"/>
      <c r="G1360" s="28"/>
      <c r="H1360" s="28"/>
      <c r="I1360" s="28"/>
      <c r="J1360" s="28"/>
      <c r="K1360" s="28"/>
      <c r="L1360" s="28"/>
      <c r="M1360" s="28"/>
      <c r="N1360" s="28"/>
      <c r="O1360" s="28"/>
      <c r="P1360" s="28"/>
      <c r="Q1360" s="28"/>
      <c r="R1360" s="28"/>
      <c r="S1360" s="28"/>
    </row>
    <row r="1361" spans="1:19" x14ac:dyDescent="0.25">
      <c r="A1361" s="28"/>
      <c r="B1361" s="28"/>
      <c r="C1361" s="28"/>
      <c r="D1361" s="28"/>
      <c r="E1361" s="28"/>
      <c r="F1361" s="28"/>
      <c r="G1361" s="28"/>
      <c r="H1361" s="28"/>
      <c r="I1361" s="28"/>
      <c r="J1361" s="28"/>
      <c r="K1361" s="28"/>
      <c r="L1361" s="28"/>
      <c r="M1361" s="28"/>
      <c r="N1361" s="28"/>
      <c r="O1361" s="28"/>
      <c r="P1361" s="28"/>
      <c r="Q1361" s="28"/>
      <c r="R1361" s="28"/>
      <c r="S1361" s="28"/>
    </row>
    <row r="1362" spans="1:19" x14ac:dyDescent="0.25">
      <c r="A1362" s="28"/>
      <c r="B1362" s="28"/>
      <c r="C1362" s="28"/>
      <c r="D1362" s="28"/>
      <c r="E1362" s="28"/>
      <c r="F1362" s="28"/>
      <c r="G1362" s="28"/>
      <c r="H1362" s="28"/>
      <c r="I1362" s="28"/>
      <c r="J1362" s="28"/>
      <c r="K1362" s="28"/>
      <c r="L1362" s="28"/>
      <c r="M1362" s="28"/>
      <c r="N1362" s="28"/>
      <c r="O1362" s="28"/>
      <c r="P1362" s="28"/>
      <c r="Q1362" s="28"/>
      <c r="R1362" s="28"/>
      <c r="S1362" s="28"/>
    </row>
    <row r="1363" spans="1:19" x14ac:dyDescent="0.25">
      <c r="A1363" s="28"/>
      <c r="B1363" s="28"/>
      <c r="C1363" s="28"/>
      <c r="D1363" s="28"/>
      <c r="E1363" s="28"/>
      <c r="F1363" s="28"/>
      <c r="G1363" s="28"/>
      <c r="H1363" s="28"/>
      <c r="I1363" s="28"/>
      <c r="J1363" s="28"/>
      <c r="K1363" s="28"/>
      <c r="L1363" s="28"/>
      <c r="M1363" s="28"/>
      <c r="N1363" s="28"/>
      <c r="O1363" s="28"/>
      <c r="P1363" s="28"/>
      <c r="Q1363" s="28"/>
      <c r="R1363" s="28"/>
      <c r="S1363" s="28"/>
    </row>
    <row r="1364" spans="1:19" x14ac:dyDescent="0.25">
      <c r="A1364" s="28"/>
      <c r="B1364" s="28"/>
      <c r="C1364" s="28"/>
      <c r="D1364" s="28"/>
      <c r="E1364" s="28"/>
      <c r="F1364" s="28"/>
      <c r="G1364" s="28"/>
      <c r="H1364" s="28"/>
      <c r="I1364" s="28"/>
      <c r="J1364" s="28"/>
      <c r="K1364" s="28"/>
      <c r="L1364" s="28"/>
      <c r="M1364" s="28"/>
      <c r="N1364" s="28"/>
      <c r="O1364" s="28"/>
      <c r="P1364" s="28"/>
      <c r="Q1364" s="28"/>
      <c r="R1364" s="28"/>
      <c r="S1364" s="28"/>
    </row>
    <row r="1365" spans="1:19" x14ac:dyDescent="0.25">
      <c r="A1365" s="28"/>
      <c r="B1365" s="28"/>
      <c r="C1365" s="28"/>
      <c r="D1365" s="28"/>
      <c r="E1365" s="28"/>
      <c r="F1365" s="28"/>
      <c r="G1365" s="28"/>
      <c r="H1365" s="28"/>
      <c r="I1365" s="28"/>
      <c r="J1365" s="28"/>
      <c r="K1365" s="28"/>
      <c r="L1365" s="28"/>
      <c r="M1365" s="28"/>
      <c r="N1365" s="28"/>
      <c r="O1365" s="28"/>
      <c r="P1365" s="28"/>
      <c r="Q1365" s="28"/>
      <c r="R1365" s="28"/>
      <c r="S1365" s="28"/>
    </row>
    <row r="1366" spans="1:19" x14ac:dyDescent="0.25">
      <c r="A1366" s="28"/>
      <c r="B1366" s="28"/>
      <c r="C1366" s="28"/>
      <c r="D1366" s="28"/>
      <c r="E1366" s="28"/>
      <c r="F1366" s="28"/>
      <c r="G1366" s="28"/>
      <c r="H1366" s="28"/>
      <c r="I1366" s="28"/>
      <c r="J1366" s="28"/>
      <c r="K1366" s="28"/>
      <c r="L1366" s="28"/>
      <c r="M1366" s="28"/>
      <c r="N1366" s="28"/>
      <c r="O1366" s="28"/>
      <c r="P1366" s="28"/>
      <c r="Q1366" s="28"/>
      <c r="R1366" s="28"/>
      <c r="S1366" s="28"/>
    </row>
    <row r="1367" spans="1:19" x14ac:dyDescent="0.25">
      <c r="A1367" s="28"/>
      <c r="B1367" s="28"/>
      <c r="C1367" s="28"/>
      <c r="D1367" s="28"/>
      <c r="E1367" s="28"/>
      <c r="F1367" s="28"/>
      <c r="G1367" s="28"/>
      <c r="H1367" s="28"/>
      <c r="I1367" s="28"/>
      <c r="J1367" s="28"/>
      <c r="K1367" s="28"/>
      <c r="L1367" s="28"/>
      <c r="M1367" s="28"/>
      <c r="N1367" s="28"/>
      <c r="O1367" s="28"/>
      <c r="P1367" s="28"/>
      <c r="Q1367" s="28"/>
      <c r="R1367" s="28"/>
      <c r="S1367" s="28"/>
    </row>
    <row r="1368" spans="1:19" x14ac:dyDescent="0.25">
      <c r="A1368" s="28"/>
      <c r="B1368" s="28"/>
      <c r="C1368" s="28"/>
      <c r="D1368" s="28"/>
      <c r="E1368" s="28"/>
      <c r="F1368" s="28"/>
      <c r="G1368" s="28"/>
      <c r="H1368" s="28"/>
      <c r="I1368" s="28"/>
      <c r="J1368" s="28"/>
      <c r="K1368" s="28"/>
      <c r="L1368" s="28"/>
      <c r="M1368" s="28"/>
      <c r="N1368" s="28"/>
      <c r="O1368" s="28"/>
      <c r="P1368" s="28"/>
      <c r="Q1368" s="28"/>
      <c r="R1368" s="28"/>
      <c r="S1368" s="28"/>
    </row>
    <row r="1369" spans="1:19" x14ac:dyDescent="0.25">
      <c r="A1369" s="28"/>
      <c r="B1369" s="28"/>
      <c r="C1369" s="28"/>
      <c r="D1369" s="28"/>
      <c r="E1369" s="28"/>
      <c r="F1369" s="28"/>
      <c r="G1369" s="28"/>
      <c r="H1369" s="28"/>
      <c r="I1369" s="28"/>
      <c r="J1369" s="28"/>
      <c r="K1369" s="28"/>
      <c r="L1369" s="28"/>
      <c r="M1369" s="28"/>
      <c r="N1369" s="28"/>
      <c r="O1369" s="28"/>
      <c r="P1369" s="28"/>
      <c r="Q1369" s="28"/>
      <c r="R1369" s="28"/>
      <c r="S1369" s="28"/>
    </row>
    <row r="1370" spans="1:19" x14ac:dyDescent="0.25">
      <c r="A1370" s="28"/>
      <c r="B1370" s="28"/>
      <c r="C1370" s="28"/>
      <c r="D1370" s="28"/>
      <c r="E1370" s="28"/>
      <c r="F1370" s="28"/>
      <c r="G1370" s="28"/>
      <c r="H1370" s="28"/>
      <c r="I1370" s="28"/>
      <c r="J1370" s="28"/>
      <c r="K1370" s="28"/>
      <c r="L1370" s="28"/>
      <c r="M1370" s="28"/>
      <c r="N1370" s="28"/>
      <c r="O1370" s="28"/>
      <c r="P1370" s="28"/>
      <c r="Q1370" s="28"/>
      <c r="R1370" s="28"/>
      <c r="S1370" s="28"/>
    </row>
    <row r="1371" spans="1:19" x14ac:dyDescent="0.25">
      <c r="A1371" s="28"/>
      <c r="B1371" s="28"/>
      <c r="C1371" s="28"/>
      <c r="D1371" s="28"/>
      <c r="E1371" s="28"/>
      <c r="F1371" s="28"/>
      <c r="G1371" s="28"/>
      <c r="H1371" s="28"/>
      <c r="I1371" s="28"/>
      <c r="J1371" s="28"/>
      <c r="K1371" s="28"/>
      <c r="L1371" s="28"/>
      <c r="M1371" s="28"/>
      <c r="N1371" s="28"/>
      <c r="O1371" s="28"/>
      <c r="P1371" s="28"/>
      <c r="Q1371" s="28"/>
      <c r="R1371" s="28"/>
      <c r="S1371" s="28"/>
    </row>
    <row r="1372" spans="1:19" x14ac:dyDescent="0.25">
      <c r="A1372" s="28"/>
      <c r="B1372" s="28"/>
      <c r="C1372" s="28"/>
      <c r="D1372" s="28"/>
      <c r="E1372" s="28"/>
      <c r="F1372" s="28"/>
      <c r="G1372" s="28"/>
      <c r="H1372" s="28"/>
      <c r="I1372" s="28"/>
      <c r="J1372" s="28"/>
      <c r="K1372" s="28"/>
      <c r="L1372" s="28"/>
      <c r="M1372" s="28"/>
      <c r="N1372" s="28"/>
      <c r="O1372" s="28"/>
      <c r="P1372" s="28"/>
      <c r="Q1372" s="28"/>
      <c r="R1372" s="28"/>
      <c r="S1372" s="28"/>
    </row>
    <row r="1373" spans="1:19" x14ac:dyDescent="0.25">
      <c r="A1373" s="28"/>
      <c r="B1373" s="28"/>
      <c r="C1373" s="28"/>
      <c r="D1373" s="28"/>
      <c r="E1373" s="28"/>
      <c r="F1373" s="28"/>
      <c r="G1373" s="28"/>
      <c r="H1373" s="28"/>
      <c r="I1373" s="28"/>
      <c r="J1373" s="28"/>
      <c r="K1373" s="28"/>
      <c r="L1373" s="28"/>
      <c r="M1373" s="28"/>
      <c r="N1373" s="28"/>
      <c r="O1373" s="28"/>
      <c r="P1373" s="28"/>
      <c r="Q1373" s="28"/>
      <c r="R1373" s="28"/>
      <c r="S1373" s="28"/>
    </row>
    <row r="1374" spans="1:19" x14ac:dyDescent="0.25">
      <c r="A1374" s="28"/>
      <c r="B1374" s="28"/>
      <c r="C1374" s="28"/>
      <c r="D1374" s="28"/>
      <c r="E1374" s="28"/>
      <c r="F1374" s="28"/>
      <c r="G1374" s="28"/>
      <c r="H1374" s="28"/>
      <c r="I1374" s="28"/>
      <c r="J1374" s="28"/>
      <c r="K1374" s="28"/>
      <c r="L1374" s="28"/>
      <c r="M1374" s="28"/>
      <c r="N1374" s="28"/>
      <c r="O1374" s="28"/>
      <c r="P1374" s="28"/>
      <c r="Q1374" s="28"/>
      <c r="R1374" s="28"/>
      <c r="S1374" s="28"/>
    </row>
    <row r="1375" spans="1:19" x14ac:dyDescent="0.25">
      <c r="A1375" s="28"/>
      <c r="B1375" s="28"/>
      <c r="C1375" s="28"/>
      <c r="D1375" s="28"/>
      <c r="E1375" s="28"/>
      <c r="F1375" s="28"/>
      <c r="G1375" s="28"/>
      <c r="H1375" s="28"/>
      <c r="I1375" s="28"/>
      <c r="J1375" s="28"/>
      <c r="K1375" s="28"/>
      <c r="L1375" s="28"/>
      <c r="M1375" s="28"/>
      <c r="N1375" s="28"/>
      <c r="O1375" s="28"/>
      <c r="P1375" s="28"/>
      <c r="Q1375" s="28"/>
      <c r="R1375" s="28"/>
      <c r="S1375" s="28"/>
    </row>
    <row r="1376" spans="1:19" x14ac:dyDescent="0.25">
      <c r="A1376" s="28"/>
      <c r="B1376" s="28"/>
      <c r="C1376" s="28"/>
      <c r="D1376" s="28"/>
      <c r="E1376" s="28"/>
      <c r="F1376" s="28"/>
      <c r="G1376" s="28"/>
      <c r="H1376" s="28"/>
      <c r="I1376" s="28"/>
      <c r="J1376" s="28"/>
      <c r="K1376" s="28"/>
      <c r="L1376" s="28"/>
      <c r="M1376" s="28"/>
      <c r="N1376" s="28"/>
      <c r="O1376" s="28"/>
      <c r="P1376" s="28"/>
      <c r="Q1376" s="28"/>
      <c r="R1376" s="28"/>
      <c r="S1376" s="28"/>
    </row>
    <row r="1377" spans="1:19" x14ac:dyDescent="0.25">
      <c r="A1377" s="28"/>
      <c r="B1377" s="28"/>
      <c r="C1377" s="28"/>
      <c r="D1377" s="28"/>
      <c r="E1377" s="28"/>
      <c r="F1377" s="28"/>
      <c r="G1377" s="28"/>
      <c r="H1377" s="28"/>
      <c r="I1377" s="28"/>
      <c r="J1377" s="28"/>
      <c r="K1377" s="28"/>
      <c r="L1377" s="28"/>
      <c r="M1377" s="28"/>
      <c r="N1377" s="28"/>
      <c r="O1377" s="28"/>
      <c r="P1377" s="28"/>
      <c r="Q1377" s="28"/>
      <c r="R1377" s="28"/>
      <c r="S1377" s="28"/>
    </row>
    <row r="1378" spans="1:19" x14ac:dyDescent="0.25">
      <c r="A1378" s="28"/>
      <c r="B1378" s="28"/>
      <c r="C1378" s="28"/>
      <c r="D1378" s="28"/>
      <c r="E1378" s="28"/>
      <c r="F1378" s="28"/>
      <c r="G1378" s="28"/>
      <c r="H1378" s="28"/>
      <c r="I1378" s="28"/>
      <c r="J1378" s="28"/>
      <c r="K1378" s="28"/>
      <c r="L1378" s="28"/>
      <c r="M1378" s="28"/>
      <c r="N1378" s="28"/>
      <c r="O1378" s="28"/>
      <c r="P1378" s="28"/>
      <c r="Q1378" s="28"/>
      <c r="R1378" s="28"/>
      <c r="S1378" s="28"/>
    </row>
    <row r="1379" spans="1:19" x14ac:dyDescent="0.25">
      <c r="A1379" s="28"/>
      <c r="B1379" s="28"/>
      <c r="C1379" s="28"/>
      <c r="D1379" s="28"/>
      <c r="E1379" s="28"/>
      <c r="F1379" s="28"/>
      <c r="G1379" s="28"/>
      <c r="H1379" s="28"/>
      <c r="I1379" s="28"/>
      <c r="J1379" s="28"/>
      <c r="K1379" s="28"/>
      <c r="L1379" s="28"/>
      <c r="M1379" s="28"/>
      <c r="N1379" s="28"/>
      <c r="O1379" s="28"/>
      <c r="P1379" s="28"/>
      <c r="Q1379" s="28"/>
      <c r="R1379" s="28"/>
      <c r="S1379" s="28"/>
    </row>
    <row r="1380" spans="1:19" x14ac:dyDescent="0.25">
      <c r="A1380" s="28"/>
      <c r="B1380" s="28"/>
      <c r="C1380" s="28"/>
      <c r="D1380" s="28"/>
      <c r="E1380" s="28"/>
      <c r="F1380" s="28"/>
      <c r="G1380" s="28"/>
      <c r="H1380" s="28"/>
      <c r="I1380" s="28"/>
      <c r="J1380" s="28"/>
      <c r="K1380" s="28"/>
      <c r="L1380" s="28"/>
      <c r="M1380" s="28"/>
      <c r="N1380" s="28"/>
      <c r="O1380" s="28"/>
      <c r="P1380" s="28"/>
      <c r="Q1380" s="28"/>
      <c r="R1380" s="28"/>
      <c r="S1380" s="28"/>
    </row>
    <row r="1381" spans="1:19" x14ac:dyDescent="0.25">
      <c r="A1381" s="28"/>
      <c r="B1381" s="28"/>
      <c r="C1381" s="28"/>
      <c r="D1381" s="28"/>
      <c r="E1381" s="28"/>
      <c r="F1381" s="28"/>
      <c r="G1381" s="28"/>
      <c r="H1381" s="28"/>
      <c r="I1381" s="28"/>
      <c r="J1381" s="28"/>
      <c r="K1381" s="28"/>
      <c r="L1381" s="28"/>
      <c r="M1381" s="28"/>
      <c r="N1381" s="28"/>
      <c r="O1381" s="28"/>
      <c r="P1381" s="28"/>
      <c r="Q1381" s="28"/>
      <c r="R1381" s="28"/>
      <c r="S1381" s="28"/>
    </row>
    <row r="1382" spans="1:19" x14ac:dyDescent="0.25">
      <c r="A1382" s="28"/>
      <c r="B1382" s="28"/>
      <c r="C1382" s="28"/>
      <c r="D1382" s="28"/>
      <c r="E1382" s="28"/>
      <c r="F1382" s="28"/>
      <c r="G1382" s="28"/>
      <c r="H1382" s="28"/>
      <c r="I1382" s="28"/>
      <c r="J1382" s="28"/>
      <c r="K1382" s="28"/>
      <c r="L1382" s="28"/>
      <c r="M1382" s="28"/>
      <c r="N1382" s="28"/>
      <c r="O1382" s="28"/>
      <c r="P1382" s="28"/>
      <c r="Q1382" s="28"/>
      <c r="R1382" s="28"/>
      <c r="S1382" s="28"/>
    </row>
    <row r="1383" spans="1:19" x14ac:dyDescent="0.25">
      <c r="A1383" s="28"/>
      <c r="B1383" s="28"/>
      <c r="C1383" s="28"/>
      <c r="D1383" s="28"/>
      <c r="E1383" s="28"/>
      <c r="F1383" s="28"/>
      <c r="G1383" s="28"/>
      <c r="H1383" s="28"/>
      <c r="I1383" s="28"/>
      <c r="J1383" s="28"/>
      <c r="K1383" s="28"/>
      <c r="L1383" s="28"/>
      <c r="M1383" s="28"/>
      <c r="N1383" s="28"/>
      <c r="O1383" s="28"/>
      <c r="P1383" s="28"/>
      <c r="Q1383" s="28"/>
      <c r="R1383" s="28"/>
      <c r="S1383" s="28"/>
    </row>
    <row r="1384" spans="1:19" x14ac:dyDescent="0.25">
      <c r="A1384" s="28"/>
      <c r="B1384" s="28"/>
      <c r="C1384" s="28"/>
      <c r="D1384" s="28"/>
      <c r="E1384" s="28"/>
      <c r="F1384" s="28"/>
      <c r="G1384" s="28"/>
      <c r="H1384" s="28"/>
      <c r="I1384" s="28"/>
      <c r="J1384" s="28"/>
      <c r="K1384" s="28"/>
      <c r="L1384" s="28"/>
      <c r="M1384" s="28"/>
      <c r="N1384" s="28"/>
      <c r="O1384" s="28"/>
      <c r="P1384" s="28"/>
      <c r="Q1384" s="28"/>
      <c r="R1384" s="28"/>
      <c r="S1384" s="28"/>
    </row>
    <row r="1385" spans="1:19" x14ac:dyDescent="0.25">
      <c r="A1385" s="28"/>
      <c r="B1385" s="28"/>
      <c r="C1385" s="28"/>
      <c r="D1385" s="28"/>
      <c r="E1385" s="28"/>
      <c r="F1385" s="28"/>
      <c r="G1385" s="28"/>
      <c r="H1385" s="28"/>
      <c r="I1385" s="28"/>
      <c r="J1385" s="28"/>
      <c r="K1385" s="28"/>
      <c r="L1385" s="28"/>
      <c r="M1385" s="28"/>
      <c r="N1385" s="28"/>
      <c r="O1385" s="28"/>
      <c r="P1385" s="28"/>
      <c r="Q1385" s="28"/>
      <c r="R1385" s="28"/>
      <c r="S1385" s="28"/>
    </row>
    <row r="1386" spans="1:19" x14ac:dyDescent="0.25">
      <c r="A1386" s="28"/>
      <c r="B1386" s="28"/>
      <c r="C1386" s="28"/>
      <c r="D1386" s="28"/>
      <c r="E1386" s="28"/>
      <c r="F1386" s="28"/>
      <c r="G1386" s="28"/>
      <c r="H1386" s="28"/>
      <c r="I1386" s="28"/>
      <c r="J1386" s="28"/>
      <c r="K1386" s="28"/>
      <c r="L1386" s="28"/>
      <c r="M1386" s="28"/>
      <c r="N1386" s="28"/>
      <c r="O1386" s="28"/>
      <c r="P1386" s="28"/>
      <c r="Q1386" s="28"/>
      <c r="R1386" s="28"/>
      <c r="S1386" s="28"/>
    </row>
    <row r="1387" spans="1:19" x14ac:dyDescent="0.25">
      <c r="A1387" s="28"/>
      <c r="B1387" s="28"/>
      <c r="C1387" s="28"/>
      <c r="D1387" s="28"/>
      <c r="E1387" s="28"/>
      <c r="F1387" s="28"/>
      <c r="G1387" s="28"/>
      <c r="H1387" s="28"/>
      <c r="I1387" s="28"/>
      <c r="J1387" s="28"/>
      <c r="K1387" s="28"/>
      <c r="L1387" s="28"/>
      <c r="M1387" s="28"/>
      <c r="N1387" s="28"/>
      <c r="O1387" s="28"/>
      <c r="P1387" s="28"/>
      <c r="Q1387" s="28"/>
      <c r="R1387" s="28"/>
      <c r="S1387" s="28"/>
    </row>
    <row r="1388" spans="1:19" x14ac:dyDescent="0.25">
      <c r="A1388" s="28"/>
      <c r="B1388" s="28"/>
      <c r="C1388" s="28"/>
      <c r="D1388" s="28"/>
      <c r="E1388" s="28"/>
      <c r="F1388" s="28"/>
      <c r="G1388" s="28"/>
      <c r="H1388" s="28"/>
      <c r="I1388" s="28"/>
      <c r="J1388" s="28"/>
      <c r="K1388" s="28"/>
      <c r="L1388" s="28"/>
      <c r="M1388" s="28"/>
      <c r="N1388" s="28"/>
      <c r="O1388" s="28"/>
      <c r="P1388" s="28"/>
      <c r="Q1388" s="28"/>
      <c r="R1388" s="28"/>
      <c r="S1388" s="28"/>
    </row>
    <row r="1389" spans="1:19" x14ac:dyDescent="0.25">
      <c r="A1389" s="28"/>
      <c r="B1389" s="28"/>
      <c r="C1389" s="28"/>
      <c r="D1389" s="28"/>
      <c r="E1389" s="28"/>
      <c r="F1389" s="28"/>
      <c r="G1389" s="28"/>
      <c r="H1389" s="28"/>
      <c r="I1389" s="28"/>
      <c r="J1389" s="28"/>
      <c r="K1389" s="28"/>
      <c r="L1389" s="28"/>
      <c r="M1389" s="28"/>
      <c r="N1389" s="28"/>
      <c r="O1389" s="28"/>
      <c r="P1389" s="28"/>
      <c r="Q1389" s="28"/>
      <c r="R1389" s="28"/>
      <c r="S1389" s="28"/>
    </row>
    <row r="1390" spans="1:19" x14ac:dyDescent="0.25">
      <c r="A1390" s="28"/>
      <c r="B1390" s="28"/>
      <c r="C1390" s="28"/>
      <c r="D1390" s="28"/>
      <c r="E1390" s="28"/>
      <c r="F1390" s="28"/>
      <c r="G1390" s="28"/>
      <c r="H1390" s="28"/>
      <c r="I1390" s="28"/>
      <c r="J1390" s="28"/>
      <c r="K1390" s="28"/>
      <c r="L1390" s="28"/>
      <c r="M1390" s="28"/>
      <c r="N1390" s="28"/>
      <c r="O1390" s="28"/>
      <c r="P1390" s="28"/>
      <c r="Q1390" s="28"/>
      <c r="R1390" s="28"/>
      <c r="S1390" s="28"/>
    </row>
    <row r="1391" spans="1:19" x14ac:dyDescent="0.25">
      <c r="A1391" s="28"/>
      <c r="B1391" s="28"/>
      <c r="C1391" s="28"/>
      <c r="D1391" s="28"/>
      <c r="E1391" s="28"/>
      <c r="F1391" s="28"/>
      <c r="G1391" s="28"/>
      <c r="H1391" s="28"/>
      <c r="I1391" s="28"/>
      <c r="J1391" s="28"/>
      <c r="K1391" s="28"/>
      <c r="L1391" s="28"/>
      <c r="M1391" s="28"/>
      <c r="N1391" s="28"/>
      <c r="O1391" s="28"/>
      <c r="P1391" s="28"/>
      <c r="Q1391" s="28"/>
      <c r="R1391" s="28"/>
      <c r="S1391" s="28"/>
    </row>
    <row r="1392" spans="1:19" x14ac:dyDescent="0.25">
      <c r="A1392" s="28"/>
      <c r="B1392" s="28"/>
      <c r="C1392" s="28"/>
      <c r="D1392" s="28"/>
      <c r="E1392" s="28"/>
      <c r="F1392" s="28"/>
      <c r="G1392" s="28"/>
      <c r="H1392" s="28"/>
      <c r="I1392" s="28"/>
      <c r="J1392" s="28"/>
      <c r="K1392" s="28"/>
      <c r="L1392" s="28"/>
      <c r="M1392" s="28"/>
      <c r="N1392" s="28"/>
      <c r="O1392" s="28"/>
      <c r="P1392" s="28"/>
      <c r="Q1392" s="28"/>
      <c r="R1392" s="28"/>
      <c r="S1392" s="28"/>
    </row>
    <row r="1393" spans="1:19" x14ac:dyDescent="0.25">
      <c r="A1393" s="28"/>
      <c r="B1393" s="28"/>
      <c r="C1393" s="28"/>
      <c r="D1393" s="28"/>
      <c r="E1393" s="28"/>
      <c r="F1393" s="28"/>
      <c r="G1393" s="28"/>
      <c r="H1393" s="28"/>
      <c r="I1393" s="28"/>
      <c r="J1393" s="28"/>
      <c r="K1393" s="28"/>
      <c r="L1393" s="28"/>
      <c r="M1393" s="28"/>
      <c r="N1393" s="28"/>
      <c r="O1393" s="28"/>
      <c r="P1393" s="28"/>
      <c r="Q1393" s="28"/>
      <c r="R1393" s="28"/>
      <c r="S1393" s="28"/>
    </row>
    <row r="1394" spans="1:19" x14ac:dyDescent="0.25">
      <c r="A1394" s="28"/>
      <c r="B1394" s="28"/>
      <c r="C1394" s="28"/>
      <c r="D1394" s="28"/>
      <c r="E1394" s="28"/>
      <c r="F1394" s="28"/>
      <c r="G1394" s="28"/>
      <c r="H1394" s="28"/>
      <c r="I1394" s="28"/>
      <c r="J1394" s="28"/>
      <c r="K1394" s="28"/>
      <c r="L1394" s="28"/>
      <c r="M1394" s="28"/>
      <c r="N1394" s="28"/>
      <c r="O1394" s="28"/>
      <c r="P1394" s="28"/>
      <c r="Q1394" s="28"/>
      <c r="R1394" s="28"/>
      <c r="S1394" s="28"/>
    </row>
    <row r="1395" spans="1:19" x14ac:dyDescent="0.25">
      <c r="A1395" s="28"/>
      <c r="B1395" s="28"/>
      <c r="C1395" s="28"/>
      <c r="D1395" s="28"/>
      <c r="E1395" s="28"/>
      <c r="F1395" s="28"/>
      <c r="G1395" s="28"/>
      <c r="H1395" s="28"/>
      <c r="I1395" s="28"/>
      <c r="J1395" s="28"/>
      <c r="K1395" s="28"/>
      <c r="L1395" s="28"/>
      <c r="M1395" s="28"/>
      <c r="N1395" s="28"/>
      <c r="O1395" s="28"/>
      <c r="P1395" s="28"/>
      <c r="Q1395" s="28"/>
      <c r="R1395" s="28"/>
      <c r="S1395" s="28"/>
    </row>
    <row r="1396" spans="1:19" x14ac:dyDescent="0.25">
      <c r="A1396" s="28"/>
      <c r="B1396" s="28"/>
      <c r="C1396" s="28"/>
      <c r="D1396" s="28"/>
      <c r="E1396" s="28"/>
      <c r="F1396" s="28"/>
      <c r="G1396" s="28"/>
      <c r="H1396" s="28"/>
      <c r="I1396" s="28"/>
      <c r="J1396" s="28"/>
      <c r="K1396" s="28"/>
      <c r="L1396" s="28"/>
      <c r="M1396" s="28"/>
      <c r="N1396" s="28"/>
      <c r="O1396" s="28"/>
      <c r="P1396" s="28"/>
      <c r="Q1396" s="28"/>
      <c r="R1396" s="28"/>
      <c r="S1396" s="28"/>
    </row>
    <row r="1397" spans="1:19" x14ac:dyDescent="0.25">
      <c r="A1397" s="28"/>
      <c r="B1397" s="28"/>
      <c r="C1397" s="28"/>
      <c r="D1397" s="28"/>
      <c r="E1397" s="28"/>
      <c r="F1397" s="28"/>
      <c r="G1397" s="28"/>
      <c r="H1397" s="28"/>
      <c r="I1397" s="28"/>
      <c r="J1397" s="28"/>
      <c r="K1397" s="28"/>
      <c r="L1397" s="28"/>
      <c r="M1397" s="28"/>
      <c r="N1397" s="28"/>
      <c r="O1397" s="28"/>
      <c r="P1397" s="28"/>
      <c r="Q1397" s="28"/>
      <c r="R1397" s="28"/>
      <c r="S1397" s="28"/>
    </row>
    <row r="1398" spans="1:19" x14ac:dyDescent="0.25">
      <c r="A1398" s="28"/>
      <c r="B1398" s="28"/>
      <c r="C1398" s="28"/>
      <c r="D1398" s="28"/>
      <c r="E1398" s="28"/>
      <c r="F1398" s="28"/>
      <c r="G1398" s="28"/>
      <c r="H1398" s="28"/>
      <c r="I1398" s="28"/>
      <c r="J1398" s="28"/>
      <c r="K1398" s="28"/>
      <c r="L1398" s="28"/>
      <c r="M1398" s="28"/>
      <c r="N1398" s="28"/>
      <c r="O1398" s="28"/>
      <c r="P1398" s="28"/>
      <c r="Q1398" s="28"/>
      <c r="R1398" s="28"/>
      <c r="S1398" s="28"/>
    </row>
    <row r="1399" spans="1:19" x14ac:dyDescent="0.25">
      <c r="A1399" s="28"/>
      <c r="B1399" s="28"/>
      <c r="C1399" s="28"/>
      <c r="D1399" s="28"/>
      <c r="E1399" s="28"/>
      <c r="F1399" s="28"/>
      <c r="G1399" s="28"/>
      <c r="H1399" s="28"/>
      <c r="I1399" s="28"/>
      <c r="J1399" s="28"/>
      <c r="K1399" s="28"/>
      <c r="L1399" s="28"/>
      <c r="M1399" s="28"/>
      <c r="N1399" s="28"/>
      <c r="O1399" s="28"/>
      <c r="P1399" s="28"/>
      <c r="Q1399" s="28"/>
      <c r="R1399" s="28"/>
      <c r="S1399" s="28"/>
    </row>
    <row r="1400" spans="1:19" x14ac:dyDescent="0.25">
      <c r="A1400" s="28"/>
      <c r="B1400" s="28"/>
      <c r="C1400" s="28"/>
      <c r="D1400" s="28"/>
      <c r="E1400" s="28"/>
      <c r="F1400" s="28"/>
      <c r="G1400" s="28"/>
      <c r="H1400" s="28"/>
      <c r="I1400" s="28"/>
      <c r="J1400" s="28"/>
      <c r="K1400" s="28"/>
      <c r="L1400" s="28"/>
      <c r="M1400" s="28"/>
      <c r="N1400" s="28"/>
      <c r="O1400" s="28"/>
      <c r="P1400" s="28"/>
      <c r="Q1400" s="28"/>
      <c r="R1400" s="28"/>
      <c r="S1400" s="28"/>
    </row>
    <row r="1401" spans="1:19" x14ac:dyDescent="0.25">
      <c r="A1401" s="28"/>
      <c r="B1401" s="28"/>
      <c r="C1401" s="28"/>
      <c r="D1401" s="28"/>
      <c r="E1401" s="28"/>
      <c r="F1401" s="28"/>
      <c r="G1401" s="28"/>
      <c r="H1401" s="28"/>
      <c r="I1401" s="28"/>
      <c r="J1401" s="28"/>
      <c r="K1401" s="28"/>
      <c r="L1401" s="28"/>
      <c r="M1401" s="28"/>
      <c r="N1401" s="28"/>
      <c r="O1401" s="28"/>
      <c r="P1401" s="28"/>
      <c r="Q1401" s="28"/>
      <c r="R1401" s="28"/>
      <c r="S1401" s="28"/>
    </row>
    <row r="1402" spans="1:19" x14ac:dyDescent="0.25">
      <c r="A1402" s="28"/>
      <c r="B1402" s="28"/>
      <c r="C1402" s="28"/>
      <c r="D1402" s="28"/>
      <c r="E1402" s="28"/>
      <c r="F1402" s="28"/>
      <c r="G1402" s="28"/>
      <c r="H1402" s="28"/>
      <c r="I1402" s="28"/>
      <c r="J1402" s="28"/>
      <c r="K1402" s="28"/>
      <c r="L1402" s="28"/>
      <c r="M1402" s="28"/>
      <c r="N1402" s="28"/>
      <c r="O1402" s="28"/>
      <c r="P1402" s="28"/>
      <c r="Q1402" s="28"/>
      <c r="R1402" s="28"/>
      <c r="S1402" s="28"/>
    </row>
    <row r="1403" spans="1:19" x14ac:dyDescent="0.25">
      <c r="A1403" s="28"/>
      <c r="B1403" s="28"/>
      <c r="C1403" s="28"/>
      <c r="D1403" s="28"/>
      <c r="E1403" s="28"/>
      <c r="F1403" s="28"/>
      <c r="G1403" s="28"/>
      <c r="H1403" s="28"/>
      <c r="I1403" s="28"/>
      <c r="J1403" s="28"/>
      <c r="K1403" s="28"/>
      <c r="L1403" s="28"/>
      <c r="M1403" s="28"/>
      <c r="N1403" s="28"/>
      <c r="O1403" s="28"/>
      <c r="P1403" s="28"/>
      <c r="Q1403" s="28"/>
      <c r="R1403" s="28"/>
      <c r="S1403" s="28"/>
    </row>
    <row r="1404" spans="1:19" x14ac:dyDescent="0.25">
      <c r="A1404" s="28"/>
      <c r="B1404" s="28"/>
      <c r="C1404" s="28"/>
      <c r="D1404" s="28"/>
      <c r="E1404" s="28"/>
      <c r="F1404" s="28"/>
      <c r="G1404" s="28"/>
      <c r="H1404" s="28"/>
      <c r="I1404" s="28"/>
      <c r="J1404" s="28"/>
      <c r="K1404" s="28"/>
      <c r="L1404" s="28"/>
      <c r="M1404" s="28"/>
      <c r="N1404" s="28"/>
      <c r="O1404" s="28"/>
      <c r="P1404" s="28"/>
      <c r="Q1404" s="28"/>
      <c r="R1404" s="28"/>
      <c r="S1404" s="28"/>
    </row>
    <row r="1405" spans="1:19" x14ac:dyDescent="0.25">
      <c r="A1405" s="28"/>
      <c r="B1405" s="28"/>
      <c r="C1405" s="28"/>
      <c r="D1405" s="28"/>
      <c r="E1405" s="28"/>
      <c r="F1405" s="28"/>
      <c r="G1405" s="28"/>
      <c r="H1405" s="28"/>
      <c r="I1405" s="28"/>
      <c r="J1405" s="28"/>
      <c r="K1405" s="28"/>
      <c r="L1405" s="28"/>
      <c r="M1405" s="28"/>
      <c r="N1405" s="28"/>
      <c r="O1405" s="28"/>
      <c r="P1405" s="28"/>
      <c r="Q1405" s="28"/>
      <c r="R1405" s="28"/>
      <c r="S1405" s="28"/>
    </row>
    <row r="1406" spans="1:19" x14ac:dyDescent="0.25">
      <c r="A1406" s="28"/>
      <c r="B1406" s="28"/>
      <c r="C1406" s="28"/>
      <c r="D1406" s="28"/>
      <c r="E1406" s="28"/>
      <c r="F1406" s="28"/>
      <c r="G1406" s="28"/>
      <c r="H1406" s="28"/>
      <c r="I1406" s="28"/>
      <c r="J1406" s="28"/>
      <c r="K1406" s="28"/>
      <c r="L1406" s="28"/>
      <c r="M1406" s="28"/>
      <c r="N1406" s="28"/>
      <c r="O1406" s="28"/>
      <c r="P1406" s="28"/>
      <c r="Q1406" s="28"/>
      <c r="R1406" s="28"/>
      <c r="S1406" s="28"/>
    </row>
    <row r="1407" spans="1:19" x14ac:dyDescent="0.25">
      <c r="A1407" s="28"/>
      <c r="B1407" s="28"/>
      <c r="C1407" s="28"/>
      <c r="D1407" s="28"/>
      <c r="E1407" s="28"/>
      <c r="F1407" s="28"/>
      <c r="G1407" s="28"/>
      <c r="H1407" s="28"/>
      <c r="I1407" s="28"/>
      <c r="J1407" s="28"/>
      <c r="K1407" s="28"/>
      <c r="L1407" s="28"/>
      <c r="M1407" s="28"/>
      <c r="N1407" s="28"/>
      <c r="O1407" s="28"/>
      <c r="P1407" s="28"/>
      <c r="Q1407" s="28"/>
      <c r="R1407" s="28"/>
      <c r="S1407" s="28"/>
    </row>
    <row r="1408" spans="1:19" x14ac:dyDescent="0.25">
      <c r="A1408" s="28"/>
      <c r="B1408" s="28"/>
      <c r="C1408" s="28"/>
      <c r="D1408" s="28"/>
      <c r="E1408" s="28"/>
      <c r="F1408" s="28"/>
      <c r="G1408" s="28"/>
      <c r="H1408" s="28"/>
      <c r="I1408" s="28"/>
      <c r="J1408" s="28"/>
      <c r="K1408" s="28"/>
      <c r="L1408" s="28"/>
      <c r="M1408" s="28"/>
      <c r="N1408" s="28"/>
      <c r="O1408" s="28"/>
      <c r="P1408" s="28"/>
      <c r="Q1408" s="28"/>
      <c r="R1408" s="28"/>
      <c r="S1408" s="28"/>
    </row>
    <row r="1409" spans="1:19" x14ac:dyDescent="0.25">
      <c r="A1409" s="28"/>
      <c r="B1409" s="28"/>
      <c r="C1409" s="28"/>
      <c r="D1409" s="28"/>
      <c r="E1409" s="28"/>
      <c r="F1409" s="28"/>
      <c r="G1409" s="28"/>
      <c r="H1409" s="28"/>
      <c r="I1409" s="28"/>
      <c r="J1409" s="28"/>
      <c r="K1409" s="28"/>
      <c r="L1409" s="28"/>
      <c r="M1409" s="28"/>
      <c r="N1409" s="28"/>
      <c r="O1409" s="28"/>
      <c r="P1409" s="28"/>
      <c r="Q1409" s="28"/>
      <c r="R1409" s="28"/>
      <c r="S1409" s="28"/>
    </row>
    <row r="1410" spans="1:19" x14ac:dyDescent="0.25">
      <c r="A1410" s="28"/>
      <c r="B1410" s="28"/>
      <c r="C1410" s="28"/>
      <c r="D1410" s="28"/>
      <c r="E1410" s="28"/>
      <c r="F1410" s="28"/>
      <c r="G1410" s="28"/>
      <c r="H1410" s="28"/>
      <c r="I1410" s="28"/>
      <c r="J1410" s="28"/>
      <c r="K1410" s="28"/>
      <c r="L1410" s="28"/>
      <c r="M1410" s="28"/>
      <c r="N1410" s="28"/>
      <c r="O1410" s="28"/>
      <c r="P1410" s="28"/>
      <c r="Q1410" s="28"/>
      <c r="R1410" s="28"/>
      <c r="S1410" s="28"/>
    </row>
    <row r="1411" spans="1:19" x14ac:dyDescent="0.25">
      <c r="A1411" s="28"/>
      <c r="B1411" s="28"/>
      <c r="C1411" s="28"/>
      <c r="D1411" s="28"/>
      <c r="E1411" s="28"/>
      <c r="F1411" s="28"/>
      <c r="G1411" s="28"/>
      <c r="H1411" s="28"/>
      <c r="I1411" s="28"/>
      <c r="J1411" s="28"/>
      <c r="K1411" s="28"/>
      <c r="L1411" s="28"/>
      <c r="M1411" s="28"/>
      <c r="N1411" s="28"/>
      <c r="O1411" s="28"/>
      <c r="P1411" s="28"/>
      <c r="Q1411" s="28"/>
      <c r="R1411" s="28"/>
      <c r="S1411" s="28"/>
    </row>
    <row r="1412" spans="1:19" x14ac:dyDescent="0.25">
      <c r="A1412" s="28"/>
      <c r="B1412" s="28"/>
      <c r="C1412" s="28"/>
      <c r="D1412" s="28"/>
      <c r="E1412" s="28"/>
      <c r="F1412" s="28"/>
      <c r="G1412" s="28"/>
      <c r="H1412" s="28"/>
      <c r="I1412" s="28"/>
      <c r="J1412" s="28"/>
      <c r="K1412" s="28"/>
      <c r="L1412" s="28"/>
      <c r="M1412" s="28"/>
      <c r="N1412" s="28"/>
      <c r="O1412" s="28"/>
      <c r="P1412" s="28"/>
      <c r="Q1412" s="28"/>
      <c r="R1412" s="28"/>
      <c r="S1412" s="28"/>
    </row>
    <row r="1413" spans="1:19" x14ac:dyDescent="0.25">
      <c r="A1413" s="28"/>
      <c r="B1413" s="28"/>
      <c r="C1413" s="28"/>
      <c r="D1413" s="28"/>
      <c r="E1413" s="28"/>
      <c r="F1413" s="28"/>
      <c r="G1413" s="28"/>
      <c r="H1413" s="28"/>
      <c r="I1413" s="28"/>
      <c r="J1413" s="28"/>
      <c r="K1413" s="28"/>
      <c r="L1413" s="28"/>
      <c r="M1413" s="28"/>
      <c r="N1413" s="28"/>
      <c r="O1413" s="28"/>
      <c r="P1413" s="28"/>
      <c r="Q1413" s="28"/>
      <c r="R1413" s="28"/>
      <c r="S1413" s="28"/>
    </row>
    <row r="1414" spans="1:19" x14ac:dyDescent="0.25">
      <c r="A1414" s="28"/>
      <c r="B1414" s="28"/>
      <c r="C1414" s="28"/>
      <c r="D1414" s="28"/>
      <c r="E1414" s="28"/>
      <c r="F1414" s="28"/>
      <c r="G1414" s="28"/>
      <c r="H1414" s="28"/>
      <c r="I1414" s="28"/>
      <c r="J1414" s="28"/>
      <c r="K1414" s="28"/>
      <c r="L1414" s="28"/>
      <c r="M1414" s="28"/>
      <c r="N1414" s="28"/>
      <c r="O1414" s="28"/>
      <c r="P1414" s="28"/>
      <c r="Q1414" s="28"/>
      <c r="R1414" s="28"/>
      <c r="S1414" s="28"/>
    </row>
    <row r="1415" spans="1:19" x14ac:dyDescent="0.25">
      <c r="A1415" s="28"/>
      <c r="B1415" s="28"/>
      <c r="C1415" s="28"/>
      <c r="D1415" s="28"/>
      <c r="E1415" s="28"/>
      <c r="F1415" s="28"/>
      <c r="G1415" s="28"/>
      <c r="H1415" s="28"/>
      <c r="I1415" s="28"/>
      <c r="J1415" s="28"/>
      <c r="K1415" s="28"/>
      <c r="L1415" s="28"/>
      <c r="M1415" s="28"/>
      <c r="N1415" s="28"/>
      <c r="O1415" s="28"/>
      <c r="P1415" s="28"/>
      <c r="Q1415" s="28"/>
      <c r="R1415" s="28"/>
      <c r="S1415" s="28"/>
    </row>
    <row r="1416" spans="1:19" x14ac:dyDescent="0.25">
      <c r="A1416" s="28"/>
      <c r="B1416" s="28"/>
      <c r="C1416" s="28"/>
      <c r="D1416" s="28"/>
      <c r="E1416" s="28"/>
      <c r="F1416" s="28"/>
      <c r="G1416" s="28"/>
      <c r="H1416" s="28"/>
      <c r="I1416" s="28"/>
      <c r="J1416" s="28"/>
      <c r="K1416" s="28"/>
      <c r="L1416" s="28"/>
      <c r="M1416" s="28"/>
      <c r="N1416" s="28"/>
      <c r="O1416" s="28"/>
      <c r="P1416" s="28"/>
      <c r="Q1416" s="28"/>
      <c r="R1416" s="28"/>
      <c r="S1416" s="28"/>
    </row>
    <row r="1417" spans="1:19" x14ac:dyDescent="0.25">
      <c r="A1417" s="28"/>
      <c r="B1417" s="28"/>
      <c r="C1417" s="28"/>
      <c r="D1417" s="28"/>
      <c r="E1417" s="28"/>
      <c r="F1417" s="28"/>
      <c r="G1417" s="28"/>
      <c r="H1417" s="28"/>
      <c r="I1417" s="28"/>
      <c r="J1417" s="28"/>
      <c r="K1417" s="28"/>
      <c r="L1417" s="28"/>
      <c r="M1417" s="28"/>
      <c r="N1417" s="28"/>
      <c r="O1417" s="28"/>
      <c r="P1417" s="28"/>
      <c r="Q1417" s="28"/>
      <c r="R1417" s="28"/>
      <c r="S1417" s="28"/>
    </row>
    <row r="1418" spans="1:19" x14ac:dyDescent="0.25">
      <c r="A1418" s="28"/>
      <c r="B1418" s="28"/>
      <c r="C1418" s="28"/>
      <c r="D1418" s="28"/>
      <c r="E1418" s="28"/>
      <c r="F1418" s="28"/>
      <c r="G1418" s="28"/>
      <c r="H1418" s="28"/>
      <c r="I1418" s="28"/>
      <c r="J1418" s="28"/>
      <c r="K1418" s="28"/>
      <c r="L1418" s="28"/>
      <c r="M1418" s="28"/>
      <c r="N1418" s="28"/>
      <c r="O1418" s="28"/>
      <c r="P1418" s="28"/>
      <c r="Q1418" s="28"/>
      <c r="R1418" s="28"/>
      <c r="S1418" s="28"/>
    </row>
    <row r="1419" spans="1:19" x14ac:dyDescent="0.25">
      <c r="A1419" s="28"/>
      <c r="B1419" s="28"/>
      <c r="C1419" s="28"/>
      <c r="D1419" s="28"/>
      <c r="E1419" s="28"/>
      <c r="F1419" s="28"/>
      <c r="G1419" s="28"/>
      <c r="H1419" s="28"/>
      <c r="I1419" s="28"/>
      <c r="J1419" s="28"/>
      <c r="K1419" s="28"/>
      <c r="L1419" s="28"/>
      <c r="M1419" s="28"/>
      <c r="N1419" s="28"/>
      <c r="O1419" s="28"/>
      <c r="P1419" s="28"/>
      <c r="Q1419" s="28"/>
      <c r="R1419" s="28"/>
      <c r="S1419" s="28"/>
    </row>
    <row r="1420" spans="1:19" x14ac:dyDescent="0.25">
      <c r="A1420" s="28"/>
      <c r="B1420" s="28"/>
      <c r="C1420" s="28"/>
      <c r="D1420" s="28"/>
      <c r="E1420" s="28"/>
      <c r="F1420" s="28"/>
      <c r="G1420" s="28"/>
      <c r="H1420" s="28"/>
      <c r="I1420" s="28"/>
      <c r="J1420" s="28"/>
      <c r="K1420" s="28"/>
      <c r="L1420" s="28"/>
      <c r="M1420" s="28"/>
      <c r="N1420" s="28"/>
      <c r="O1420" s="28"/>
      <c r="P1420" s="28"/>
      <c r="Q1420" s="28"/>
      <c r="R1420" s="28"/>
      <c r="S1420" s="28"/>
    </row>
    <row r="1421" spans="1:19" x14ac:dyDescent="0.25">
      <c r="A1421" s="28"/>
      <c r="B1421" s="28"/>
      <c r="C1421" s="28"/>
      <c r="D1421" s="28"/>
      <c r="E1421" s="28"/>
      <c r="F1421" s="28"/>
      <c r="G1421" s="28"/>
      <c r="H1421" s="28"/>
      <c r="I1421" s="28"/>
      <c r="J1421" s="28"/>
      <c r="K1421" s="28"/>
      <c r="L1421" s="28"/>
      <c r="M1421" s="28"/>
      <c r="N1421" s="28"/>
      <c r="O1421" s="28"/>
      <c r="P1421" s="28"/>
      <c r="Q1421" s="28"/>
      <c r="R1421" s="28"/>
      <c r="S1421" s="28"/>
    </row>
    <row r="1422" spans="1:19" x14ac:dyDescent="0.25">
      <c r="A1422" s="28"/>
      <c r="B1422" s="28"/>
      <c r="C1422" s="28"/>
      <c r="D1422" s="28"/>
      <c r="E1422" s="28"/>
      <c r="F1422" s="28"/>
      <c r="G1422" s="28"/>
      <c r="H1422" s="28"/>
      <c r="I1422" s="28"/>
      <c r="J1422" s="28"/>
      <c r="K1422" s="28"/>
      <c r="L1422" s="28"/>
      <c r="M1422" s="28"/>
      <c r="N1422" s="28"/>
      <c r="O1422" s="28"/>
      <c r="P1422" s="28"/>
      <c r="Q1422" s="28"/>
      <c r="R1422" s="28"/>
      <c r="S1422" s="28"/>
    </row>
    <row r="1423" spans="1:19" x14ac:dyDescent="0.25">
      <c r="A1423" s="28"/>
      <c r="B1423" s="28"/>
      <c r="C1423" s="28"/>
      <c r="D1423" s="28"/>
      <c r="E1423" s="28"/>
      <c r="F1423" s="28"/>
      <c r="G1423" s="28"/>
      <c r="H1423" s="28"/>
      <c r="I1423" s="28"/>
      <c r="J1423" s="28"/>
      <c r="K1423" s="28"/>
      <c r="L1423" s="28"/>
      <c r="M1423" s="28"/>
      <c r="N1423" s="28"/>
      <c r="O1423" s="28"/>
      <c r="P1423" s="28"/>
      <c r="Q1423" s="28"/>
      <c r="R1423" s="28"/>
      <c r="S1423" s="28"/>
    </row>
    <row r="1424" spans="1:19" x14ac:dyDescent="0.25">
      <c r="A1424" s="28"/>
      <c r="B1424" s="28"/>
      <c r="C1424" s="28"/>
      <c r="D1424" s="28"/>
      <c r="E1424" s="28"/>
      <c r="F1424" s="28"/>
      <c r="G1424" s="28"/>
      <c r="H1424" s="28"/>
      <c r="I1424" s="28"/>
      <c r="J1424" s="28"/>
      <c r="K1424" s="28"/>
      <c r="L1424" s="28"/>
      <c r="M1424" s="28"/>
      <c r="N1424" s="28"/>
      <c r="O1424" s="28"/>
      <c r="P1424" s="28"/>
      <c r="Q1424" s="28"/>
      <c r="R1424" s="28"/>
      <c r="S1424" s="28"/>
    </row>
    <row r="1425" spans="1:19" x14ac:dyDescent="0.25">
      <c r="A1425" s="28"/>
      <c r="B1425" s="28"/>
      <c r="C1425" s="28"/>
      <c r="D1425" s="28"/>
      <c r="E1425" s="28"/>
      <c r="F1425" s="28"/>
      <c r="G1425" s="28"/>
      <c r="H1425" s="28"/>
      <c r="I1425" s="28"/>
      <c r="J1425" s="28"/>
      <c r="K1425" s="28"/>
      <c r="L1425" s="28"/>
      <c r="M1425" s="28"/>
      <c r="N1425" s="28"/>
      <c r="O1425" s="28"/>
      <c r="P1425" s="28"/>
      <c r="Q1425" s="28"/>
      <c r="R1425" s="28"/>
      <c r="S1425" s="28"/>
    </row>
    <row r="1426" spans="1:19" x14ac:dyDescent="0.25">
      <c r="A1426" s="28"/>
      <c r="B1426" s="28"/>
      <c r="C1426" s="28"/>
      <c r="D1426" s="28"/>
      <c r="E1426" s="28"/>
      <c r="F1426" s="28"/>
      <c r="G1426" s="28"/>
      <c r="H1426" s="28"/>
      <c r="I1426" s="28"/>
      <c r="J1426" s="28"/>
      <c r="K1426" s="28"/>
      <c r="L1426" s="28"/>
      <c r="M1426" s="28"/>
      <c r="N1426" s="28"/>
      <c r="O1426" s="28"/>
      <c r="P1426" s="28"/>
      <c r="Q1426" s="28"/>
      <c r="R1426" s="28"/>
      <c r="S1426" s="28"/>
    </row>
    <row r="1427" spans="1:19" x14ac:dyDescent="0.25">
      <c r="A1427" s="28"/>
      <c r="B1427" s="28"/>
      <c r="C1427" s="28"/>
      <c r="D1427" s="28"/>
      <c r="E1427" s="28"/>
      <c r="F1427" s="28"/>
      <c r="G1427" s="28"/>
      <c r="H1427" s="28"/>
      <c r="I1427" s="28"/>
      <c r="J1427" s="28"/>
      <c r="K1427" s="28"/>
      <c r="L1427" s="28"/>
      <c r="M1427" s="28"/>
      <c r="N1427" s="28"/>
      <c r="O1427" s="28"/>
      <c r="P1427" s="28"/>
      <c r="Q1427" s="28"/>
      <c r="R1427" s="28"/>
      <c r="S1427" s="28"/>
    </row>
    <row r="1428" spans="1:19" x14ac:dyDescent="0.25">
      <c r="A1428" s="28"/>
      <c r="B1428" s="28"/>
      <c r="C1428" s="28"/>
      <c r="D1428" s="28"/>
      <c r="E1428" s="28"/>
      <c r="F1428" s="28"/>
      <c r="G1428" s="28"/>
      <c r="H1428" s="28"/>
      <c r="I1428" s="28"/>
      <c r="J1428" s="28"/>
      <c r="K1428" s="28"/>
      <c r="L1428" s="28"/>
      <c r="M1428" s="28"/>
      <c r="N1428" s="28"/>
      <c r="O1428" s="28"/>
      <c r="P1428" s="28"/>
      <c r="Q1428" s="28"/>
      <c r="R1428" s="28"/>
      <c r="S1428" s="28"/>
    </row>
    <row r="1429" spans="1:19" x14ac:dyDescent="0.25">
      <c r="A1429" s="28"/>
      <c r="B1429" s="28"/>
      <c r="C1429" s="28"/>
      <c r="D1429" s="28"/>
      <c r="E1429" s="28"/>
      <c r="F1429" s="28"/>
      <c r="G1429" s="28"/>
      <c r="H1429" s="28"/>
      <c r="I1429" s="28"/>
      <c r="J1429" s="28"/>
      <c r="K1429" s="28"/>
      <c r="L1429" s="28"/>
      <c r="M1429" s="28"/>
      <c r="N1429" s="28"/>
      <c r="O1429" s="28"/>
      <c r="P1429" s="28"/>
      <c r="Q1429" s="28"/>
      <c r="R1429" s="28"/>
      <c r="S1429" s="28"/>
    </row>
    <row r="1430" spans="1:19" x14ac:dyDescent="0.25">
      <c r="A1430" s="28"/>
      <c r="B1430" s="28"/>
      <c r="C1430" s="28"/>
      <c r="D1430" s="28"/>
      <c r="E1430" s="28"/>
      <c r="F1430" s="28"/>
      <c r="G1430" s="28"/>
      <c r="H1430" s="28"/>
      <c r="I1430" s="28"/>
      <c r="J1430" s="28"/>
      <c r="K1430" s="28"/>
      <c r="L1430" s="28"/>
      <c r="M1430" s="28"/>
      <c r="N1430" s="28"/>
      <c r="O1430" s="28"/>
      <c r="P1430" s="28"/>
      <c r="Q1430" s="28"/>
      <c r="R1430" s="28"/>
      <c r="S1430" s="28"/>
    </row>
    <row r="1431" spans="1:19" x14ac:dyDescent="0.25">
      <c r="A1431" s="28"/>
      <c r="B1431" s="28"/>
      <c r="C1431" s="28"/>
      <c r="D1431" s="28"/>
      <c r="E1431" s="28"/>
      <c r="F1431" s="28"/>
      <c r="G1431" s="28"/>
      <c r="H1431" s="28"/>
      <c r="I1431" s="28"/>
      <c r="J1431" s="28"/>
      <c r="K1431" s="28"/>
      <c r="L1431" s="28"/>
      <c r="M1431" s="28"/>
      <c r="N1431" s="28"/>
      <c r="O1431" s="28"/>
      <c r="P1431" s="28"/>
      <c r="Q1431" s="28"/>
      <c r="R1431" s="28"/>
      <c r="S1431" s="28"/>
    </row>
    <row r="1432" spans="1:19" x14ac:dyDescent="0.25">
      <c r="A1432" s="28"/>
      <c r="B1432" s="28"/>
      <c r="C1432" s="28"/>
      <c r="D1432" s="28"/>
      <c r="E1432" s="28"/>
      <c r="F1432" s="28"/>
      <c r="G1432" s="28"/>
      <c r="H1432" s="28"/>
      <c r="I1432" s="28"/>
      <c r="J1432" s="28"/>
      <c r="K1432" s="28"/>
      <c r="L1432" s="28"/>
      <c r="M1432" s="28"/>
      <c r="N1432" s="28"/>
      <c r="O1432" s="28"/>
      <c r="P1432" s="28"/>
      <c r="Q1432" s="28"/>
      <c r="R1432" s="28"/>
      <c r="S1432" s="28"/>
    </row>
    <row r="1433" spans="1:19" x14ac:dyDescent="0.25">
      <c r="A1433" s="28"/>
      <c r="B1433" s="28"/>
      <c r="C1433" s="28"/>
      <c r="D1433" s="28"/>
      <c r="E1433" s="28"/>
      <c r="F1433" s="28"/>
      <c r="G1433" s="28"/>
      <c r="H1433" s="28"/>
      <c r="I1433" s="28"/>
      <c r="J1433" s="28"/>
      <c r="K1433" s="28"/>
      <c r="L1433" s="28"/>
      <c r="M1433" s="28"/>
      <c r="N1433" s="28"/>
      <c r="O1433" s="28"/>
      <c r="P1433" s="28"/>
      <c r="Q1433" s="28"/>
      <c r="R1433" s="28"/>
      <c r="S1433" s="28"/>
    </row>
    <row r="1434" spans="1:19" x14ac:dyDescent="0.25">
      <c r="A1434" s="28"/>
      <c r="B1434" s="28"/>
      <c r="C1434" s="28"/>
      <c r="D1434" s="28"/>
      <c r="E1434" s="28"/>
      <c r="F1434" s="28"/>
      <c r="G1434" s="28"/>
      <c r="H1434" s="28"/>
      <c r="I1434" s="28"/>
      <c r="J1434" s="28"/>
      <c r="K1434" s="28"/>
      <c r="L1434" s="28"/>
      <c r="M1434" s="28"/>
      <c r="N1434" s="28"/>
      <c r="O1434" s="28"/>
      <c r="P1434" s="28"/>
      <c r="Q1434" s="28"/>
      <c r="R1434" s="28"/>
      <c r="S1434" s="28"/>
    </row>
    <row r="1435" spans="1:19" x14ac:dyDescent="0.25">
      <c r="A1435" s="28"/>
      <c r="B1435" s="28"/>
      <c r="C1435" s="28"/>
      <c r="D1435" s="28"/>
      <c r="E1435" s="28"/>
      <c r="F1435" s="28"/>
      <c r="G1435" s="28"/>
      <c r="H1435" s="28"/>
      <c r="I1435" s="28"/>
      <c r="J1435" s="28"/>
      <c r="K1435" s="28"/>
      <c r="L1435" s="28"/>
      <c r="M1435" s="28"/>
      <c r="N1435" s="28"/>
      <c r="O1435" s="28"/>
      <c r="P1435" s="28"/>
      <c r="Q1435" s="28"/>
      <c r="R1435" s="28"/>
      <c r="S1435" s="28"/>
    </row>
    <row r="1436" spans="1:19" x14ac:dyDescent="0.25">
      <c r="A1436" s="28"/>
      <c r="B1436" s="28"/>
      <c r="C1436" s="28"/>
      <c r="D1436" s="28"/>
      <c r="E1436" s="28"/>
      <c r="F1436" s="28"/>
      <c r="G1436" s="28"/>
      <c r="H1436" s="28"/>
      <c r="I1436" s="28"/>
      <c r="J1436" s="28"/>
      <c r="K1436" s="28"/>
      <c r="L1436" s="28"/>
      <c r="M1436" s="28"/>
      <c r="N1436" s="28"/>
      <c r="O1436" s="28"/>
      <c r="P1436" s="28"/>
      <c r="Q1436" s="28"/>
      <c r="R1436" s="28"/>
      <c r="S1436" s="28"/>
    </row>
    <row r="1437" spans="1:19" x14ac:dyDescent="0.25">
      <c r="A1437" s="28"/>
      <c r="B1437" s="28"/>
      <c r="C1437" s="28"/>
      <c r="D1437" s="28"/>
      <c r="E1437" s="28"/>
      <c r="F1437" s="28"/>
      <c r="G1437" s="28"/>
      <c r="H1437" s="28"/>
      <c r="I1437" s="28"/>
      <c r="J1437" s="28"/>
      <c r="K1437" s="28"/>
      <c r="L1437" s="28"/>
      <c r="M1437" s="28"/>
      <c r="N1437" s="28"/>
      <c r="O1437" s="28"/>
      <c r="P1437" s="28"/>
      <c r="Q1437" s="28"/>
      <c r="R1437" s="28"/>
      <c r="S1437" s="28"/>
    </row>
    <row r="1438" spans="1:19" x14ac:dyDescent="0.25">
      <c r="A1438" s="28"/>
      <c r="B1438" s="28"/>
      <c r="C1438" s="28"/>
      <c r="D1438" s="28"/>
      <c r="E1438" s="28"/>
      <c r="F1438" s="28"/>
      <c r="G1438" s="28"/>
      <c r="H1438" s="28"/>
      <c r="I1438" s="28"/>
      <c r="J1438" s="28"/>
      <c r="K1438" s="28"/>
      <c r="L1438" s="28"/>
      <c r="M1438" s="28"/>
      <c r="N1438" s="28"/>
      <c r="O1438" s="28"/>
      <c r="P1438" s="28"/>
      <c r="Q1438" s="28"/>
      <c r="R1438" s="28"/>
      <c r="S1438" s="28"/>
    </row>
    <row r="1439" spans="1:19" x14ac:dyDescent="0.25">
      <c r="A1439" s="28"/>
      <c r="B1439" s="28"/>
      <c r="C1439" s="28"/>
      <c r="D1439" s="28"/>
      <c r="E1439" s="28"/>
      <c r="F1439" s="28"/>
      <c r="G1439" s="28"/>
      <c r="H1439" s="28"/>
      <c r="I1439" s="28"/>
      <c r="J1439" s="28"/>
      <c r="K1439" s="28"/>
      <c r="L1439" s="28"/>
      <c r="M1439" s="28"/>
      <c r="N1439" s="28"/>
      <c r="O1439" s="28"/>
      <c r="P1439" s="28"/>
      <c r="Q1439" s="28"/>
      <c r="R1439" s="28"/>
      <c r="S1439" s="28"/>
    </row>
    <row r="1440" spans="1:19" x14ac:dyDescent="0.25">
      <c r="A1440" s="28"/>
      <c r="B1440" s="28"/>
      <c r="C1440" s="28"/>
      <c r="D1440" s="28"/>
      <c r="E1440" s="28"/>
      <c r="F1440" s="28"/>
      <c r="G1440" s="28"/>
      <c r="H1440" s="28"/>
      <c r="I1440" s="28"/>
      <c r="J1440" s="28"/>
      <c r="K1440" s="28"/>
      <c r="L1440" s="28"/>
      <c r="M1440" s="28"/>
      <c r="N1440" s="28"/>
      <c r="O1440" s="28"/>
      <c r="P1440" s="28"/>
      <c r="Q1440" s="28"/>
      <c r="R1440" s="28"/>
      <c r="S1440" s="28"/>
    </row>
    <row r="1441" spans="1:19" x14ac:dyDescent="0.25">
      <c r="A1441" s="28"/>
      <c r="B1441" s="28"/>
      <c r="C1441" s="28"/>
      <c r="D1441" s="28"/>
      <c r="E1441" s="28"/>
      <c r="F1441" s="28"/>
      <c r="G1441" s="28"/>
      <c r="H1441" s="28"/>
      <c r="I1441" s="28"/>
      <c r="J1441" s="28"/>
      <c r="K1441" s="28"/>
      <c r="L1441" s="28"/>
      <c r="M1441" s="28"/>
      <c r="N1441" s="28"/>
      <c r="O1441" s="28"/>
      <c r="P1441" s="28"/>
      <c r="Q1441" s="28"/>
      <c r="R1441" s="28"/>
      <c r="S1441" s="28"/>
    </row>
    <row r="1442" spans="1:19" x14ac:dyDescent="0.25">
      <c r="A1442" s="28"/>
      <c r="B1442" s="28"/>
      <c r="C1442" s="28"/>
      <c r="D1442" s="28"/>
      <c r="E1442" s="28"/>
      <c r="F1442" s="28"/>
      <c r="G1442" s="28"/>
      <c r="H1442" s="28"/>
      <c r="I1442" s="28"/>
      <c r="J1442" s="28"/>
      <c r="K1442" s="28"/>
      <c r="L1442" s="28"/>
      <c r="M1442" s="28"/>
      <c r="N1442" s="28"/>
      <c r="O1442" s="28"/>
      <c r="P1442" s="28"/>
      <c r="Q1442" s="28"/>
      <c r="R1442" s="28"/>
      <c r="S1442" s="28"/>
    </row>
    <row r="1443" spans="1:19" x14ac:dyDescent="0.25">
      <c r="A1443" s="28"/>
      <c r="B1443" s="28"/>
      <c r="C1443" s="28"/>
      <c r="D1443" s="28"/>
      <c r="E1443" s="28"/>
      <c r="F1443" s="28"/>
      <c r="G1443" s="28"/>
      <c r="H1443" s="28"/>
      <c r="I1443" s="28"/>
      <c r="J1443" s="28"/>
      <c r="K1443" s="28"/>
      <c r="L1443" s="28"/>
      <c r="M1443" s="28"/>
      <c r="N1443" s="28"/>
      <c r="O1443" s="28"/>
      <c r="P1443" s="28"/>
      <c r="Q1443" s="28"/>
      <c r="R1443" s="28"/>
      <c r="S1443" s="28"/>
    </row>
    <row r="1444" spans="1:19" x14ac:dyDescent="0.25">
      <c r="A1444" s="28"/>
      <c r="B1444" s="28"/>
      <c r="C1444" s="28"/>
      <c r="D1444" s="28"/>
      <c r="E1444" s="28"/>
      <c r="F1444" s="28"/>
      <c r="G1444" s="28"/>
      <c r="H1444" s="28"/>
      <c r="I1444" s="28"/>
      <c r="J1444" s="28"/>
      <c r="K1444" s="28"/>
      <c r="L1444" s="28"/>
      <c r="M1444" s="28"/>
      <c r="N1444" s="28"/>
      <c r="O1444" s="28"/>
      <c r="P1444" s="28"/>
      <c r="Q1444" s="28"/>
      <c r="R1444" s="28"/>
      <c r="S1444" s="28"/>
    </row>
    <row r="1445" spans="1:19" x14ac:dyDescent="0.25">
      <c r="A1445" s="28"/>
      <c r="B1445" s="28"/>
      <c r="C1445" s="28"/>
      <c r="D1445" s="28"/>
      <c r="E1445" s="28"/>
      <c r="F1445" s="28"/>
      <c r="G1445" s="28"/>
      <c r="H1445" s="28"/>
      <c r="I1445" s="28"/>
      <c r="J1445" s="28"/>
      <c r="K1445" s="28"/>
      <c r="L1445" s="28"/>
      <c r="M1445" s="28"/>
      <c r="N1445" s="28"/>
      <c r="O1445" s="28"/>
      <c r="P1445" s="28"/>
      <c r="Q1445" s="28"/>
      <c r="R1445" s="28"/>
      <c r="S1445" s="28"/>
    </row>
    <row r="1446" spans="1:19" x14ac:dyDescent="0.25">
      <c r="A1446" s="28"/>
      <c r="B1446" s="28"/>
      <c r="C1446" s="28"/>
      <c r="D1446" s="28"/>
      <c r="E1446" s="28"/>
      <c r="F1446" s="28"/>
      <c r="G1446" s="28"/>
      <c r="H1446" s="28"/>
      <c r="I1446" s="28"/>
      <c r="J1446" s="28"/>
      <c r="K1446" s="28"/>
      <c r="L1446" s="28"/>
      <c r="M1446" s="28"/>
      <c r="N1446" s="28"/>
      <c r="O1446" s="28"/>
      <c r="P1446" s="28"/>
      <c r="Q1446" s="28"/>
      <c r="R1446" s="28"/>
      <c r="S1446" s="28"/>
    </row>
    <row r="1447" spans="1:19" x14ac:dyDescent="0.25">
      <c r="A1447" s="28"/>
      <c r="B1447" s="28"/>
      <c r="C1447" s="28"/>
      <c r="D1447" s="28"/>
      <c r="E1447" s="28"/>
      <c r="F1447" s="28"/>
      <c r="G1447" s="28"/>
      <c r="H1447" s="28"/>
      <c r="I1447" s="28"/>
      <c r="J1447" s="28"/>
      <c r="K1447" s="28"/>
      <c r="L1447" s="28"/>
      <c r="M1447" s="28"/>
      <c r="N1447" s="28"/>
      <c r="O1447" s="28"/>
      <c r="P1447" s="28"/>
      <c r="Q1447" s="28"/>
      <c r="R1447" s="28"/>
      <c r="S1447" s="28"/>
    </row>
    <row r="1448" spans="1:19" x14ac:dyDescent="0.25">
      <c r="A1448" s="28"/>
      <c r="B1448" s="28"/>
      <c r="C1448" s="28"/>
      <c r="D1448" s="28"/>
      <c r="E1448" s="28"/>
      <c r="F1448" s="28"/>
      <c r="G1448" s="28"/>
      <c r="H1448" s="28"/>
      <c r="I1448" s="28"/>
      <c r="J1448" s="28"/>
      <c r="K1448" s="28"/>
      <c r="L1448" s="28"/>
      <c r="M1448" s="28"/>
      <c r="N1448" s="28"/>
      <c r="O1448" s="28"/>
      <c r="P1448" s="28"/>
      <c r="Q1448" s="28"/>
      <c r="R1448" s="28"/>
      <c r="S1448" s="28"/>
    </row>
    <row r="1449" spans="1:19" x14ac:dyDescent="0.25">
      <c r="A1449" s="28"/>
      <c r="B1449" s="28"/>
      <c r="C1449" s="28"/>
      <c r="D1449" s="28"/>
      <c r="E1449" s="28"/>
      <c r="F1449" s="28"/>
      <c r="G1449" s="28"/>
      <c r="H1449" s="28"/>
      <c r="I1449" s="28"/>
      <c r="J1449" s="28"/>
      <c r="K1449" s="28"/>
      <c r="L1449" s="28"/>
      <c r="M1449" s="28"/>
      <c r="N1449" s="28"/>
      <c r="O1449" s="28"/>
      <c r="P1449" s="28"/>
      <c r="Q1449" s="28"/>
      <c r="R1449" s="28"/>
      <c r="S1449" s="28"/>
    </row>
    <row r="1450" spans="1:19" x14ac:dyDescent="0.25">
      <c r="A1450" s="28"/>
      <c r="B1450" s="28"/>
      <c r="C1450" s="28"/>
      <c r="D1450" s="28"/>
      <c r="E1450" s="28"/>
      <c r="F1450" s="28"/>
      <c r="G1450" s="28"/>
      <c r="H1450" s="28"/>
      <c r="I1450" s="28"/>
      <c r="J1450" s="28"/>
      <c r="K1450" s="28"/>
      <c r="L1450" s="28"/>
      <c r="M1450" s="28"/>
      <c r="N1450" s="28"/>
      <c r="O1450" s="28"/>
      <c r="P1450" s="28"/>
      <c r="Q1450" s="28"/>
      <c r="R1450" s="28"/>
      <c r="S1450" s="28"/>
    </row>
    <row r="1451" spans="1:19" x14ac:dyDescent="0.25">
      <c r="A1451" s="28"/>
      <c r="B1451" s="28"/>
      <c r="C1451" s="28"/>
      <c r="D1451" s="28"/>
      <c r="E1451" s="28"/>
      <c r="F1451" s="28"/>
      <c r="G1451" s="28"/>
      <c r="H1451" s="28"/>
      <c r="I1451" s="28"/>
      <c r="J1451" s="28"/>
      <c r="K1451" s="28"/>
      <c r="L1451" s="28"/>
      <c r="M1451" s="28"/>
      <c r="N1451" s="28"/>
      <c r="O1451" s="28"/>
      <c r="P1451" s="28"/>
      <c r="Q1451" s="28"/>
      <c r="R1451" s="28"/>
      <c r="S1451" s="28"/>
    </row>
    <row r="1452" spans="1:19" x14ac:dyDescent="0.25">
      <c r="A1452" s="28"/>
      <c r="B1452" s="28"/>
      <c r="C1452" s="28"/>
      <c r="D1452" s="28"/>
      <c r="E1452" s="28"/>
      <c r="F1452" s="28"/>
      <c r="G1452" s="28"/>
      <c r="H1452" s="28"/>
      <c r="I1452" s="28"/>
      <c r="J1452" s="28"/>
      <c r="K1452" s="28"/>
      <c r="L1452" s="28"/>
      <c r="M1452" s="28"/>
      <c r="N1452" s="28"/>
      <c r="O1452" s="28"/>
      <c r="P1452" s="28"/>
      <c r="Q1452" s="28"/>
      <c r="R1452" s="28"/>
      <c r="S1452" s="28"/>
    </row>
    <row r="1453" spans="1:19" x14ac:dyDescent="0.25">
      <c r="A1453" s="28"/>
      <c r="B1453" s="28"/>
      <c r="C1453" s="28"/>
      <c r="D1453" s="28"/>
      <c r="E1453" s="28"/>
      <c r="F1453" s="28"/>
      <c r="G1453" s="28"/>
      <c r="H1453" s="28"/>
      <c r="I1453" s="28"/>
      <c r="J1453" s="28"/>
      <c r="K1453" s="28"/>
      <c r="L1453" s="28"/>
      <c r="M1453" s="28"/>
      <c r="N1453" s="28"/>
      <c r="O1453" s="28"/>
      <c r="P1453" s="28"/>
      <c r="Q1453" s="28"/>
      <c r="R1453" s="28"/>
      <c r="S1453" s="28"/>
    </row>
    <row r="1454" spans="1:19" x14ac:dyDescent="0.25">
      <c r="A1454" s="28"/>
      <c r="B1454" s="28"/>
      <c r="C1454" s="28"/>
      <c r="D1454" s="28"/>
      <c r="E1454" s="28"/>
      <c r="F1454" s="28"/>
      <c r="G1454" s="28"/>
      <c r="H1454" s="28"/>
      <c r="I1454" s="28"/>
      <c r="J1454" s="28"/>
      <c r="K1454" s="28"/>
      <c r="L1454" s="28"/>
      <c r="M1454" s="28"/>
      <c r="N1454" s="28"/>
      <c r="O1454" s="28"/>
      <c r="P1454" s="28"/>
      <c r="Q1454" s="28"/>
      <c r="R1454" s="28"/>
      <c r="S1454" s="28"/>
    </row>
    <row r="1455" spans="1:19" x14ac:dyDescent="0.25">
      <c r="A1455" s="28"/>
      <c r="B1455" s="28"/>
      <c r="C1455" s="28"/>
      <c r="D1455" s="28"/>
      <c r="E1455" s="28"/>
      <c r="F1455" s="28"/>
      <c r="G1455" s="28"/>
      <c r="H1455" s="28"/>
      <c r="I1455" s="28"/>
      <c r="J1455" s="28"/>
      <c r="K1455" s="28"/>
      <c r="L1455" s="28"/>
      <c r="M1455" s="28"/>
      <c r="N1455" s="28"/>
      <c r="O1455" s="28"/>
      <c r="P1455" s="28"/>
      <c r="Q1455" s="28"/>
      <c r="R1455" s="28"/>
      <c r="S1455" s="28"/>
    </row>
    <row r="1456" spans="1:19" x14ac:dyDescent="0.25">
      <c r="A1456" s="28"/>
      <c r="B1456" s="28"/>
      <c r="C1456" s="28"/>
      <c r="D1456" s="28"/>
      <c r="E1456" s="28"/>
      <c r="F1456" s="28"/>
      <c r="G1456" s="28"/>
      <c r="H1456" s="28"/>
      <c r="I1456" s="28"/>
      <c r="J1456" s="28"/>
      <c r="K1456" s="28"/>
      <c r="L1456" s="28"/>
      <c r="M1456" s="28"/>
      <c r="N1456" s="28"/>
      <c r="O1456" s="28"/>
      <c r="P1456" s="28"/>
      <c r="Q1456" s="28"/>
      <c r="R1456" s="28"/>
      <c r="S1456" s="28"/>
    </row>
    <row r="1457" spans="1:19" x14ac:dyDescent="0.25">
      <c r="A1457" s="28"/>
      <c r="B1457" s="28"/>
      <c r="C1457" s="28"/>
      <c r="D1457" s="28"/>
      <c r="E1457" s="28"/>
      <c r="F1457" s="28"/>
      <c r="G1457" s="28"/>
      <c r="H1457" s="28"/>
      <c r="I1457" s="28"/>
      <c r="J1457" s="28"/>
      <c r="K1457" s="28"/>
      <c r="L1457" s="28"/>
      <c r="M1457" s="28"/>
      <c r="N1457" s="28"/>
      <c r="O1457" s="28"/>
      <c r="P1457" s="28"/>
      <c r="Q1457" s="28"/>
      <c r="R1457" s="28"/>
      <c r="S1457" s="28"/>
    </row>
    <row r="1458" spans="1:19" x14ac:dyDescent="0.25">
      <c r="A1458" s="28"/>
      <c r="B1458" s="28"/>
      <c r="C1458" s="28"/>
      <c r="D1458" s="28"/>
      <c r="E1458" s="28"/>
      <c r="F1458" s="28"/>
      <c r="G1458" s="28"/>
      <c r="H1458" s="28"/>
      <c r="I1458" s="28"/>
      <c r="J1458" s="28"/>
      <c r="K1458" s="28"/>
      <c r="L1458" s="28"/>
      <c r="M1458" s="28"/>
      <c r="N1458" s="28"/>
      <c r="O1458" s="28"/>
      <c r="P1458" s="28"/>
      <c r="Q1458" s="28"/>
      <c r="R1458" s="28"/>
      <c r="S1458" s="28"/>
    </row>
    <row r="1459" spans="1:19" x14ac:dyDescent="0.25">
      <c r="A1459" s="28"/>
      <c r="B1459" s="28"/>
      <c r="C1459" s="28"/>
      <c r="D1459" s="28"/>
      <c r="E1459" s="28"/>
      <c r="F1459" s="28"/>
      <c r="G1459" s="28"/>
      <c r="H1459" s="28"/>
      <c r="I1459" s="28"/>
      <c r="J1459" s="28"/>
      <c r="K1459" s="28"/>
      <c r="L1459" s="28"/>
      <c r="M1459" s="28"/>
      <c r="N1459" s="28"/>
      <c r="O1459" s="28"/>
      <c r="P1459" s="28"/>
      <c r="Q1459" s="28"/>
      <c r="R1459" s="28"/>
      <c r="S1459" s="28"/>
    </row>
    <row r="1460" spans="1:19" x14ac:dyDescent="0.25">
      <c r="A1460" s="28"/>
      <c r="B1460" s="28"/>
      <c r="C1460" s="28"/>
      <c r="D1460" s="28"/>
      <c r="E1460" s="28"/>
      <c r="F1460" s="28"/>
      <c r="G1460" s="28"/>
      <c r="H1460" s="28"/>
      <c r="I1460" s="28"/>
      <c r="J1460" s="28"/>
      <c r="K1460" s="28"/>
      <c r="L1460" s="28"/>
      <c r="M1460" s="28"/>
      <c r="N1460" s="28"/>
      <c r="O1460" s="28"/>
      <c r="P1460" s="28"/>
      <c r="Q1460" s="28"/>
      <c r="R1460" s="28"/>
      <c r="S1460" s="28"/>
    </row>
    <row r="1461" spans="1:19" x14ac:dyDescent="0.25">
      <c r="A1461" s="28"/>
      <c r="B1461" s="28"/>
      <c r="C1461" s="28"/>
      <c r="D1461" s="28"/>
      <c r="E1461" s="28"/>
      <c r="F1461" s="28"/>
      <c r="G1461" s="28"/>
      <c r="H1461" s="28"/>
      <c r="I1461" s="28"/>
      <c r="J1461" s="28"/>
      <c r="K1461" s="28"/>
      <c r="L1461" s="28"/>
      <c r="M1461" s="28"/>
      <c r="N1461" s="28"/>
      <c r="O1461" s="28"/>
      <c r="P1461" s="28"/>
      <c r="Q1461" s="28"/>
      <c r="R1461" s="28"/>
      <c r="S1461" s="28"/>
    </row>
    <row r="1462" spans="1:19" x14ac:dyDescent="0.25">
      <c r="A1462" s="28"/>
      <c r="B1462" s="28"/>
      <c r="C1462" s="28"/>
      <c r="D1462" s="28"/>
      <c r="E1462" s="28"/>
      <c r="F1462" s="28"/>
      <c r="G1462" s="28"/>
      <c r="H1462" s="28"/>
      <c r="I1462" s="28"/>
      <c r="J1462" s="28"/>
      <c r="K1462" s="28"/>
      <c r="L1462" s="28"/>
      <c r="M1462" s="28"/>
      <c r="N1462" s="28"/>
      <c r="O1462" s="28"/>
      <c r="P1462" s="28"/>
      <c r="Q1462" s="28"/>
      <c r="R1462" s="28"/>
      <c r="S1462" s="28"/>
    </row>
    <row r="1463" spans="1:19" x14ac:dyDescent="0.25">
      <c r="A1463" s="28"/>
      <c r="B1463" s="28"/>
      <c r="C1463" s="28"/>
      <c r="D1463" s="28"/>
      <c r="E1463" s="28"/>
      <c r="F1463" s="28"/>
      <c r="G1463" s="28"/>
      <c r="H1463" s="28"/>
      <c r="I1463" s="28"/>
      <c r="J1463" s="28"/>
      <c r="K1463" s="28"/>
      <c r="L1463" s="28"/>
      <c r="M1463" s="28"/>
      <c r="N1463" s="28"/>
      <c r="O1463" s="28"/>
      <c r="P1463" s="28"/>
      <c r="Q1463" s="28"/>
      <c r="R1463" s="28"/>
      <c r="S1463" s="28"/>
    </row>
    <row r="1464" spans="1:19" x14ac:dyDescent="0.25">
      <c r="A1464" s="28"/>
      <c r="B1464" s="28"/>
      <c r="C1464" s="28"/>
      <c r="D1464" s="28"/>
      <c r="E1464" s="28"/>
      <c r="F1464" s="28"/>
      <c r="G1464" s="28"/>
      <c r="H1464" s="28"/>
      <c r="I1464" s="28"/>
      <c r="J1464" s="28"/>
      <c r="K1464" s="28"/>
      <c r="L1464" s="28"/>
      <c r="M1464" s="28"/>
      <c r="N1464" s="28"/>
      <c r="O1464" s="28"/>
      <c r="P1464" s="28"/>
      <c r="Q1464" s="28"/>
      <c r="R1464" s="28"/>
      <c r="S1464" s="28"/>
    </row>
    <row r="1465" spans="1:19" x14ac:dyDescent="0.25">
      <c r="A1465" s="28"/>
      <c r="B1465" s="28"/>
      <c r="C1465" s="28"/>
      <c r="D1465" s="28"/>
      <c r="E1465" s="28"/>
      <c r="F1465" s="28"/>
      <c r="G1465" s="28"/>
      <c r="H1465" s="28"/>
      <c r="I1465" s="28"/>
      <c r="J1465" s="28"/>
      <c r="K1465" s="28"/>
      <c r="L1465" s="28"/>
      <c r="M1465" s="28"/>
      <c r="N1465" s="28"/>
      <c r="O1465" s="28"/>
      <c r="P1465" s="28"/>
      <c r="Q1465" s="28"/>
      <c r="R1465" s="28"/>
      <c r="S1465" s="28"/>
    </row>
    <row r="1466" spans="1:19" x14ac:dyDescent="0.25">
      <c r="A1466" s="28"/>
      <c r="B1466" s="28"/>
      <c r="C1466" s="28"/>
      <c r="D1466" s="28"/>
      <c r="E1466" s="28"/>
      <c r="F1466" s="28"/>
      <c r="G1466" s="28"/>
      <c r="H1466" s="28"/>
      <c r="I1466" s="28"/>
      <c r="J1466" s="28"/>
      <c r="K1466" s="28"/>
      <c r="L1466" s="28"/>
      <c r="M1466" s="28"/>
      <c r="N1466" s="28"/>
      <c r="O1466" s="28"/>
      <c r="P1466" s="28"/>
      <c r="Q1466" s="28"/>
      <c r="R1466" s="28"/>
      <c r="S1466" s="28"/>
    </row>
    <row r="1467" spans="1:19" x14ac:dyDescent="0.25">
      <c r="A1467" s="28"/>
      <c r="B1467" s="28"/>
      <c r="C1467" s="28"/>
      <c r="D1467" s="28"/>
      <c r="E1467" s="28"/>
      <c r="F1467" s="28"/>
      <c r="G1467" s="28"/>
      <c r="H1467" s="28"/>
      <c r="I1467" s="28"/>
      <c r="J1467" s="28"/>
      <c r="K1467" s="28"/>
      <c r="L1467" s="28"/>
      <c r="M1467" s="28"/>
      <c r="N1467" s="28"/>
      <c r="O1467" s="28"/>
      <c r="P1467" s="28"/>
      <c r="Q1467" s="28"/>
      <c r="R1467" s="28"/>
      <c r="S1467" s="28"/>
    </row>
    <row r="1468" spans="1:19" x14ac:dyDescent="0.25">
      <c r="A1468" s="28"/>
      <c r="B1468" s="28"/>
      <c r="C1468" s="28"/>
      <c r="D1468" s="28"/>
      <c r="E1468" s="28"/>
      <c r="F1468" s="28"/>
      <c r="G1468" s="28"/>
      <c r="H1468" s="28"/>
      <c r="I1468" s="28"/>
      <c r="J1468" s="28"/>
      <c r="K1468" s="28"/>
      <c r="L1468" s="28"/>
      <c r="M1468" s="28"/>
      <c r="N1468" s="28"/>
      <c r="O1468" s="28"/>
      <c r="P1468" s="28"/>
      <c r="Q1468" s="28"/>
      <c r="R1468" s="28"/>
      <c r="S1468" s="28"/>
    </row>
    <row r="1469" spans="1:19" x14ac:dyDescent="0.25">
      <c r="A1469" s="28"/>
      <c r="B1469" s="28"/>
      <c r="C1469" s="28"/>
      <c r="D1469" s="28"/>
      <c r="E1469" s="28"/>
      <c r="F1469" s="28"/>
      <c r="G1469" s="28"/>
      <c r="H1469" s="28"/>
      <c r="I1469" s="28"/>
      <c r="J1469" s="28"/>
      <c r="K1469" s="28"/>
      <c r="L1469" s="28"/>
      <c r="M1469" s="28"/>
      <c r="N1469" s="28"/>
      <c r="O1469" s="28"/>
      <c r="P1469" s="28"/>
      <c r="Q1469" s="28"/>
      <c r="R1469" s="28"/>
      <c r="S1469" s="28"/>
    </row>
    <row r="1470" spans="1:19" x14ac:dyDescent="0.25">
      <c r="A1470" s="28"/>
      <c r="B1470" s="28"/>
      <c r="C1470" s="28"/>
      <c r="D1470" s="28"/>
      <c r="E1470" s="28"/>
      <c r="F1470" s="28"/>
      <c r="G1470" s="28"/>
      <c r="H1470" s="28"/>
      <c r="I1470" s="28"/>
      <c r="J1470" s="28"/>
      <c r="K1470" s="28"/>
      <c r="L1470" s="28"/>
      <c r="M1470" s="28"/>
      <c r="N1470" s="28"/>
      <c r="O1470" s="28"/>
      <c r="P1470" s="28"/>
      <c r="Q1470" s="28"/>
      <c r="R1470" s="28"/>
      <c r="S1470" s="28"/>
    </row>
    <row r="1471" spans="1:19" x14ac:dyDescent="0.25">
      <c r="A1471" s="28"/>
      <c r="B1471" s="28"/>
      <c r="C1471" s="28"/>
      <c r="D1471" s="28"/>
      <c r="E1471" s="28"/>
      <c r="F1471" s="28"/>
      <c r="G1471" s="28"/>
      <c r="H1471" s="28"/>
      <c r="I1471" s="28"/>
      <c r="J1471" s="28"/>
      <c r="K1471" s="28"/>
      <c r="L1471" s="28"/>
      <c r="M1471" s="28"/>
      <c r="N1471" s="28"/>
      <c r="O1471" s="28"/>
      <c r="P1471" s="28"/>
      <c r="Q1471" s="28"/>
      <c r="R1471" s="28"/>
      <c r="S1471" s="28"/>
    </row>
    <row r="1472" spans="1:19" x14ac:dyDescent="0.25">
      <c r="A1472" s="28"/>
      <c r="B1472" s="28"/>
      <c r="C1472" s="28"/>
      <c r="D1472" s="28"/>
      <c r="E1472" s="28"/>
      <c r="F1472" s="28"/>
      <c r="G1472" s="28"/>
      <c r="H1472" s="28"/>
      <c r="I1472" s="28"/>
      <c r="J1472" s="28"/>
      <c r="K1472" s="28"/>
      <c r="L1472" s="28"/>
      <c r="M1472" s="28"/>
      <c r="N1472" s="28"/>
      <c r="O1472" s="28"/>
      <c r="P1472" s="28"/>
      <c r="Q1472" s="28"/>
      <c r="R1472" s="28"/>
      <c r="S1472" s="28"/>
    </row>
    <row r="1473" spans="1:19" x14ac:dyDescent="0.25">
      <c r="A1473" s="28"/>
      <c r="B1473" s="28"/>
      <c r="C1473" s="28"/>
      <c r="D1473" s="28"/>
      <c r="E1473" s="28"/>
      <c r="F1473" s="28"/>
      <c r="G1473" s="28"/>
      <c r="H1473" s="28"/>
      <c r="I1473" s="28"/>
      <c r="J1473" s="28"/>
      <c r="K1473" s="28"/>
      <c r="L1473" s="28"/>
      <c r="M1473" s="28"/>
      <c r="N1473" s="28"/>
      <c r="O1473" s="28"/>
      <c r="P1473" s="28"/>
      <c r="Q1473" s="28"/>
      <c r="R1473" s="28"/>
      <c r="S1473" s="28"/>
    </row>
    <row r="1474" spans="1:19" x14ac:dyDescent="0.25">
      <c r="A1474" s="28"/>
      <c r="B1474" s="28"/>
      <c r="C1474" s="28"/>
      <c r="D1474" s="28"/>
      <c r="E1474" s="28"/>
      <c r="F1474" s="28"/>
      <c r="G1474" s="28"/>
      <c r="H1474" s="28"/>
      <c r="I1474" s="28"/>
      <c r="J1474" s="28"/>
      <c r="K1474" s="28"/>
      <c r="L1474" s="28"/>
      <c r="M1474" s="28"/>
      <c r="N1474" s="28"/>
      <c r="O1474" s="28"/>
      <c r="P1474" s="28"/>
      <c r="Q1474" s="28"/>
      <c r="R1474" s="28"/>
      <c r="S1474" s="28"/>
    </row>
    <row r="1475" spans="1:19" x14ac:dyDescent="0.25">
      <c r="A1475" s="28"/>
      <c r="B1475" s="28"/>
      <c r="C1475" s="28"/>
      <c r="D1475" s="28"/>
      <c r="E1475" s="28"/>
      <c r="F1475" s="28"/>
      <c r="G1475" s="28"/>
      <c r="H1475" s="28"/>
      <c r="I1475" s="28"/>
      <c r="J1475" s="28"/>
      <c r="K1475" s="28"/>
      <c r="L1475" s="28"/>
      <c r="M1475" s="28"/>
      <c r="N1475" s="28"/>
      <c r="O1475" s="28"/>
      <c r="P1475" s="28"/>
      <c r="Q1475" s="28"/>
      <c r="R1475" s="28"/>
      <c r="S1475" s="28"/>
    </row>
    <row r="1476" spans="1:19" x14ac:dyDescent="0.25">
      <c r="A1476" s="28"/>
      <c r="B1476" s="28"/>
      <c r="C1476" s="28"/>
      <c r="D1476" s="28"/>
      <c r="E1476" s="28"/>
      <c r="F1476" s="28"/>
      <c r="G1476" s="28"/>
      <c r="H1476" s="28"/>
      <c r="I1476" s="28"/>
      <c r="J1476" s="28"/>
      <c r="K1476" s="28"/>
      <c r="L1476" s="28"/>
      <c r="M1476" s="28"/>
      <c r="N1476" s="28"/>
      <c r="O1476" s="28"/>
      <c r="P1476" s="28"/>
      <c r="Q1476" s="28"/>
      <c r="R1476" s="28"/>
      <c r="S1476" s="28"/>
    </row>
    <row r="1477" spans="1:19" x14ac:dyDescent="0.25">
      <c r="A1477" s="28"/>
      <c r="B1477" s="28"/>
      <c r="C1477" s="28"/>
      <c r="D1477" s="28"/>
      <c r="E1477" s="28"/>
      <c r="F1477" s="28"/>
      <c r="G1477" s="28"/>
      <c r="H1477" s="28"/>
      <c r="I1477" s="28"/>
      <c r="J1477" s="28"/>
      <c r="K1477" s="28"/>
      <c r="L1477" s="28"/>
      <c r="M1477" s="28"/>
      <c r="N1477" s="28"/>
      <c r="O1477" s="28"/>
      <c r="P1477" s="28"/>
      <c r="Q1477" s="28"/>
      <c r="R1477" s="28"/>
      <c r="S1477" s="28"/>
    </row>
    <row r="1478" spans="1:19" x14ac:dyDescent="0.25">
      <c r="A1478" s="28"/>
      <c r="B1478" s="28"/>
      <c r="C1478" s="28"/>
      <c r="D1478" s="28"/>
      <c r="E1478" s="28"/>
      <c r="F1478" s="28"/>
      <c r="G1478" s="28"/>
      <c r="H1478" s="28"/>
      <c r="I1478" s="28"/>
      <c r="J1478" s="28"/>
      <c r="K1478" s="28"/>
      <c r="L1478" s="28"/>
      <c r="M1478" s="28"/>
      <c r="N1478" s="28"/>
      <c r="O1478" s="28"/>
      <c r="P1478" s="28"/>
      <c r="Q1478" s="28"/>
      <c r="R1478" s="28"/>
      <c r="S1478" s="28"/>
    </row>
    <row r="1479" spans="1:19" x14ac:dyDescent="0.25">
      <c r="A1479" s="28"/>
      <c r="B1479" s="28"/>
      <c r="C1479" s="28"/>
      <c r="D1479" s="28"/>
      <c r="E1479" s="28"/>
      <c r="F1479" s="28"/>
      <c r="G1479" s="28"/>
      <c r="H1479" s="28"/>
      <c r="I1479" s="28"/>
      <c r="J1479" s="28"/>
      <c r="K1479" s="28"/>
      <c r="L1479" s="28"/>
      <c r="M1479" s="28"/>
      <c r="N1479" s="28"/>
      <c r="O1479" s="28"/>
      <c r="P1479" s="28"/>
      <c r="Q1479" s="28"/>
      <c r="R1479" s="28"/>
      <c r="S1479" s="28"/>
    </row>
    <row r="1480" spans="1:19" x14ac:dyDescent="0.25">
      <c r="A1480" s="28"/>
      <c r="B1480" s="28"/>
      <c r="C1480" s="28"/>
      <c r="D1480" s="28"/>
      <c r="E1480" s="28"/>
      <c r="F1480" s="28"/>
      <c r="G1480" s="28"/>
      <c r="H1480" s="28"/>
      <c r="I1480" s="28"/>
      <c r="J1480" s="28"/>
      <c r="K1480" s="28"/>
      <c r="L1480" s="28"/>
      <c r="M1480" s="28"/>
      <c r="N1480" s="28"/>
      <c r="O1480" s="28"/>
      <c r="P1480" s="28"/>
      <c r="Q1480" s="28"/>
      <c r="R1480" s="28"/>
      <c r="S1480" s="28"/>
    </row>
    <row r="1481" spans="1:19" x14ac:dyDescent="0.25">
      <c r="A1481" s="28"/>
      <c r="B1481" s="28"/>
      <c r="C1481" s="28"/>
      <c r="D1481" s="28"/>
      <c r="E1481" s="28"/>
      <c r="F1481" s="28"/>
      <c r="G1481" s="28"/>
      <c r="H1481" s="28"/>
      <c r="I1481" s="28"/>
      <c r="J1481" s="28"/>
      <c r="K1481" s="28"/>
      <c r="L1481" s="28"/>
      <c r="M1481" s="28"/>
      <c r="N1481" s="28"/>
      <c r="O1481" s="28"/>
      <c r="P1481" s="28"/>
      <c r="Q1481" s="28"/>
      <c r="R1481" s="28"/>
      <c r="S1481" s="28"/>
    </row>
    <row r="1482" spans="1:19" x14ac:dyDescent="0.25">
      <c r="A1482" s="28"/>
      <c r="B1482" s="28"/>
      <c r="C1482" s="28"/>
      <c r="D1482" s="28"/>
      <c r="E1482" s="28"/>
      <c r="F1482" s="28"/>
      <c r="G1482" s="28"/>
      <c r="H1482" s="28"/>
      <c r="I1482" s="28"/>
      <c r="J1482" s="28"/>
      <c r="K1482" s="28"/>
      <c r="L1482" s="28"/>
      <c r="M1482" s="28"/>
      <c r="N1482" s="28"/>
      <c r="O1482" s="28"/>
      <c r="P1482" s="28"/>
      <c r="Q1482" s="28"/>
      <c r="R1482" s="28"/>
      <c r="S1482" s="28"/>
    </row>
    <row r="1483" spans="1:19" x14ac:dyDescent="0.25">
      <c r="A1483" s="28"/>
      <c r="B1483" s="28"/>
      <c r="C1483" s="28"/>
      <c r="D1483" s="28"/>
      <c r="E1483" s="28"/>
      <c r="F1483" s="28"/>
      <c r="G1483" s="28"/>
      <c r="H1483" s="28"/>
      <c r="I1483" s="28"/>
      <c r="J1483" s="28"/>
      <c r="K1483" s="28"/>
      <c r="L1483" s="28"/>
      <c r="M1483" s="28"/>
      <c r="N1483" s="28"/>
      <c r="O1483" s="28"/>
      <c r="P1483" s="28"/>
      <c r="Q1483" s="28"/>
      <c r="R1483" s="28"/>
      <c r="S1483" s="28"/>
    </row>
    <row r="1484" spans="1:19" x14ac:dyDescent="0.25">
      <c r="A1484" s="28"/>
      <c r="B1484" s="28"/>
      <c r="C1484" s="28"/>
      <c r="D1484" s="28"/>
      <c r="E1484" s="28"/>
      <c r="F1484" s="28"/>
      <c r="G1484" s="28"/>
      <c r="H1484" s="28"/>
      <c r="I1484" s="28"/>
      <c r="J1484" s="28"/>
      <c r="K1484" s="28"/>
      <c r="L1484" s="28"/>
      <c r="M1484" s="28"/>
      <c r="N1484" s="28"/>
      <c r="O1484" s="28"/>
      <c r="P1484" s="28"/>
      <c r="Q1484" s="28"/>
      <c r="R1484" s="28"/>
      <c r="S1484" s="28"/>
    </row>
    <row r="1485" spans="1:19" x14ac:dyDescent="0.25">
      <c r="A1485" s="28"/>
      <c r="B1485" s="28"/>
      <c r="C1485" s="28"/>
      <c r="D1485" s="28"/>
      <c r="E1485" s="28"/>
      <c r="F1485" s="28"/>
      <c r="G1485" s="28"/>
      <c r="H1485" s="28"/>
      <c r="I1485" s="28"/>
      <c r="J1485" s="28"/>
      <c r="K1485" s="28"/>
      <c r="L1485" s="28"/>
      <c r="M1485" s="28"/>
      <c r="N1485" s="28"/>
      <c r="O1485" s="28"/>
      <c r="P1485" s="28"/>
      <c r="Q1485" s="28"/>
      <c r="R1485" s="28"/>
      <c r="S1485" s="28"/>
    </row>
    <row r="1486" spans="1:19" x14ac:dyDescent="0.25">
      <c r="A1486" s="28"/>
      <c r="B1486" s="28"/>
      <c r="C1486" s="28"/>
      <c r="D1486" s="28"/>
      <c r="E1486" s="28"/>
      <c r="F1486" s="28"/>
      <c r="G1486" s="28"/>
      <c r="H1486" s="28"/>
      <c r="I1486" s="28"/>
      <c r="J1486" s="28"/>
      <c r="K1486" s="28"/>
      <c r="L1486" s="28"/>
      <c r="M1486" s="28"/>
      <c r="N1486" s="28"/>
      <c r="O1486" s="28"/>
      <c r="P1486" s="28"/>
      <c r="Q1486" s="28"/>
      <c r="R1486" s="28"/>
      <c r="S1486" s="28"/>
    </row>
    <row r="1487" spans="1:19" x14ac:dyDescent="0.25">
      <c r="A1487" s="28"/>
      <c r="B1487" s="28"/>
      <c r="C1487" s="28"/>
      <c r="D1487" s="28"/>
      <c r="E1487" s="28"/>
      <c r="F1487" s="28"/>
      <c r="G1487" s="28"/>
      <c r="H1487" s="28"/>
      <c r="I1487" s="28"/>
      <c r="J1487" s="28"/>
      <c r="K1487" s="28"/>
      <c r="L1487" s="28"/>
      <c r="M1487" s="28"/>
      <c r="N1487" s="28"/>
      <c r="O1487" s="28"/>
      <c r="P1487" s="28"/>
      <c r="Q1487" s="28"/>
      <c r="R1487" s="28"/>
      <c r="S1487" s="28"/>
    </row>
    <row r="1488" spans="1:19" x14ac:dyDescent="0.25">
      <c r="A1488" s="28"/>
      <c r="B1488" s="28"/>
      <c r="C1488" s="28"/>
      <c r="D1488" s="28"/>
      <c r="E1488" s="28"/>
      <c r="F1488" s="28"/>
      <c r="G1488" s="28"/>
      <c r="H1488" s="28"/>
      <c r="I1488" s="28"/>
      <c r="J1488" s="28"/>
      <c r="K1488" s="28"/>
      <c r="L1488" s="28"/>
      <c r="M1488" s="28"/>
      <c r="N1488" s="28"/>
      <c r="O1488" s="28"/>
      <c r="P1488" s="28"/>
      <c r="Q1488" s="28"/>
      <c r="R1488" s="28"/>
      <c r="S1488" s="28"/>
    </row>
    <row r="1489" spans="1:19" x14ac:dyDescent="0.25">
      <c r="A1489" s="28"/>
      <c r="B1489" s="28"/>
      <c r="C1489" s="28"/>
      <c r="D1489" s="28"/>
      <c r="E1489" s="28"/>
      <c r="F1489" s="28"/>
      <c r="G1489" s="28"/>
      <c r="H1489" s="28"/>
      <c r="I1489" s="28"/>
      <c r="J1489" s="28"/>
      <c r="K1489" s="28"/>
      <c r="L1489" s="28"/>
      <c r="M1489" s="28"/>
      <c r="N1489" s="28"/>
      <c r="O1489" s="28"/>
      <c r="P1489" s="28"/>
      <c r="Q1489" s="28"/>
      <c r="R1489" s="28"/>
      <c r="S1489" s="28"/>
    </row>
    <row r="1490" spans="1:19" x14ac:dyDescent="0.25">
      <c r="A1490" s="28"/>
      <c r="B1490" s="28"/>
      <c r="C1490" s="28"/>
      <c r="D1490" s="28"/>
      <c r="E1490" s="28"/>
      <c r="F1490" s="28"/>
      <c r="G1490" s="28"/>
      <c r="H1490" s="28"/>
      <c r="I1490" s="28"/>
      <c r="J1490" s="28"/>
      <c r="K1490" s="28"/>
      <c r="L1490" s="28"/>
      <c r="M1490" s="28"/>
      <c r="N1490" s="28"/>
      <c r="O1490" s="28"/>
      <c r="P1490" s="28"/>
      <c r="Q1490" s="28"/>
      <c r="R1490" s="28"/>
      <c r="S1490" s="28"/>
    </row>
    <row r="1491" spans="1:19" x14ac:dyDescent="0.25">
      <c r="A1491" s="28"/>
      <c r="B1491" s="28"/>
      <c r="C1491" s="28"/>
      <c r="D1491" s="28"/>
      <c r="E1491" s="28"/>
      <c r="F1491" s="28"/>
      <c r="G1491" s="28"/>
      <c r="H1491" s="28"/>
      <c r="I1491" s="28"/>
      <c r="J1491" s="28"/>
      <c r="K1491" s="28"/>
      <c r="L1491" s="28"/>
      <c r="M1491" s="28"/>
      <c r="N1491" s="28"/>
      <c r="O1491" s="28"/>
      <c r="P1491" s="28"/>
      <c r="Q1491" s="28"/>
      <c r="R1491" s="28"/>
      <c r="S1491" s="28"/>
    </row>
    <row r="1492" spans="1:19" x14ac:dyDescent="0.25">
      <c r="A1492" s="28"/>
      <c r="B1492" s="28"/>
      <c r="C1492" s="28"/>
      <c r="D1492" s="28"/>
      <c r="E1492" s="28"/>
      <c r="F1492" s="28"/>
      <c r="G1492" s="28"/>
      <c r="H1492" s="28"/>
      <c r="I1492" s="28"/>
      <c r="J1492" s="28"/>
      <c r="K1492" s="28"/>
      <c r="L1492" s="28"/>
      <c r="M1492" s="28"/>
      <c r="N1492" s="28"/>
      <c r="O1492" s="28"/>
      <c r="P1492" s="28"/>
      <c r="Q1492" s="28"/>
      <c r="R1492" s="28"/>
      <c r="S1492" s="28"/>
    </row>
    <row r="1493" spans="1:19" x14ac:dyDescent="0.25">
      <c r="A1493" s="28"/>
      <c r="B1493" s="28"/>
      <c r="C1493" s="28"/>
      <c r="D1493" s="28"/>
      <c r="E1493" s="28"/>
      <c r="F1493" s="28"/>
      <c r="G1493" s="28"/>
      <c r="H1493" s="28"/>
      <c r="I1493" s="28"/>
      <c r="J1493" s="28"/>
      <c r="K1493" s="28"/>
      <c r="L1493" s="28"/>
      <c r="M1493" s="28"/>
      <c r="N1493" s="28"/>
      <c r="O1493" s="28"/>
      <c r="P1493" s="28"/>
      <c r="Q1493" s="28"/>
      <c r="R1493" s="28"/>
      <c r="S1493" s="28"/>
    </row>
    <row r="1494" spans="1:19" x14ac:dyDescent="0.25">
      <c r="A1494" s="28"/>
      <c r="B1494" s="28"/>
      <c r="C1494" s="28"/>
      <c r="D1494" s="28"/>
      <c r="E1494" s="28"/>
      <c r="F1494" s="28"/>
      <c r="G1494" s="28"/>
      <c r="H1494" s="28"/>
      <c r="I1494" s="28"/>
      <c r="J1494" s="28"/>
      <c r="K1494" s="28"/>
      <c r="L1494" s="28"/>
      <c r="M1494" s="28"/>
      <c r="N1494" s="28"/>
      <c r="O1494" s="28"/>
      <c r="P1494" s="28"/>
      <c r="Q1494" s="28"/>
      <c r="R1494" s="28"/>
      <c r="S1494" s="28"/>
    </row>
    <row r="1495" spans="1:19" x14ac:dyDescent="0.25">
      <c r="A1495" s="28"/>
      <c r="B1495" s="28"/>
      <c r="C1495" s="28"/>
      <c r="D1495" s="28"/>
      <c r="E1495" s="28"/>
      <c r="F1495" s="28"/>
      <c r="G1495" s="28"/>
      <c r="H1495" s="28"/>
      <c r="I1495" s="28"/>
      <c r="J1495" s="28"/>
      <c r="K1495" s="28"/>
      <c r="L1495" s="28"/>
      <c r="M1495" s="28"/>
      <c r="N1495" s="28"/>
      <c r="O1495" s="28"/>
      <c r="P1495" s="28"/>
      <c r="Q1495" s="28"/>
      <c r="R1495" s="28"/>
      <c r="S1495" s="28"/>
    </row>
    <row r="1496" spans="1:19" x14ac:dyDescent="0.25">
      <c r="A1496" s="28"/>
      <c r="B1496" s="28"/>
      <c r="C1496" s="28"/>
      <c r="D1496" s="28"/>
      <c r="E1496" s="28"/>
      <c r="F1496" s="28"/>
      <c r="G1496" s="28"/>
      <c r="H1496" s="28"/>
      <c r="I1496" s="28"/>
      <c r="J1496" s="28"/>
      <c r="K1496" s="28"/>
      <c r="L1496" s="28"/>
      <c r="M1496" s="28"/>
      <c r="N1496" s="28"/>
      <c r="O1496" s="28"/>
      <c r="P1496" s="28"/>
      <c r="Q1496" s="28"/>
      <c r="R1496" s="28"/>
      <c r="S1496" s="28"/>
    </row>
    <row r="1497" spans="1:19" x14ac:dyDescent="0.25">
      <c r="A1497" s="28"/>
      <c r="B1497" s="28"/>
      <c r="C1497" s="28"/>
      <c r="D1497" s="28"/>
      <c r="E1497" s="28"/>
      <c r="F1497" s="28"/>
      <c r="G1497" s="28"/>
      <c r="H1497" s="28"/>
      <c r="I1497" s="28"/>
      <c r="J1497" s="28"/>
      <c r="K1497" s="28"/>
      <c r="L1497" s="28"/>
      <c r="M1497" s="28"/>
      <c r="N1497" s="28"/>
      <c r="O1497" s="28"/>
      <c r="P1497" s="28"/>
      <c r="Q1497" s="28"/>
      <c r="R1497" s="28"/>
      <c r="S1497" s="28"/>
    </row>
    <row r="1498" spans="1:19" x14ac:dyDescent="0.25">
      <c r="A1498" s="28"/>
      <c r="B1498" s="28"/>
      <c r="C1498" s="28"/>
      <c r="D1498" s="28"/>
      <c r="E1498" s="28"/>
      <c r="F1498" s="28"/>
      <c r="G1498" s="28"/>
      <c r="H1498" s="28"/>
      <c r="I1498" s="28"/>
      <c r="J1498" s="28"/>
      <c r="K1498" s="28"/>
      <c r="L1498" s="28"/>
      <c r="M1498" s="28"/>
      <c r="N1498" s="28"/>
      <c r="O1498" s="28"/>
      <c r="P1498" s="28"/>
      <c r="Q1498" s="28"/>
      <c r="R1498" s="28"/>
      <c r="S1498" s="28"/>
    </row>
    <row r="1499" spans="1:19" x14ac:dyDescent="0.25">
      <c r="A1499" s="28"/>
      <c r="B1499" s="28"/>
      <c r="C1499" s="28"/>
      <c r="D1499" s="28"/>
      <c r="E1499" s="28"/>
      <c r="F1499" s="28"/>
      <c r="G1499" s="28"/>
      <c r="H1499" s="28"/>
      <c r="I1499" s="28"/>
      <c r="J1499" s="28"/>
      <c r="K1499" s="28"/>
      <c r="L1499" s="28"/>
      <c r="M1499" s="28"/>
      <c r="N1499" s="28"/>
      <c r="O1499" s="28"/>
      <c r="P1499" s="28"/>
      <c r="Q1499" s="28"/>
      <c r="R1499" s="28"/>
      <c r="S1499" s="28"/>
    </row>
    <row r="1500" spans="1:19" x14ac:dyDescent="0.25">
      <c r="A1500" s="28"/>
      <c r="B1500" s="28"/>
      <c r="C1500" s="28"/>
      <c r="D1500" s="28"/>
      <c r="E1500" s="28"/>
      <c r="F1500" s="28"/>
      <c r="G1500" s="28"/>
      <c r="H1500" s="28"/>
      <c r="I1500" s="28"/>
      <c r="J1500" s="28"/>
      <c r="K1500" s="28"/>
      <c r="L1500" s="28"/>
      <c r="M1500" s="28"/>
      <c r="N1500" s="28"/>
      <c r="O1500" s="28"/>
      <c r="P1500" s="28"/>
      <c r="Q1500" s="28"/>
      <c r="R1500" s="28"/>
      <c r="S1500" s="28"/>
    </row>
    <row r="1501" spans="1:19" x14ac:dyDescent="0.25">
      <c r="A1501" s="28"/>
      <c r="B1501" s="28"/>
      <c r="C1501" s="28"/>
      <c r="D1501" s="28"/>
      <c r="E1501" s="28"/>
      <c r="F1501" s="28"/>
      <c r="G1501" s="28"/>
      <c r="H1501" s="28"/>
      <c r="I1501" s="28"/>
      <c r="J1501" s="28"/>
      <c r="K1501" s="28"/>
      <c r="L1501" s="28"/>
      <c r="M1501" s="28"/>
      <c r="N1501" s="28"/>
      <c r="O1501" s="28"/>
      <c r="P1501" s="28"/>
      <c r="Q1501" s="28"/>
      <c r="R1501" s="28"/>
      <c r="S1501" s="28"/>
    </row>
    <row r="1502" spans="1:19" x14ac:dyDescent="0.25">
      <c r="A1502" s="28"/>
      <c r="B1502" s="28"/>
      <c r="C1502" s="28"/>
      <c r="D1502" s="28"/>
      <c r="E1502" s="28"/>
      <c r="F1502" s="28"/>
      <c r="G1502" s="28"/>
      <c r="H1502" s="28"/>
      <c r="I1502" s="28"/>
      <c r="J1502" s="28"/>
      <c r="K1502" s="28"/>
      <c r="L1502" s="28"/>
      <c r="M1502" s="28"/>
      <c r="N1502" s="28"/>
      <c r="O1502" s="28"/>
      <c r="P1502" s="28"/>
      <c r="Q1502" s="28"/>
      <c r="R1502" s="28"/>
      <c r="S1502" s="28"/>
    </row>
    <row r="1503" spans="1:19" x14ac:dyDescent="0.25">
      <c r="A1503" s="28"/>
      <c r="B1503" s="28"/>
      <c r="C1503" s="28"/>
      <c r="D1503" s="28"/>
      <c r="E1503" s="28"/>
      <c r="F1503" s="28"/>
      <c r="G1503" s="28"/>
      <c r="H1503" s="28"/>
      <c r="I1503" s="28"/>
      <c r="J1503" s="28"/>
      <c r="K1503" s="28"/>
      <c r="L1503" s="28"/>
      <c r="M1503" s="28"/>
      <c r="N1503" s="28"/>
      <c r="O1503" s="28"/>
      <c r="P1503" s="28"/>
      <c r="Q1503" s="28"/>
      <c r="R1503" s="28"/>
      <c r="S1503" s="28"/>
    </row>
    <row r="1504" spans="1:19" x14ac:dyDescent="0.25">
      <c r="A1504" s="28"/>
      <c r="B1504" s="28"/>
      <c r="C1504" s="28"/>
      <c r="D1504" s="28"/>
      <c r="E1504" s="28"/>
      <c r="F1504" s="28"/>
      <c r="G1504" s="28"/>
      <c r="H1504" s="28"/>
      <c r="I1504" s="28"/>
      <c r="J1504" s="28"/>
      <c r="K1504" s="28"/>
      <c r="L1504" s="28"/>
      <c r="M1504" s="28"/>
      <c r="N1504" s="28"/>
      <c r="O1504" s="28"/>
      <c r="P1504" s="28"/>
      <c r="Q1504" s="28"/>
      <c r="R1504" s="28"/>
      <c r="S1504" s="28"/>
    </row>
    <row r="1505" spans="1:19" x14ac:dyDescent="0.25">
      <c r="A1505" s="28"/>
      <c r="B1505" s="28"/>
      <c r="C1505" s="28"/>
      <c r="D1505" s="28"/>
      <c r="E1505" s="28"/>
      <c r="F1505" s="28"/>
      <c r="G1505" s="28"/>
      <c r="H1505" s="28"/>
      <c r="I1505" s="28"/>
      <c r="J1505" s="28"/>
      <c r="K1505" s="28"/>
      <c r="L1505" s="28"/>
      <c r="M1505" s="28"/>
      <c r="N1505" s="28"/>
      <c r="O1505" s="28"/>
      <c r="P1505" s="28"/>
      <c r="Q1505" s="28"/>
      <c r="R1505" s="28"/>
      <c r="S1505" s="28"/>
    </row>
    <row r="1506" spans="1:19" x14ac:dyDescent="0.25">
      <c r="A1506" s="28"/>
      <c r="B1506" s="28"/>
      <c r="C1506" s="28"/>
      <c r="D1506" s="28"/>
      <c r="E1506" s="28"/>
      <c r="F1506" s="28"/>
      <c r="G1506" s="28"/>
      <c r="H1506" s="28"/>
      <c r="I1506" s="28"/>
      <c r="J1506" s="28"/>
      <c r="K1506" s="28"/>
      <c r="L1506" s="28"/>
      <c r="M1506" s="28"/>
      <c r="N1506" s="28"/>
      <c r="O1506" s="28"/>
      <c r="P1506" s="28"/>
      <c r="Q1506" s="28"/>
      <c r="R1506" s="28"/>
      <c r="S1506" s="28"/>
    </row>
    <row r="1507" spans="1:19" x14ac:dyDescent="0.25">
      <c r="A1507" s="28"/>
      <c r="B1507" s="28"/>
      <c r="C1507" s="28"/>
      <c r="D1507" s="28"/>
      <c r="E1507" s="28"/>
      <c r="F1507" s="28"/>
      <c r="G1507" s="28"/>
      <c r="H1507" s="28"/>
      <c r="I1507" s="28"/>
      <c r="J1507" s="28"/>
      <c r="K1507" s="28"/>
      <c r="L1507" s="28"/>
      <c r="M1507" s="28"/>
      <c r="N1507" s="28"/>
      <c r="O1507" s="28"/>
      <c r="P1507" s="28"/>
      <c r="Q1507" s="28"/>
      <c r="R1507" s="28"/>
      <c r="S1507" s="28"/>
    </row>
    <row r="1508" spans="1:19" x14ac:dyDescent="0.25">
      <c r="A1508" s="28"/>
      <c r="B1508" s="28"/>
      <c r="C1508" s="28"/>
      <c r="D1508" s="28"/>
      <c r="E1508" s="28"/>
      <c r="F1508" s="28"/>
      <c r="G1508" s="28"/>
      <c r="H1508" s="28"/>
      <c r="I1508" s="28"/>
      <c r="J1508" s="28"/>
      <c r="K1508" s="28"/>
      <c r="L1508" s="28"/>
      <c r="M1508" s="28"/>
      <c r="N1508" s="28"/>
      <c r="O1508" s="28"/>
      <c r="P1508" s="28"/>
      <c r="Q1508" s="28"/>
      <c r="R1508" s="28"/>
      <c r="S1508" s="28"/>
    </row>
    <row r="1509" spans="1:19" x14ac:dyDescent="0.25">
      <c r="A1509" s="28"/>
      <c r="B1509" s="28"/>
      <c r="C1509" s="28"/>
      <c r="D1509" s="28"/>
      <c r="E1509" s="28"/>
      <c r="F1509" s="28"/>
      <c r="G1509" s="28"/>
      <c r="H1509" s="28"/>
      <c r="I1509" s="28"/>
      <c r="J1509" s="28"/>
      <c r="K1509" s="28"/>
      <c r="L1509" s="28"/>
      <c r="M1509" s="28"/>
      <c r="N1509" s="28"/>
      <c r="O1509" s="28"/>
      <c r="P1509" s="28"/>
      <c r="Q1509" s="28"/>
      <c r="R1509" s="28"/>
      <c r="S1509" s="28"/>
    </row>
    <row r="1510" spans="1:19" x14ac:dyDescent="0.25">
      <c r="A1510" s="28"/>
      <c r="B1510" s="28"/>
      <c r="C1510" s="28"/>
      <c r="D1510" s="28"/>
      <c r="E1510" s="28"/>
      <c r="F1510" s="28"/>
      <c r="G1510" s="28"/>
      <c r="H1510" s="28"/>
      <c r="I1510" s="28"/>
      <c r="J1510" s="28"/>
      <c r="K1510" s="28"/>
      <c r="L1510" s="28"/>
      <c r="M1510" s="28"/>
      <c r="N1510" s="28"/>
      <c r="O1510" s="28"/>
      <c r="P1510" s="28"/>
      <c r="Q1510" s="28"/>
      <c r="R1510" s="28"/>
      <c r="S1510" s="28"/>
    </row>
    <row r="1511" spans="1:19" x14ac:dyDescent="0.25">
      <c r="A1511" s="28"/>
      <c r="B1511" s="28"/>
      <c r="C1511" s="28"/>
      <c r="D1511" s="28"/>
      <c r="E1511" s="28"/>
      <c r="F1511" s="28"/>
      <c r="G1511" s="28"/>
      <c r="H1511" s="28"/>
      <c r="I1511" s="28"/>
      <c r="J1511" s="28"/>
      <c r="K1511" s="28"/>
      <c r="L1511" s="28"/>
      <c r="M1511" s="28"/>
      <c r="N1511" s="28"/>
      <c r="O1511" s="28"/>
      <c r="P1511" s="28"/>
      <c r="Q1511" s="28"/>
      <c r="R1511" s="28"/>
      <c r="S1511" s="28"/>
    </row>
    <row r="1512" spans="1:19" x14ac:dyDescent="0.25">
      <c r="A1512" s="28"/>
      <c r="B1512" s="28"/>
      <c r="C1512" s="28"/>
      <c r="D1512" s="28"/>
      <c r="E1512" s="28"/>
      <c r="F1512" s="28"/>
      <c r="G1512" s="28"/>
      <c r="H1512" s="28"/>
      <c r="I1512" s="28"/>
      <c r="J1512" s="28"/>
      <c r="K1512" s="28"/>
      <c r="L1512" s="28"/>
      <c r="M1512" s="28"/>
      <c r="N1512" s="28"/>
      <c r="O1512" s="28"/>
      <c r="P1512" s="28"/>
      <c r="Q1512" s="28"/>
      <c r="R1512" s="28"/>
      <c r="S1512" s="28"/>
    </row>
    <row r="1513" spans="1:19" x14ac:dyDescent="0.25">
      <c r="A1513" s="28"/>
      <c r="B1513" s="28"/>
      <c r="C1513" s="28"/>
      <c r="D1513" s="28"/>
      <c r="E1513" s="28"/>
      <c r="F1513" s="28"/>
      <c r="G1513" s="28"/>
      <c r="H1513" s="28"/>
      <c r="I1513" s="28"/>
      <c r="J1513" s="28"/>
      <c r="K1513" s="28"/>
      <c r="L1513" s="28"/>
      <c r="M1513" s="28"/>
      <c r="N1513" s="28"/>
      <c r="O1513" s="28"/>
      <c r="P1513" s="28"/>
      <c r="Q1513" s="28"/>
      <c r="R1513" s="28"/>
      <c r="S1513" s="28"/>
    </row>
    <row r="1514" spans="1:19" x14ac:dyDescent="0.25">
      <c r="A1514" s="28"/>
      <c r="B1514" s="28"/>
      <c r="C1514" s="28"/>
      <c r="D1514" s="28"/>
      <c r="E1514" s="28"/>
      <c r="F1514" s="28"/>
      <c r="G1514" s="28"/>
      <c r="H1514" s="28"/>
      <c r="I1514" s="28"/>
      <c r="J1514" s="28"/>
      <c r="K1514" s="28"/>
      <c r="L1514" s="28"/>
      <c r="M1514" s="28"/>
      <c r="N1514" s="28"/>
      <c r="O1514" s="28"/>
      <c r="P1514" s="28"/>
      <c r="Q1514" s="28"/>
      <c r="R1514" s="28"/>
      <c r="S1514" s="28"/>
    </row>
    <row r="1515" spans="1:19" x14ac:dyDescent="0.25">
      <c r="A1515" s="28"/>
      <c r="B1515" s="28"/>
      <c r="C1515" s="28"/>
      <c r="D1515" s="28"/>
      <c r="E1515" s="28"/>
      <c r="F1515" s="28"/>
      <c r="G1515" s="28"/>
      <c r="H1515" s="28"/>
      <c r="I1515" s="28"/>
      <c r="J1515" s="28"/>
      <c r="K1515" s="28"/>
      <c r="L1515" s="28"/>
      <c r="M1515" s="28"/>
      <c r="N1515" s="28"/>
      <c r="O1515" s="28"/>
      <c r="P1515" s="28"/>
      <c r="Q1515" s="28"/>
      <c r="R1515" s="28"/>
      <c r="S1515" s="28"/>
    </row>
    <row r="1516" spans="1:19" x14ac:dyDescent="0.25">
      <c r="A1516" s="28"/>
      <c r="B1516" s="28"/>
      <c r="C1516" s="28"/>
      <c r="D1516" s="28"/>
      <c r="E1516" s="28"/>
      <c r="F1516" s="28"/>
      <c r="G1516" s="28"/>
      <c r="H1516" s="28"/>
      <c r="I1516" s="28"/>
      <c r="J1516" s="28"/>
      <c r="K1516" s="28"/>
      <c r="L1516" s="28"/>
      <c r="M1516" s="28"/>
      <c r="N1516" s="28"/>
      <c r="O1516" s="28"/>
      <c r="P1516" s="28"/>
      <c r="Q1516" s="28"/>
      <c r="R1516" s="28"/>
      <c r="S1516" s="28"/>
    </row>
    <row r="1517" spans="1:19" x14ac:dyDescent="0.25">
      <c r="A1517" s="28"/>
      <c r="B1517" s="28"/>
      <c r="C1517" s="28"/>
      <c r="D1517" s="28"/>
      <c r="E1517" s="28"/>
      <c r="F1517" s="28"/>
      <c r="G1517" s="28"/>
      <c r="H1517" s="28"/>
      <c r="I1517" s="28"/>
      <c r="J1517" s="28"/>
      <c r="K1517" s="28"/>
      <c r="L1517" s="28"/>
      <c r="M1517" s="28"/>
      <c r="N1517" s="28"/>
      <c r="O1517" s="28"/>
      <c r="P1517" s="28"/>
      <c r="Q1517" s="28"/>
      <c r="R1517" s="28"/>
      <c r="S1517" s="28"/>
    </row>
    <row r="1518" spans="1:19" x14ac:dyDescent="0.25">
      <c r="A1518" s="28"/>
      <c r="B1518" s="28"/>
      <c r="C1518" s="28"/>
      <c r="D1518" s="28"/>
      <c r="E1518" s="28"/>
      <c r="F1518" s="28"/>
      <c r="G1518" s="28"/>
      <c r="H1518" s="28"/>
      <c r="I1518" s="28"/>
      <c r="J1518" s="28"/>
      <c r="K1518" s="28"/>
      <c r="L1518" s="28"/>
      <c r="M1518" s="28"/>
      <c r="N1518" s="28"/>
      <c r="O1518" s="28"/>
      <c r="P1518" s="28"/>
      <c r="Q1518" s="28"/>
      <c r="R1518" s="28"/>
      <c r="S1518" s="28"/>
    </row>
    <row r="1519" spans="1:19" x14ac:dyDescent="0.25">
      <c r="A1519" s="28"/>
      <c r="B1519" s="28"/>
      <c r="C1519" s="28"/>
      <c r="D1519" s="28"/>
      <c r="E1519" s="28"/>
      <c r="F1519" s="28"/>
      <c r="G1519" s="28"/>
      <c r="H1519" s="28"/>
      <c r="I1519" s="28"/>
      <c r="J1519" s="28"/>
      <c r="K1519" s="28"/>
      <c r="L1519" s="28"/>
      <c r="M1519" s="28"/>
      <c r="N1519" s="28"/>
      <c r="O1519" s="28"/>
      <c r="P1519" s="28"/>
      <c r="Q1519" s="28"/>
      <c r="R1519" s="28"/>
      <c r="S1519" s="28"/>
    </row>
    <row r="1520" spans="1:19" x14ac:dyDescent="0.25">
      <c r="A1520" s="28"/>
      <c r="B1520" s="28"/>
      <c r="C1520" s="28"/>
      <c r="D1520" s="28"/>
      <c r="E1520" s="28"/>
      <c r="F1520" s="28"/>
      <c r="G1520" s="28"/>
      <c r="H1520" s="28"/>
      <c r="I1520" s="28"/>
      <c r="J1520" s="28"/>
      <c r="K1520" s="28"/>
      <c r="L1520" s="28"/>
      <c r="M1520" s="28"/>
      <c r="N1520" s="28"/>
      <c r="O1520" s="28"/>
      <c r="P1520" s="28"/>
      <c r="Q1520" s="28"/>
      <c r="R1520" s="28"/>
      <c r="S1520" s="28"/>
    </row>
    <row r="1521" spans="1:19" x14ac:dyDescent="0.25">
      <c r="A1521" s="28"/>
      <c r="B1521" s="28"/>
      <c r="C1521" s="28"/>
      <c r="D1521" s="28"/>
      <c r="E1521" s="28"/>
      <c r="F1521" s="28"/>
      <c r="G1521" s="28"/>
      <c r="H1521" s="28"/>
      <c r="I1521" s="28"/>
      <c r="J1521" s="28"/>
      <c r="K1521" s="28"/>
      <c r="L1521" s="28"/>
      <c r="M1521" s="28"/>
      <c r="N1521" s="28"/>
      <c r="O1521" s="28"/>
      <c r="P1521" s="28"/>
      <c r="Q1521" s="28"/>
      <c r="R1521" s="28"/>
      <c r="S1521" s="28"/>
    </row>
    <row r="1522" spans="1:19" x14ac:dyDescent="0.25">
      <c r="A1522" s="28"/>
      <c r="B1522" s="28"/>
      <c r="C1522" s="28"/>
      <c r="D1522" s="28"/>
      <c r="E1522" s="28"/>
      <c r="F1522" s="28"/>
      <c r="G1522" s="28"/>
      <c r="H1522" s="28"/>
      <c r="I1522" s="28"/>
      <c r="J1522" s="28"/>
      <c r="K1522" s="28"/>
      <c r="L1522" s="28"/>
      <c r="M1522" s="28"/>
      <c r="N1522" s="28"/>
      <c r="O1522" s="28"/>
      <c r="P1522" s="28"/>
      <c r="Q1522" s="28"/>
      <c r="R1522" s="28"/>
      <c r="S1522" s="28"/>
    </row>
    <row r="1523" spans="1:19" x14ac:dyDescent="0.25">
      <c r="A1523" s="28"/>
      <c r="B1523" s="28"/>
      <c r="C1523" s="28"/>
      <c r="D1523" s="28"/>
      <c r="E1523" s="28"/>
      <c r="F1523" s="28"/>
      <c r="G1523" s="28"/>
      <c r="H1523" s="28"/>
      <c r="I1523" s="28"/>
      <c r="J1523" s="28"/>
      <c r="K1523" s="28"/>
      <c r="L1523" s="28"/>
      <c r="M1523" s="28"/>
      <c r="N1523" s="28"/>
      <c r="O1523" s="28"/>
      <c r="P1523" s="28"/>
      <c r="Q1523" s="28"/>
      <c r="R1523" s="28"/>
      <c r="S1523" s="28"/>
    </row>
    <row r="1524" spans="1:19" x14ac:dyDescent="0.25">
      <c r="A1524" s="28"/>
      <c r="B1524" s="28"/>
      <c r="C1524" s="28"/>
      <c r="D1524" s="28"/>
      <c r="E1524" s="28"/>
      <c r="F1524" s="28"/>
      <c r="G1524" s="28"/>
      <c r="H1524" s="28"/>
      <c r="I1524" s="28"/>
      <c r="J1524" s="28"/>
      <c r="K1524" s="28"/>
      <c r="L1524" s="28"/>
      <c r="M1524" s="28"/>
      <c r="N1524" s="28"/>
      <c r="O1524" s="28"/>
      <c r="P1524" s="28"/>
      <c r="Q1524" s="28"/>
      <c r="R1524" s="28"/>
      <c r="S1524" s="28"/>
    </row>
    <row r="1525" spans="1:19" x14ac:dyDescent="0.25">
      <c r="A1525" s="28"/>
      <c r="B1525" s="28"/>
      <c r="C1525" s="28"/>
      <c r="D1525" s="28"/>
      <c r="E1525" s="28"/>
      <c r="F1525" s="28"/>
      <c r="G1525" s="28"/>
      <c r="H1525" s="28"/>
      <c r="I1525" s="28"/>
      <c r="J1525" s="28"/>
      <c r="K1525" s="28"/>
      <c r="L1525" s="28"/>
      <c r="M1525" s="28"/>
      <c r="N1525" s="28"/>
      <c r="O1525" s="28"/>
      <c r="P1525" s="28"/>
      <c r="Q1525" s="28"/>
      <c r="R1525" s="28"/>
      <c r="S1525" s="28"/>
    </row>
    <row r="1526" spans="1:19" x14ac:dyDescent="0.25">
      <c r="A1526" s="28"/>
      <c r="B1526" s="28"/>
      <c r="C1526" s="28"/>
      <c r="D1526" s="28"/>
      <c r="E1526" s="28"/>
      <c r="F1526" s="28"/>
      <c r="G1526" s="28"/>
      <c r="H1526" s="28"/>
      <c r="I1526" s="28"/>
      <c r="J1526" s="28"/>
      <c r="K1526" s="28"/>
      <c r="L1526" s="28"/>
      <c r="M1526" s="28"/>
      <c r="N1526" s="28"/>
      <c r="O1526" s="28"/>
      <c r="P1526" s="28"/>
      <c r="Q1526" s="28"/>
      <c r="R1526" s="28"/>
      <c r="S1526" s="28"/>
    </row>
    <row r="1527" spans="1:19" x14ac:dyDescent="0.25">
      <c r="A1527" s="28"/>
      <c r="B1527" s="28"/>
      <c r="C1527" s="28"/>
      <c r="D1527" s="28"/>
      <c r="E1527" s="28"/>
      <c r="F1527" s="28"/>
      <c r="G1527" s="28"/>
      <c r="H1527" s="28"/>
      <c r="I1527" s="28"/>
      <c r="J1527" s="28"/>
      <c r="K1527" s="28"/>
      <c r="L1527" s="28"/>
      <c r="M1527" s="28"/>
      <c r="N1527" s="28"/>
      <c r="O1527" s="28"/>
      <c r="P1527" s="28"/>
      <c r="Q1527" s="28"/>
      <c r="R1527" s="28"/>
      <c r="S1527" s="28"/>
    </row>
    <row r="1528" spans="1:19" x14ac:dyDescent="0.25">
      <c r="A1528" s="28"/>
      <c r="B1528" s="28"/>
      <c r="C1528" s="28"/>
      <c r="D1528" s="28"/>
      <c r="E1528" s="28"/>
      <c r="F1528" s="28"/>
      <c r="G1528" s="28"/>
      <c r="H1528" s="28"/>
      <c r="I1528" s="28"/>
      <c r="J1528" s="28"/>
      <c r="K1528" s="28"/>
      <c r="L1528" s="28"/>
      <c r="M1528" s="28"/>
      <c r="N1528" s="28"/>
      <c r="O1528" s="28"/>
      <c r="P1528" s="28"/>
      <c r="Q1528" s="28"/>
      <c r="R1528" s="28"/>
      <c r="S1528" s="28"/>
    </row>
    <row r="1529" spans="1:19" x14ac:dyDescent="0.25">
      <c r="A1529" s="28"/>
      <c r="B1529" s="28"/>
      <c r="C1529" s="28"/>
      <c r="D1529" s="28"/>
      <c r="E1529" s="28"/>
      <c r="F1529" s="28"/>
      <c r="G1529" s="28"/>
      <c r="H1529" s="28"/>
      <c r="I1529" s="28"/>
      <c r="J1529" s="28"/>
      <c r="K1529" s="28"/>
      <c r="L1529" s="28"/>
      <c r="M1529" s="28"/>
      <c r="N1529" s="28"/>
      <c r="O1529" s="28"/>
      <c r="P1529" s="28"/>
      <c r="Q1529" s="28"/>
      <c r="R1529" s="28"/>
      <c r="S1529" s="28"/>
    </row>
    <row r="1530" spans="1:19" x14ac:dyDescent="0.25">
      <c r="A1530" s="28"/>
      <c r="B1530" s="28"/>
      <c r="C1530" s="28"/>
      <c r="D1530" s="28"/>
      <c r="E1530" s="28"/>
      <c r="F1530" s="28"/>
      <c r="G1530" s="28"/>
      <c r="H1530" s="28"/>
      <c r="I1530" s="28"/>
      <c r="J1530" s="28"/>
      <c r="K1530" s="28"/>
      <c r="L1530" s="28"/>
      <c r="M1530" s="28"/>
      <c r="N1530" s="28"/>
      <c r="O1530" s="28"/>
      <c r="P1530" s="28"/>
      <c r="Q1530" s="28"/>
      <c r="R1530" s="28"/>
      <c r="S1530" s="28"/>
    </row>
    <row r="1531" spans="1:19" x14ac:dyDescent="0.25">
      <c r="A1531" s="28"/>
      <c r="B1531" s="28"/>
      <c r="C1531" s="28"/>
      <c r="D1531" s="28"/>
      <c r="E1531" s="28"/>
      <c r="F1531" s="28"/>
      <c r="G1531" s="28"/>
      <c r="H1531" s="28"/>
      <c r="I1531" s="28"/>
      <c r="J1531" s="28"/>
      <c r="K1531" s="28"/>
      <c r="L1531" s="28"/>
      <c r="M1531" s="28"/>
      <c r="N1531" s="28"/>
      <c r="O1531" s="28"/>
      <c r="P1531" s="28"/>
      <c r="Q1531" s="28"/>
      <c r="R1531" s="28"/>
      <c r="S1531" s="28"/>
    </row>
    <row r="1532" spans="1:19" x14ac:dyDescent="0.25">
      <c r="A1532" s="28"/>
      <c r="B1532" s="28"/>
      <c r="C1532" s="28"/>
      <c r="D1532" s="28"/>
      <c r="E1532" s="28"/>
      <c r="F1532" s="28"/>
      <c r="G1532" s="28"/>
      <c r="H1532" s="28"/>
      <c r="I1532" s="28"/>
      <c r="J1532" s="28"/>
      <c r="K1532" s="28"/>
      <c r="L1532" s="28"/>
      <c r="M1532" s="28"/>
      <c r="N1532" s="28"/>
      <c r="O1532" s="28"/>
      <c r="P1532" s="28"/>
      <c r="Q1532" s="28"/>
      <c r="R1532" s="28"/>
      <c r="S1532" s="28"/>
    </row>
    <row r="1533" spans="1:19" x14ac:dyDescent="0.25">
      <c r="A1533" s="28"/>
      <c r="B1533" s="28"/>
      <c r="C1533" s="28"/>
      <c r="D1533" s="28"/>
      <c r="E1533" s="28"/>
      <c r="F1533" s="28"/>
      <c r="G1533" s="28"/>
      <c r="H1533" s="28"/>
      <c r="I1533" s="28"/>
      <c r="J1533" s="28"/>
      <c r="K1533" s="28"/>
      <c r="L1533" s="28"/>
      <c r="M1533" s="28"/>
      <c r="N1533" s="28"/>
      <c r="O1533" s="28"/>
      <c r="P1533" s="28"/>
      <c r="Q1533" s="28"/>
      <c r="R1533" s="28"/>
      <c r="S1533" s="28"/>
    </row>
    <row r="1534" spans="1:19" x14ac:dyDescent="0.25">
      <c r="A1534" s="28"/>
      <c r="B1534" s="28"/>
      <c r="C1534" s="28"/>
      <c r="D1534" s="28"/>
      <c r="E1534" s="28"/>
      <c r="F1534" s="28"/>
      <c r="G1534" s="28"/>
      <c r="H1534" s="28"/>
      <c r="I1534" s="28"/>
      <c r="J1534" s="28"/>
      <c r="K1534" s="28"/>
      <c r="L1534" s="28"/>
      <c r="M1534" s="28"/>
      <c r="N1534" s="28"/>
      <c r="O1534" s="28"/>
      <c r="P1534" s="28"/>
      <c r="Q1534" s="28"/>
      <c r="R1534" s="28"/>
      <c r="S1534" s="28"/>
    </row>
    <row r="1535" spans="1:19" x14ac:dyDescent="0.25">
      <c r="A1535" s="28"/>
      <c r="B1535" s="28"/>
      <c r="C1535" s="28"/>
      <c r="D1535" s="28"/>
      <c r="E1535" s="28"/>
      <c r="F1535" s="28"/>
      <c r="G1535" s="28"/>
      <c r="H1535" s="28"/>
      <c r="I1535" s="28"/>
      <c r="J1535" s="28"/>
      <c r="K1535" s="28"/>
      <c r="L1535" s="28"/>
      <c r="M1535" s="28"/>
      <c r="N1535" s="28"/>
      <c r="O1535" s="28"/>
      <c r="P1535" s="28"/>
      <c r="Q1535" s="28"/>
      <c r="R1535" s="28"/>
      <c r="S1535" s="28"/>
    </row>
    <row r="1536" spans="1:19" x14ac:dyDescent="0.25">
      <c r="A1536" s="28"/>
      <c r="B1536" s="28"/>
      <c r="C1536" s="28"/>
      <c r="D1536" s="28"/>
      <c r="E1536" s="28"/>
      <c r="F1536" s="28"/>
      <c r="G1536" s="28"/>
      <c r="H1536" s="28"/>
      <c r="I1536" s="28"/>
      <c r="J1536" s="28"/>
      <c r="K1536" s="28"/>
      <c r="L1536" s="28"/>
      <c r="M1536" s="28"/>
      <c r="N1536" s="28"/>
      <c r="O1536" s="28"/>
      <c r="P1536" s="28"/>
      <c r="Q1536" s="28"/>
      <c r="R1536" s="28"/>
      <c r="S1536" s="28"/>
    </row>
    <row r="1537" spans="1:19" x14ac:dyDescent="0.25">
      <c r="A1537" s="28"/>
      <c r="B1537" s="28"/>
      <c r="C1537" s="28"/>
      <c r="D1537" s="28"/>
      <c r="E1537" s="28"/>
      <c r="F1537" s="28"/>
      <c r="G1537" s="28"/>
      <c r="H1537" s="28"/>
      <c r="I1537" s="28"/>
      <c r="J1537" s="28"/>
      <c r="K1537" s="28"/>
      <c r="L1537" s="28"/>
      <c r="M1537" s="28"/>
      <c r="N1537" s="28"/>
      <c r="O1537" s="28"/>
      <c r="P1537" s="28"/>
      <c r="Q1537" s="28"/>
      <c r="R1537" s="28"/>
      <c r="S1537" s="28"/>
    </row>
    <row r="1538" spans="1:19" x14ac:dyDescent="0.25">
      <c r="A1538" s="28"/>
      <c r="B1538" s="28"/>
      <c r="C1538" s="28"/>
      <c r="D1538" s="28"/>
      <c r="E1538" s="28"/>
      <c r="F1538" s="28"/>
      <c r="G1538" s="28"/>
      <c r="H1538" s="28"/>
      <c r="I1538" s="28"/>
      <c r="J1538" s="28"/>
      <c r="K1538" s="28"/>
      <c r="L1538" s="28"/>
      <c r="M1538" s="28"/>
      <c r="N1538" s="28"/>
      <c r="O1538" s="28"/>
      <c r="P1538" s="28"/>
      <c r="Q1538" s="28"/>
      <c r="R1538" s="28"/>
      <c r="S1538" s="28"/>
    </row>
    <row r="1539" spans="1:19" x14ac:dyDescent="0.25">
      <c r="A1539" s="28"/>
      <c r="B1539" s="28"/>
      <c r="C1539" s="28"/>
      <c r="D1539" s="28"/>
      <c r="E1539" s="28"/>
      <c r="F1539" s="28"/>
      <c r="G1539" s="28"/>
      <c r="H1539" s="28"/>
      <c r="I1539" s="28"/>
      <c r="J1539" s="28"/>
      <c r="K1539" s="28"/>
      <c r="L1539" s="28"/>
      <c r="M1539" s="28"/>
      <c r="N1539" s="28"/>
      <c r="O1539" s="28"/>
      <c r="P1539" s="28"/>
      <c r="Q1539" s="28"/>
      <c r="R1539" s="28"/>
      <c r="S1539" s="28"/>
    </row>
    <row r="1540" spans="1:19" x14ac:dyDescent="0.25">
      <c r="A1540" s="28"/>
      <c r="B1540" s="28"/>
      <c r="C1540" s="28"/>
      <c r="D1540" s="28"/>
      <c r="E1540" s="28"/>
      <c r="F1540" s="28"/>
      <c r="G1540" s="28"/>
      <c r="H1540" s="28"/>
      <c r="I1540" s="28"/>
      <c r="J1540" s="28"/>
      <c r="K1540" s="28"/>
      <c r="L1540" s="28"/>
      <c r="M1540" s="28"/>
      <c r="N1540" s="28"/>
      <c r="O1540" s="28"/>
      <c r="P1540" s="28"/>
      <c r="Q1540" s="28"/>
      <c r="R1540" s="28"/>
      <c r="S1540" s="28"/>
    </row>
    <row r="1541" spans="1:19" x14ac:dyDescent="0.25">
      <c r="A1541" s="28"/>
      <c r="B1541" s="28"/>
      <c r="C1541" s="28"/>
      <c r="D1541" s="28"/>
      <c r="E1541" s="28"/>
      <c r="F1541" s="28"/>
      <c r="G1541" s="28"/>
      <c r="H1541" s="28"/>
      <c r="I1541" s="28"/>
      <c r="J1541" s="28"/>
      <c r="K1541" s="28"/>
      <c r="L1541" s="28"/>
      <c r="M1541" s="28"/>
      <c r="N1541" s="28"/>
      <c r="O1541" s="28"/>
      <c r="P1541" s="28"/>
      <c r="Q1541" s="28"/>
      <c r="R1541" s="28"/>
      <c r="S1541" s="28"/>
    </row>
    <row r="1542" spans="1:19" x14ac:dyDescent="0.25">
      <c r="A1542" s="28"/>
      <c r="B1542" s="28"/>
      <c r="C1542" s="28"/>
      <c r="D1542" s="28"/>
      <c r="E1542" s="28"/>
      <c r="F1542" s="28"/>
      <c r="G1542" s="28"/>
      <c r="H1542" s="28"/>
      <c r="I1542" s="28"/>
      <c r="J1542" s="28"/>
      <c r="K1542" s="28"/>
      <c r="L1542" s="28"/>
      <c r="M1542" s="28"/>
      <c r="N1542" s="28"/>
      <c r="O1542" s="28"/>
      <c r="P1542" s="28"/>
      <c r="Q1542" s="28"/>
      <c r="R1542" s="28"/>
      <c r="S1542" s="28"/>
    </row>
    <row r="1543" spans="1:19" x14ac:dyDescent="0.25">
      <c r="A1543" s="28"/>
      <c r="B1543" s="28"/>
      <c r="C1543" s="28"/>
      <c r="D1543" s="28"/>
      <c r="E1543" s="28"/>
      <c r="F1543" s="28"/>
      <c r="G1543" s="28"/>
      <c r="H1543" s="28"/>
      <c r="I1543" s="28"/>
      <c r="J1543" s="28"/>
      <c r="K1543" s="28"/>
      <c r="L1543" s="28"/>
      <c r="M1543" s="28"/>
      <c r="N1543" s="28"/>
      <c r="O1543" s="28"/>
      <c r="P1543" s="28"/>
      <c r="Q1543" s="28"/>
      <c r="R1543" s="28"/>
      <c r="S1543" s="28"/>
    </row>
    <row r="1544" spans="1:19" x14ac:dyDescent="0.25">
      <c r="A1544" s="28"/>
      <c r="B1544" s="28"/>
      <c r="C1544" s="28"/>
      <c r="D1544" s="28"/>
      <c r="E1544" s="28"/>
      <c r="F1544" s="28"/>
      <c r="G1544" s="28"/>
      <c r="H1544" s="28"/>
      <c r="I1544" s="28"/>
      <c r="J1544" s="28"/>
      <c r="K1544" s="28"/>
      <c r="L1544" s="28"/>
      <c r="M1544" s="28"/>
      <c r="N1544" s="28"/>
      <c r="O1544" s="28"/>
      <c r="P1544" s="28"/>
      <c r="Q1544" s="28"/>
      <c r="R1544" s="28"/>
      <c r="S1544" s="28"/>
    </row>
    <row r="1545" spans="1:19" x14ac:dyDescent="0.25">
      <c r="A1545" s="28"/>
      <c r="B1545" s="28"/>
      <c r="C1545" s="28"/>
      <c r="D1545" s="28"/>
      <c r="E1545" s="28"/>
      <c r="F1545" s="28"/>
      <c r="G1545" s="28"/>
      <c r="H1545" s="28"/>
      <c r="I1545" s="28"/>
      <c r="J1545" s="28"/>
      <c r="K1545" s="28"/>
      <c r="L1545" s="28"/>
      <c r="M1545" s="28"/>
      <c r="N1545" s="28"/>
      <c r="O1545" s="28"/>
      <c r="P1545" s="28"/>
      <c r="Q1545" s="28"/>
      <c r="R1545" s="28"/>
      <c r="S1545" s="28"/>
    </row>
    <row r="1546" spans="1:19" x14ac:dyDescent="0.25">
      <c r="A1546" s="28"/>
      <c r="B1546" s="28"/>
      <c r="C1546" s="28"/>
      <c r="D1546" s="28"/>
      <c r="E1546" s="28"/>
      <c r="F1546" s="28"/>
      <c r="G1546" s="28"/>
      <c r="H1546" s="28"/>
      <c r="I1546" s="28"/>
      <c r="J1546" s="28"/>
      <c r="K1546" s="28"/>
      <c r="L1546" s="28"/>
      <c r="M1546" s="28"/>
      <c r="N1546" s="28"/>
      <c r="O1546" s="28"/>
      <c r="P1546" s="28"/>
      <c r="Q1546" s="28"/>
      <c r="R1546" s="28"/>
      <c r="S1546" s="28"/>
    </row>
    <row r="1547" spans="1:19" x14ac:dyDescent="0.25">
      <c r="A1547" s="28"/>
      <c r="B1547" s="28"/>
      <c r="C1547" s="28"/>
      <c r="D1547" s="28"/>
      <c r="E1547" s="28"/>
      <c r="F1547" s="28"/>
      <c r="G1547" s="28"/>
      <c r="H1547" s="28"/>
      <c r="I1547" s="28"/>
      <c r="J1547" s="28"/>
      <c r="K1547" s="28"/>
      <c r="L1547" s="28"/>
      <c r="M1547" s="28"/>
      <c r="N1547" s="28"/>
      <c r="O1547" s="28"/>
      <c r="P1547" s="28"/>
      <c r="Q1547" s="28"/>
      <c r="R1547" s="28"/>
      <c r="S1547" s="28"/>
    </row>
    <row r="1548" spans="1:19" x14ac:dyDescent="0.25">
      <c r="A1548" s="28"/>
      <c r="B1548" s="28"/>
      <c r="C1548" s="28"/>
      <c r="D1548" s="28"/>
      <c r="E1548" s="28"/>
      <c r="F1548" s="28"/>
      <c r="G1548" s="28"/>
      <c r="H1548" s="28"/>
      <c r="I1548" s="28"/>
      <c r="J1548" s="28"/>
      <c r="K1548" s="28"/>
      <c r="L1548" s="28"/>
      <c r="M1548" s="28"/>
      <c r="N1548" s="28"/>
      <c r="O1548" s="28"/>
      <c r="P1548" s="28"/>
      <c r="Q1548" s="28"/>
      <c r="R1548" s="28"/>
      <c r="S1548" s="28"/>
    </row>
    <row r="1549" spans="1:19" x14ac:dyDescent="0.25">
      <c r="A1549" s="28"/>
      <c r="B1549" s="28"/>
      <c r="C1549" s="28"/>
      <c r="D1549" s="28"/>
      <c r="E1549" s="28"/>
      <c r="F1549" s="28"/>
      <c r="G1549" s="28"/>
      <c r="H1549" s="28"/>
      <c r="I1549" s="28"/>
      <c r="J1549" s="28"/>
      <c r="K1549" s="28"/>
      <c r="L1549" s="28"/>
      <c r="M1549" s="28"/>
      <c r="N1549" s="28"/>
      <c r="O1549" s="28"/>
      <c r="P1549" s="28"/>
      <c r="Q1549" s="28"/>
      <c r="R1549" s="28"/>
      <c r="S1549" s="28"/>
    </row>
    <row r="1550" spans="1:19" x14ac:dyDescent="0.25">
      <c r="A1550" s="28"/>
      <c r="B1550" s="28"/>
      <c r="C1550" s="28"/>
      <c r="D1550" s="28"/>
      <c r="E1550" s="28"/>
      <c r="F1550" s="28"/>
      <c r="G1550" s="28"/>
      <c r="H1550" s="28"/>
      <c r="I1550" s="28"/>
      <c r="J1550" s="28"/>
      <c r="K1550" s="28"/>
      <c r="L1550" s="28"/>
      <c r="M1550" s="28"/>
      <c r="N1550" s="28"/>
      <c r="O1550" s="28"/>
      <c r="P1550" s="28"/>
      <c r="Q1550" s="28"/>
      <c r="R1550" s="28"/>
      <c r="S1550" s="28"/>
    </row>
    <row r="1551" spans="1:19" x14ac:dyDescent="0.25">
      <c r="A1551" s="28"/>
      <c r="B1551" s="28"/>
      <c r="C1551" s="28"/>
      <c r="D1551" s="28"/>
      <c r="E1551" s="28"/>
      <c r="F1551" s="28"/>
      <c r="G1551" s="28"/>
      <c r="H1551" s="28"/>
      <c r="I1551" s="28"/>
      <c r="J1551" s="28"/>
      <c r="K1551" s="28"/>
      <c r="L1551" s="28"/>
      <c r="M1551" s="28"/>
      <c r="N1551" s="28"/>
      <c r="O1551" s="28"/>
      <c r="P1551" s="28"/>
      <c r="Q1551" s="28"/>
      <c r="R1551" s="28"/>
      <c r="S1551" s="28"/>
    </row>
    <row r="1552" spans="1:19" x14ac:dyDescent="0.25">
      <c r="A1552" s="28"/>
      <c r="B1552" s="28"/>
      <c r="C1552" s="28"/>
      <c r="D1552" s="28"/>
      <c r="E1552" s="28"/>
      <c r="F1552" s="28"/>
      <c r="G1552" s="28"/>
      <c r="H1552" s="28"/>
      <c r="I1552" s="28"/>
      <c r="J1552" s="28"/>
      <c r="K1552" s="28"/>
      <c r="L1552" s="28"/>
      <c r="M1552" s="28"/>
      <c r="N1552" s="28"/>
      <c r="O1552" s="28"/>
      <c r="P1552" s="28"/>
      <c r="Q1552" s="28"/>
      <c r="R1552" s="28"/>
      <c r="S1552" s="28"/>
    </row>
    <row r="1553" spans="1:19" x14ac:dyDescent="0.25">
      <c r="A1553" s="28"/>
      <c r="B1553" s="28"/>
      <c r="C1553" s="28"/>
      <c r="D1553" s="28"/>
      <c r="E1553" s="28"/>
      <c r="F1553" s="28"/>
      <c r="G1553" s="28"/>
      <c r="H1553" s="28"/>
      <c r="I1553" s="28"/>
      <c r="J1553" s="28"/>
      <c r="K1553" s="28"/>
      <c r="L1553" s="28"/>
      <c r="M1553" s="28"/>
      <c r="N1553" s="28"/>
      <c r="O1553" s="28"/>
      <c r="P1553" s="28"/>
      <c r="Q1553" s="28"/>
      <c r="R1553" s="28"/>
      <c r="S1553" s="28"/>
    </row>
    <row r="1554" spans="1:19" x14ac:dyDescent="0.25">
      <c r="A1554" s="28"/>
      <c r="B1554" s="28"/>
      <c r="C1554" s="28"/>
      <c r="D1554" s="28"/>
      <c r="E1554" s="28"/>
      <c r="F1554" s="28"/>
      <c r="G1554" s="28"/>
      <c r="H1554" s="28"/>
      <c r="I1554" s="28"/>
      <c r="J1554" s="28"/>
      <c r="K1554" s="28"/>
      <c r="L1554" s="28"/>
      <c r="M1554" s="28"/>
      <c r="N1554" s="28"/>
      <c r="O1554" s="28"/>
      <c r="P1554" s="28"/>
      <c r="Q1554" s="28"/>
      <c r="R1554" s="28"/>
      <c r="S1554" s="28"/>
    </row>
    <row r="1555" spans="1:19" x14ac:dyDescent="0.25">
      <c r="A1555" s="28"/>
      <c r="B1555" s="28"/>
      <c r="C1555" s="28"/>
      <c r="D1555" s="28"/>
      <c r="E1555" s="28"/>
      <c r="F1555" s="28"/>
      <c r="G1555" s="28"/>
      <c r="H1555" s="28"/>
      <c r="I1555" s="28"/>
      <c r="J1555" s="28"/>
      <c r="K1555" s="28"/>
      <c r="L1555" s="28"/>
      <c r="M1555" s="28"/>
      <c r="N1555" s="28"/>
      <c r="O1555" s="28"/>
      <c r="P1555" s="28"/>
      <c r="Q1555" s="28"/>
      <c r="R1555" s="28"/>
      <c r="S1555" s="28"/>
    </row>
    <row r="1556" spans="1:19" x14ac:dyDescent="0.25">
      <c r="A1556" s="28"/>
      <c r="B1556" s="28"/>
      <c r="C1556" s="28"/>
      <c r="D1556" s="28"/>
      <c r="E1556" s="28"/>
      <c r="F1556" s="28"/>
      <c r="G1556" s="28"/>
      <c r="H1556" s="28"/>
      <c r="I1556" s="28"/>
      <c r="J1556" s="28"/>
      <c r="K1556" s="28"/>
      <c r="L1556" s="28"/>
      <c r="M1556" s="28"/>
      <c r="N1556" s="28"/>
      <c r="O1556" s="28"/>
      <c r="P1556" s="28"/>
      <c r="Q1556" s="28"/>
      <c r="R1556" s="28"/>
      <c r="S1556" s="28"/>
    </row>
    <row r="1557" spans="1:19" x14ac:dyDescent="0.25">
      <c r="A1557" s="28"/>
      <c r="B1557" s="28"/>
      <c r="C1557" s="28"/>
      <c r="D1557" s="28"/>
      <c r="E1557" s="28"/>
      <c r="F1557" s="28"/>
      <c r="G1557" s="28"/>
      <c r="H1557" s="28"/>
      <c r="I1557" s="28"/>
      <c r="J1557" s="28"/>
      <c r="K1557" s="28"/>
      <c r="L1557" s="28"/>
      <c r="M1557" s="28"/>
      <c r="N1557" s="28"/>
      <c r="O1557" s="28"/>
      <c r="P1557" s="28"/>
      <c r="Q1557" s="28"/>
      <c r="R1557" s="28"/>
      <c r="S1557" s="28"/>
    </row>
    <row r="1558" spans="1:19" x14ac:dyDescent="0.25">
      <c r="A1558" s="28"/>
      <c r="B1558" s="28"/>
      <c r="C1558" s="28"/>
      <c r="D1558" s="28"/>
      <c r="E1558" s="28"/>
      <c r="F1558" s="28"/>
      <c r="G1558" s="28"/>
      <c r="H1558" s="28"/>
      <c r="I1558" s="28"/>
      <c r="J1558" s="28"/>
      <c r="K1558" s="28"/>
      <c r="L1558" s="28"/>
      <c r="M1558" s="28"/>
      <c r="N1558" s="28"/>
      <c r="O1558" s="28"/>
      <c r="P1558" s="28"/>
      <c r="Q1558" s="28"/>
      <c r="R1558" s="28"/>
      <c r="S1558" s="28"/>
    </row>
    <row r="1559" spans="1:19" x14ac:dyDescent="0.25">
      <c r="A1559" s="28"/>
      <c r="B1559" s="28"/>
      <c r="C1559" s="28"/>
      <c r="D1559" s="28"/>
      <c r="E1559" s="28"/>
      <c r="F1559" s="28"/>
      <c r="G1559" s="28"/>
      <c r="H1559" s="28"/>
      <c r="I1559" s="28"/>
      <c r="J1559" s="28"/>
      <c r="K1559" s="28"/>
      <c r="L1559" s="28"/>
      <c r="M1559" s="28"/>
      <c r="N1559" s="28"/>
      <c r="O1559" s="28"/>
      <c r="P1559" s="28"/>
      <c r="Q1559" s="28"/>
      <c r="R1559" s="28"/>
      <c r="S1559" s="28"/>
    </row>
    <row r="1560" spans="1:19" x14ac:dyDescent="0.25">
      <c r="A1560" s="28"/>
      <c r="B1560" s="28"/>
      <c r="C1560" s="28"/>
      <c r="D1560" s="28"/>
      <c r="E1560" s="28"/>
      <c r="F1560" s="28"/>
      <c r="G1560" s="28"/>
      <c r="H1560" s="28"/>
      <c r="I1560" s="28"/>
      <c r="J1560" s="28"/>
      <c r="K1560" s="28"/>
      <c r="L1560" s="28"/>
      <c r="M1560" s="28"/>
      <c r="N1560" s="28"/>
      <c r="O1560" s="28"/>
      <c r="P1560" s="28"/>
      <c r="Q1560" s="28"/>
      <c r="R1560" s="28"/>
      <c r="S1560" s="28"/>
    </row>
    <row r="1561" spans="1:19" x14ac:dyDescent="0.25">
      <c r="A1561" s="28"/>
      <c r="B1561" s="28"/>
      <c r="C1561" s="28"/>
      <c r="D1561" s="28"/>
      <c r="E1561" s="28"/>
      <c r="F1561" s="28"/>
      <c r="G1561" s="28"/>
      <c r="H1561" s="28"/>
      <c r="I1561" s="28"/>
      <c r="J1561" s="28"/>
      <c r="K1561" s="28"/>
      <c r="L1561" s="28"/>
      <c r="M1561" s="28"/>
      <c r="N1561" s="28"/>
      <c r="O1561" s="28"/>
      <c r="P1561" s="28"/>
      <c r="Q1561" s="28"/>
      <c r="R1561" s="28"/>
      <c r="S1561" s="28"/>
    </row>
    <row r="1562" spans="1:19" x14ac:dyDescent="0.25">
      <c r="A1562" s="28"/>
      <c r="B1562" s="28"/>
      <c r="C1562" s="28"/>
      <c r="D1562" s="28"/>
      <c r="E1562" s="28"/>
      <c r="F1562" s="28"/>
      <c r="G1562" s="28"/>
      <c r="H1562" s="28"/>
      <c r="I1562" s="28"/>
      <c r="J1562" s="28"/>
      <c r="K1562" s="28"/>
      <c r="L1562" s="28"/>
      <c r="M1562" s="28"/>
      <c r="N1562" s="28"/>
      <c r="O1562" s="28"/>
      <c r="P1562" s="28"/>
      <c r="Q1562" s="28"/>
      <c r="R1562" s="28"/>
      <c r="S1562" s="28"/>
    </row>
    <row r="1563" spans="1:19" x14ac:dyDescent="0.25">
      <c r="A1563" s="28"/>
      <c r="B1563" s="28"/>
      <c r="C1563" s="28"/>
      <c r="D1563" s="28"/>
      <c r="E1563" s="28"/>
      <c r="F1563" s="28"/>
      <c r="G1563" s="28"/>
      <c r="H1563" s="28"/>
      <c r="I1563" s="28"/>
      <c r="J1563" s="28"/>
      <c r="K1563" s="28"/>
      <c r="L1563" s="28"/>
      <c r="M1563" s="28"/>
      <c r="N1563" s="28"/>
      <c r="O1563" s="28"/>
      <c r="P1563" s="28"/>
      <c r="Q1563" s="28"/>
      <c r="R1563" s="28"/>
      <c r="S1563" s="28"/>
    </row>
    <row r="1564" spans="1:19" x14ac:dyDescent="0.25">
      <c r="A1564" s="28"/>
      <c r="B1564" s="28"/>
      <c r="C1564" s="28"/>
      <c r="D1564" s="28"/>
      <c r="E1564" s="28"/>
      <c r="F1564" s="28"/>
      <c r="G1564" s="28"/>
      <c r="H1564" s="28"/>
      <c r="I1564" s="28"/>
      <c r="J1564" s="28"/>
      <c r="K1564" s="28"/>
      <c r="L1564" s="28"/>
      <c r="M1564" s="28"/>
      <c r="N1564" s="28"/>
      <c r="O1564" s="28"/>
      <c r="P1564" s="28"/>
      <c r="Q1564" s="28"/>
      <c r="R1564" s="28"/>
      <c r="S1564" s="28"/>
    </row>
    <row r="1565" spans="1:19" x14ac:dyDescent="0.25">
      <c r="A1565" s="28"/>
      <c r="B1565" s="28"/>
      <c r="C1565" s="28"/>
      <c r="D1565" s="28"/>
      <c r="E1565" s="28"/>
      <c r="F1565" s="28"/>
      <c r="G1565" s="28"/>
      <c r="H1565" s="28"/>
      <c r="I1565" s="28"/>
      <c r="J1565" s="28"/>
      <c r="K1565" s="28"/>
      <c r="L1565" s="28"/>
      <c r="M1565" s="28"/>
      <c r="N1565" s="28"/>
      <c r="O1565" s="28"/>
      <c r="P1565" s="28"/>
      <c r="Q1565" s="28"/>
      <c r="R1565" s="28"/>
      <c r="S1565" s="28"/>
    </row>
    <row r="1566" spans="1:19" x14ac:dyDescent="0.25">
      <c r="A1566" s="28"/>
      <c r="B1566" s="28"/>
      <c r="C1566" s="28"/>
      <c r="D1566" s="28"/>
      <c r="E1566" s="28"/>
      <c r="F1566" s="28"/>
      <c r="G1566" s="28"/>
      <c r="H1566" s="28"/>
      <c r="I1566" s="28"/>
      <c r="J1566" s="28"/>
      <c r="K1566" s="28"/>
      <c r="L1566" s="28"/>
      <c r="M1566" s="28"/>
      <c r="N1566" s="28"/>
      <c r="O1566" s="28"/>
      <c r="P1566" s="28"/>
      <c r="Q1566" s="28"/>
      <c r="R1566" s="28"/>
      <c r="S1566" s="28"/>
    </row>
    <row r="1567" spans="1:19" x14ac:dyDescent="0.25">
      <c r="A1567" s="28"/>
      <c r="B1567" s="28"/>
      <c r="C1567" s="28"/>
      <c r="D1567" s="28"/>
      <c r="E1567" s="28"/>
      <c r="F1567" s="28"/>
      <c r="G1567" s="28"/>
      <c r="H1567" s="28"/>
      <c r="I1567" s="28"/>
      <c r="J1567" s="28"/>
      <c r="K1567" s="28"/>
      <c r="L1567" s="28"/>
      <c r="M1567" s="28"/>
      <c r="N1567" s="28"/>
      <c r="O1567" s="28"/>
      <c r="P1567" s="28"/>
      <c r="Q1567" s="28"/>
      <c r="R1567" s="28"/>
      <c r="S1567" s="28"/>
    </row>
    <row r="1568" spans="1:19" x14ac:dyDescent="0.25">
      <c r="A1568" s="28"/>
      <c r="B1568" s="28"/>
      <c r="C1568" s="28"/>
      <c r="D1568" s="28"/>
      <c r="E1568" s="28"/>
      <c r="F1568" s="28"/>
      <c r="G1568" s="28"/>
      <c r="H1568" s="28"/>
      <c r="I1568" s="28"/>
      <c r="J1568" s="28"/>
      <c r="K1568" s="28"/>
      <c r="L1568" s="28"/>
      <c r="M1568" s="28"/>
      <c r="N1568" s="28"/>
      <c r="O1568" s="28"/>
      <c r="P1568" s="28"/>
      <c r="Q1568" s="28"/>
      <c r="R1568" s="28"/>
      <c r="S1568" s="28"/>
    </row>
    <row r="1569" spans="1:19" x14ac:dyDescent="0.25">
      <c r="A1569" s="28"/>
      <c r="B1569" s="28"/>
      <c r="C1569" s="28"/>
      <c r="D1569" s="28"/>
      <c r="E1569" s="28"/>
      <c r="F1569" s="28"/>
      <c r="G1569" s="28"/>
      <c r="H1569" s="28"/>
      <c r="I1569" s="28"/>
      <c r="J1569" s="28"/>
      <c r="K1569" s="28"/>
      <c r="L1569" s="28"/>
      <c r="M1569" s="28"/>
      <c r="N1569" s="28"/>
      <c r="O1569" s="28"/>
      <c r="P1569" s="28"/>
      <c r="Q1569" s="28"/>
      <c r="R1569" s="28"/>
      <c r="S1569" s="28"/>
    </row>
    <row r="1570" spans="1:19" x14ac:dyDescent="0.25">
      <c r="A1570" s="28"/>
      <c r="B1570" s="28"/>
      <c r="C1570" s="28"/>
      <c r="D1570" s="28"/>
      <c r="E1570" s="28"/>
      <c r="F1570" s="28"/>
      <c r="G1570" s="28"/>
      <c r="H1570" s="28"/>
      <c r="I1570" s="28"/>
      <c r="J1570" s="28"/>
      <c r="K1570" s="28"/>
      <c r="L1570" s="28"/>
      <c r="M1570" s="28"/>
      <c r="N1570" s="28"/>
      <c r="O1570" s="28"/>
      <c r="P1570" s="28"/>
      <c r="Q1570" s="28"/>
      <c r="R1570" s="28"/>
      <c r="S1570" s="28"/>
    </row>
    <row r="1571" spans="1:19" x14ac:dyDescent="0.25">
      <c r="A1571" s="28"/>
      <c r="B1571" s="28"/>
      <c r="C1571" s="28"/>
      <c r="D1571" s="28"/>
      <c r="E1571" s="28"/>
      <c r="F1571" s="28"/>
      <c r="G1571" s="28"/>
      <c r="H1571" s="28"/>
      <c r="I1571" s="28"/>
      <c r="J1571" s="28"/>
      <c r="K1571" s="28"/>
      <c r="L1571" s="28"/>
      <c r="M1571" s="28"/>
      <c r="N1571" s="28"/>
      <c r="O1571" s="28"/>
      <c r="P1571" s="28"/>
      <c r="Q1571" s="28"/>
      <c r="R1571" s="28"/>
      <c r="S1571" s="28"/>
    </row>
    <row r="1572" spans="1:19" x14ac:dyDescent="0.25">
      <c r="A1572" s="28"/>
      <c r="B1572" s="28"/>
      <c r="C1572" s="28"/>
      <c r="D1572" s="28"/>
      <c r="E1572" s="28"/>
      <c r="F1572" s="28"/>
      <c r="G1572" s="28"/>
      <c r="H1572" s="28"/>
      <c r="I1572" s="28"/>
      <c r="J1572" s="28"/>
      <c r="K1572" s="28"/>
      <c r="L1572" s="28"/>
      <c r="M1572" s="28"/>
      <c r="N1572" s="28"/>
      <c r="O1572" s="28"/>
      <c r="P1572" s="28"/>
      <c r="Q1572" s="28"/>
      <c r="R1572" s="28"/>
      <c r="S1572" s="28"/>
    </row>
    <row r="1573" spans="1:19" x14ac:dyDescent="0.25">
      <c r="A1573" s="28"/>
      <c r="B1573" s="28"/>
      <c r="C1573" s="28"/>
      <c r="D1573" s="28"/>
      <c r="E1573" s="28"/>
      <c r="F1573" s="28"/>
      <c r="G1573" s="28"/>
      <c r="H1573" s="28"/>
      <c r="I1573" s="28"/>
      <c r="J1573" s="28"/>
      <c r="K1573" s="28"/>
      <c r="L1573" s="28"/>
      <c r="M1573" s="28"/>
      <c r="N1573" s="28"/>
      <c r="O1573" s="28"/>
      <c r="P1573" s="28"/>
      <c r="Q1573" s="28"/>
      <c r="R1573" s="28"/>
      <c r="S1573" s="28"/>
    </row>
    <row r="1574" spans="1:19" x14ac:dyDescent="0.25">
      <c r="A1574" s="28"/>
      <c r="B1574" s="28"/>
      <c r="C1574" s="28"/>
      <c r="D1574" s="28"/>
      <c r="E1574" s="28"/>
      <c r="F1574" s="28"/>
      <c r="G1574" s="28"/>
      <c r="H1574" s="28"/>
      <c r="I1574" s="28"/>
      <c r="J1574" s="28"/>
      <c r="K1574" s="28"/>
      <c r="L1574" s="28"/>
      <c r="M1574" s="28"/>
      <c r="N1574" s="28"/>
      <c r="O1574" s="28"/>
      <c r="P1574" s="28"/>
      <c r="Q1574" s="28"/>
      <c r="R1574" s="28"/>
      <c r="S1574" s="28"/>
    </row>
    <row r="1575" spans="1:19" x14ac:dyDescent="0.25">
      <c r="A1575" s="28"/>
      <c r="B1575" s="28"/>
      <c r="C1575" s="28"/>
      <c r="D1575" s="28"/>
      <c r="E1575" s="28"/>
      <c r="F1575" s="28"/>
      <c r="G1575" s="28"/>
      <c r="H1575" s="28"/>
      <c r="I1575" s="28"/>
      <c r="J1575" s="28"/>
      <c r="K1575" s="28"/>
      <c r="L1575" s="28"/>
      <c r="M1575" s="28"/>
      <c r="N1575" s="28"/>
      <c r="O1575" s="28"/>
      <c r="P1575" s="28"/>
      <c r="Q1575" s="28"/>
      <c r="R1575" s="28"/>
      <c r="S1575" s="28"/>
    </row>
    <row r="1576" spans="1:19" x14ac:dyDescent="0.25">
      <c r="A1576" s="28"/>
      <c r="B1576" s="28"/>
      <c r="C1576" s="28"/>
      <c r="D1576" s="28"/>
      <c r="E1576" s="28"/>
      <c r="F1576" s="28"/>
      <c r="G1576" s="28"/>
      <c r="H1576" s="28"/>
      <c r="I1576" s="28"/>
      <c r="J1576" s="28"/>
      <c r="K1576" s="28"/>
      <c r="L1576" s="28"/>
      <c r="M1576" s="28"/>
      <c r="N1576" s="28"/>
      <c r="O1576" s="28"/>
      <c r="P1576" s="28"/>
      <c r="Q1576" s="28"/>
      <c r="R1576" s="28"/>
      <c r="S1576" s="28"/>
    </row>
    <row r="1577" spans="1:19" x14ac:dyDescent="0.25">
      <c r="A1577" s="28"/>
      <c r="B1577" s="28"/>
      <c r="C1577" s="28"/>
      <c r="D1577" s="28"/>
      <c r="E1577" s="28"/>
      <c r="F1577" s="28"/>
      <c r="G1577" s="28"/>
      <c r="H1577" s="28"/>
      <c r="I1577" s="28"/>
      <c r="J1577" s="28"/>
      <c r="K1577" s="28"/>
      <c r="L1577" s="28"/>
      <c r="M1577" s="28"/>
      <c r="N1577" s="28"/>
      <c r="O1577" s="28"/>
      <c r="P1577" s="28"/>
      <c r="Q1577" s="28"/>
      <c r="R1577" s="28"/>
      <c r="S1577" s="28"/>
    </row>
    <row r="1578" spans="1:19" x14ac:dyDescent="0.25">
      <c r="A1578" s="28"/>
      <c r="B1578" s="28"/>
      <c r="C1578" s="28"/>
      <c r="D1578" s="28"/>
      <c r="E1578" s="28"/>
      <c r="F1578" s="28"/>
      <c r="G1578" s="28"/>
      <c r="H1578" s="28"/>
      <c r="I1578" s="28"/>
      <c r="J1578" s="28"/>
      <c r="K1578" s="28"/>
      <c r="L1578" s="28"/>
      <c r="M1578" s="28"/>
      <c r="N1578" s="28"/>
      <c r="O1578" s="28"/>
      <c r="P1578" s="28"/>
      <c r="Q1578" s="28"/>
      <c r="R1578" s="28"/>
      <c r="S1578" s="28"/>
    </row>
    <row r="1579" spans="1:19" x14ac:dyDescent="0.25">
      <c r="A1579" s="28"/>
      <c r="B1579" s="28"/>
      <c r="C1579" s="28"/>
      <c r="D1579" s="28"/>
      <c r="E1579" s="28"/>
      <c r="F1579" s="28"/>
      <c r="G1579" s="28"/>
      <c r="H1579" s="28"/>
      <c r="I1579" s="28"/>
      <c r="J1579" s="28"/>
      <c r="K1579" s="28"/>
      <c r="L1579" s="28"/>
      <c r="M1579" s="28"/>
      <c r="N1579" s="28"/>
      <c r="O1579" s="28"/>
      <c r="P1579" s="28"/>
      <c r="Q1579" s="28"/>
      <c r="R1579" s="28"/>
      <c r="S1579" s="28"/>
    </row>
    <row r="1580" spans="1:19" x14ac:dyDescent="0.25">
      <c r="A1580" s="28"/>
      <c r="B1580" s="28"/>
      <c r="C1580" s="28"/>
      <c r="D1580" s="28"/>
      <c r="E1580" s="28"/>
      <c r="F1580" s="28"/>
      <c r="G1580" s="28"/>
      <c r="H1580" s="28"/>
      <c r="I1580" s="28"/>
      <c r="J1580" s="28"/>
      <c r="K1580" s="28"/>
      <c r="L1580" s="28"/>
      <c r="M1580" s="28"/>
      <c r="N1580" s="28"/>
      <c r="O1580" s="28"/>
      <c r="P1580" s="28"/>
      <c r="Q1580" s="28"/>
      <c r="R1580" s="28"/>
      <c r="S1580" s="28"/>
    </row>
    <row r="1581" spans="1:19" x14ac:dyDescent="0.25">
      <c r="A1581" s="28"/>
      <c r="B1581" s="28"/>
      <c r="C1581" s="28"/>
      <c r="D1581" s="28"/>
      <c r="E1581" s="28"/>
      <c r="F1581" s="28"/>
      <c r="G1581" s="28"/>
      <c r="H1581" s="28"/>
      <c r="I1581" s="28"/>
      <c r="J1581" s="28"/>
      <c r="K1581" s="28"/>
      <c r="L1581" s="28"/>
      <c r="M1581" s="28"/>
      <c r="N1581" s="28"/>
      <c r="O1581" s="28"/>
      <c r="P1581" s="28"/>
      <c r="Q1581" s="28"/>
      <c r="R1581" s="28"/>
      <c r="S1581" s="28"/>
    </row>
    <row r="1582" spans="1:19" x14ac:dyDescent="0.25">
      <c r="A1582" s="28"/>
      <c r="B1582" s="28"/>
      <c r="C1582" s="28"/>
      <c r="D1582" s="28"/>
      <c r="E1582" s="28"/>
      <c r="F1582" s="28"/>
      <c r="G1582" s="28"/>
      <c r="H1582" s="28"/>
      <c r="I1582" s="28"/>
      <c r="J1582" s="28"/>
      <c r="K1582" s="28"/>
      <c r="L1582" s="28"/>
      <c r="M1582" s="28"/>
      <c r="N1582" s="28"/>
      <c r="O1582" s="28"/>
      <c r="P1582" s="28"/>
      <c r="Q1582" s="28"/>
      <c r="R1582" s="28"/>
      <c r="S1582" s="28"/>
    </row>
    <row r="1583" spans="1:19" x14ac:dyDescent="0.25">
      <c r="A1583" s="28"/>
      <c r="B1583" s="28"/>
      <c r="C1583" s="28"/>
      <c r="D1583" s="28"/>
      <c r="E1583" s="28"/>
      <c r="F1583" s="28"/>
      <c r="G1583" s="28"/>
      <c r="H1583" s="28"/>
      <c r="I1583" s="28"/>
      <c r="J1583" s="28"/>
      <c r="K1583" s="28"/>
      <c r="L1583" s="28"/>
      <c r="M1583" s="28"/>
      <c r="N1583" s="28"/>
      <c r="O1583" s="28"/>
      <c r="P1583" s="28"/>
      <c r="Q1583" s="28"/>
      <c r="R1583" s="28"/>
      <c r="S1583" s="28"/>
    </row>
    <row r="1584" spans="1:19" x14ac:dyDescent="0.25">
      <c r="A1584" s="28"/>
      <c r="B1584" s="28"/>
      <c r="C1584" s="28"/>
      <c r="D1584" s="28"/>
      <c r="E1584" s="28"/>
      <c r="F1584" s="28"/>
      <c r="G1584" s="28"/>
      <c r="H1584" s="28"/>
      <c r="I1584" s="28"/>
      <c r="J1584" s="28"/>
      <c r="K1584" s="28"/>
      <c r="L1584" s="28"/>
      <c r="M1584" s="28"/>
      <c r="N1584" s="28"/>
      <c r="O1584" s="28"/>
      <c r="P1584" s="28"/>
      <c r="Q1584" s="28"/>
      <c r="R1584" s="28"/>
      <c r="S1584" s="28"/>
    </row>
    <row r="1585" spans="1:19" x14ac:dyDescent="0.25">
      <c r="A1585" s="28"/>
      <c r="B1585" s="28"/>
      <c r="C1585" s="28"/>
      <c r="D1585" s="28"/>
      <c r="E1585" s="28"/>
      <c r="F1585" s="28"/>
      <c r="G1585" s="28"/>
      <c r="H1585" s="28"/>
      <c r="I1585" s="28"/>
      <c r="J1585" s="28"/>
      <c r="K1585" s="28"/>
      <c r="L1585" s="28"/>
      <c r="M1585" s="28"/>
      <c r="N1585" s="28"/>
      <c r="O1585" s="28"/>
      <c r="P1585" s="28"/>
      <c r="Q1585" s="28"/>
      <c r="R1585" s="28"/>
      <c r="S1585" s="28"/>
    </row>
    <row r="1586" spans="1:19" x14ac:dyDescent="0.25">
      <c r="A1586" s="28"/>
      <c r="B1586" s="28"/>
      <c r="C1586" s="28"/>
      <c r="D1586" s="28"/>
      <c r="E1586" s="28"/>
      <c r="F1586" s="28"/>
      <c r="G1586" s="28"/>
      <c r="H1586" s="28"/>
      <c r="I1586" s="28"/>
      <c r="J1586" s="28"/>
      <c r="K1586" s="28"/>
      <c r="L1586" s="28"/>
      <c r="M1586" s="28"/>
      <c r="N1586" s="28"/>
      <c r="O1586" s="28"/>
      <c r="P1586" s="28"/>
      <c r="Q1586" s="28"/>
      <c r="R1586" s="28"/>
      <c r="S1586" s="28"/>
    </row>
    <row r="1587" spans="1:19" x14ac:dyDescent="0.25">
      <c r="A1587" s="28"/>
      <c r="B1587" s="28"/>
      <c r="C1587" s="28"/>
      <c r="D1587" s="28"/>
      <c r="E1587" s="28"/>
      <c r="F1587" s="28"/>
      <c r="G1587" s="28"/>
      <c r="H1587" s="28"/>
      <c r="I1587" s="28"/>
      <c r="J1587" s="28"/>
      <c r="K1587" s="28"/>
      <c r="L1587" s="28"/>
      <c r="M1587" s="28"/>
      <c r="N1587" s="28"/>
      <c r="O1587" s="28"/>
      <c r="P1587" s="28"/>
      <c r="Q1587" s="28"/>
      <c r="R1587" s="28"/>
      <c r="S1587" s="28"/>
    </row>
    <row r="1588" spans="1:19" x14ac:dyDescent="0.25">
      <c r="A1588" s="28"/>
      <c r="B1588" s="28"/>
      <c r="C1588" s="28"/>
      <c r="D1588" s="28"/>
      <c r="E1588" s="28"/>
      <c r="F1588" s="28"/>
      <c r="G1588" s="28"/>
      <c r="H1588" s="28"/>
      <c r="I1588" s="28"/>
      <c r="J1588" s="28"/>
      <c r="K1588" s="28"/>
      <c r="L1588" s="28"/>
      <c r="M1588" s="28"/>
      <c r="N1588" s="28"/>
      <c r="O1588" s="28"/>
      <c r="P1588" s="28"/>
      <c r="Q1588" s="28"/>
      <c r="R1588" s="28"/>
      <c r="S1588" s="28"/>
    </row>
    <row r="1589" spans="1:19" x14ac:dyDescent="0.25">
      <c r="A1589" s="28"/>
      <c r="B1589" s="28"/>
      <c r="C1589" s="28"/>
      <c r="D1589" s="28"/>
      <c r="E1589" s="28"/>
      <c r="F1589" s="28"/>
      <c r="G1589" s="28"/>
      <c r="H1589" s="28"/>
      <c r="I1589" s="28"/>
      <c r="J1589" s="28"/>
      <c r="K1589" s="28"/>
      <c r="L1589" s="28"/>
      <c r="M1589" s="28"/>
      <c r="N1589" s="28"/>
      <c r="O1589" s="28"/>
      <c r="P1589" s="28"/>
      <c r="Q1589" s="28"/>
      <c r="R1589" s="28"/>
      <c r="S1589" s="28"/>
    </row>
    <row r="1590" spans="1:19" x14ac:dyDescent="0.25">
      <c r="A1590" s="28"/>
      <c r="B1590" s="28"/>
      <c r="C1590" s="28"/>
      <c r="D1590" s="28"/>
      <c r="E1590" s="28"/>
      <c r="F1590" s="28"/>
      <c r="G1590" s="28"/>
      <c r="H1590" s="28"/>
      <c r="I1590" s="28"/>
      <c r="J1590" s="28"/>
      <c r="K1590" s="28"/>
      <c r="L1590" s="28"/>
      <c r="M1590" s="28"/>
      <c r="N1590" s="28"/>
      <c r="O1590" s="28"/>
      <c r="P1590" s="28"/>
      <c r="Q1590" s="28"/>
      <c r="R1590" s="28"/>
      <c r="S1590" s="28"/>
    </row>
    <row r="1591" spans="1:19" x14ac:dyDescent="0.25">
      <c r="A1591" s="28"/>
      <c r="B1591" s="28"/>
      <c r="C1591" s="28"/>
      <c r="D1591" s="28"/>
      <c r="E1591" s="28"/>
      <c r="F1591" s="28"/>
      <c r="G1591" s="28"/>
      <c r="H1591" s="28"/>
      <c r="I1591" s="28"/>
      <c r="J1591" s="28"/>
      <c r="K1591" s="28"/>
      <c r="L1591" s="28"/>
      <c r="M1591" s="28"/>
      <c r="N1591" s="28"/>
      <c r="O1591" s="28"/>
      <c r="P1591" s="28"/>
      <c r="Q1591" s="28"/>
      <c r="R1591" s="28"/>
      <c r="S1591" s="28"/>
    </row>
    <row r="1592" spans="1:19" x14ac:dyDescent="0.25">
      <c r="A1592" s="28"/>
      <c r="B1592" s="28"/>
      <c r="C1592" s="28"/>
      <c r="D1592" s="28"/>
      <c r="E1592" s="28"/>
      <c r="F1592" s="28"/>
      <c r="G1592" s="28"/>
      <c r="H1592" s="28"/>
      <c r="I1592" s="28"/>
      <c r="J1592" s="28"/>
      <c r="K1592" s="28"/>
      <c r="L1592" s="28"/>
      <c r="M1592" s="28"/>
      <c r="N1592" s="28"/>
      <c r="O1592" s="28"/>
      <c r="P1592" s="28"/>
      <c r="Q1592" s="28"/>
      <c r="R1592" s="28"/>
      <c r="S1592" s="28"/>
    </row>
    <row r="1593" spans="1:19" x14ac:dyDescent="0.25">
      <c r="A1593" s="28"/>
      <c r="B1593" s="28"/>
      <c r="C1593" s="28"/>
      <c r="D1593" s="28"/>
      <c r="E1593" s="28"/>
      <c r="F1593" s="28"/>
      <c r="G1593" s="28"/>
      <c r="H1593" s="28"/>
      <c r="I1593" s="28"/>
      <c r="J1593" s="28"/>
      <c r="K1593" s="28"/>
      <c r="L1593" s="28"/>
      <c r="M1593" s="28"/>
      <c r="N1593" s="28"/>
      <c r="O1593" s="28"/>
      <c r="P1593" s="28"/>
      <c r="Q1593" s="28"/>
      <c r="R1593" s="28"/>
      <c r="S1593" s="28"/>
    </row>
    <row r="1594" spans="1:19" x14ac:dyDescent="0.25">
      <c r="A1594" s="28"/>
      <c r="B1594" s="28"/>
      <c r="C1594" s="28"/>
      <c r="D1594" s="28"/>
      <c r="E1594" s="28"/>
      <c r="F1594" s="28"/>
      <c r="G1594" s="28"/>
      <c r="H1594" s="28"/>
      <c r="I1594" s="28"/>
      <c r="J1594" s="28"/>
      <c r="K1594" s="28"/>
      <c r="L1594" s="28"/>
      <c r="M1594" s="28"/>
      <c r="N1594" s="28"/>
      <c r="O1594" s="28"/>
      <c r="P1594" s="28"/>
      <c r="Q1594" s="28"/>
      <c r="R1594" s="28"/>
      <c r="S1594" s="28"/>
    </row>
    <row r="1595" spans="1:19" x14ac:dyDescent="0.25">
      <c r="A1595" s="28"/>
      <c r="B1595" s="28"/>
      <c r="C1595" s="28"/>
      <c r="D1595" s="28"/>
      <c r="E1595" s="28"/>
      <c r="F1595" s="28"/>
      <c r="G1595" s="28"/>
      <c r="H1595" s="28"/>
      <c r="I1595" s="28"/>
      <c r="J1595" s="28"/>
      <c r="K1595" s="28"/>
      <c r="L1595" s="28"/>
      <c r="M1595" s="28"/>
      <c r="N1595" s="28"/>
      <c r="O1595" s="28"/>
      <c r="P1595" s="28"/>
      <c r="Q1595" s="28"/>
      <c r="R1595" s="28"/>
      <c r="S1595" s="28"/>
    </row>
    <row r="1596" spans="1:19" x14ac:dyDescent="0.25">
      <c r="A1596" s="28"/>
      <c r="B1596" s="28"/>
      <c r="C1596" s="28"/>
      <c r="D1596" s="28"/>
      <c r="E1596" s="28"/>
      <c r="F1596" s="28"/>
      <c r="G1596" s="28"/>
      <c r="H1596" s="28"/>
      <c r="I1596" s="28"/>
      <c r="J1596" s="28"/>
      <c r="K1596" s="28"/>
      <c r="L1596" s="28"/>
      <c r="M1596" s="28"/>
      <c r="N1596" s="28"/>
      <c r="O1596" s="28"/>
      <c r="P1596" s="28"/>
      <c r="Q1596" s="28"/>
      <c r="R1596" s="28"/>
      <c r="S1596" s="28"/>
    </row>
    <row r="1597" spans="1:19" x14ac:dyDescent="0.25">
      <c r="A1597" s="28"/>
      <c r="B1597" s="28"/>
      <c r="C1597" s="28"/>
      <c r="D1597" s="28"/>
      <c r="E1597" s="28"/>
      <c r="F1597" s="28"/>
      <c r="G1597" s="28"/>
      <c r="H1597" s="28"/>
      <c r="I1597" s="28"/>
      <c r="J1597" s="28"/>
      <c r="K1597" s="28"/>
      <c r="L1597" s="28"/>
      <c r="M1597" s="28"/>
      <c r="N1597" s="28"/>
      <c r="O1597" s="28"/>
      <c r="P1597" s="28"/>
      <c r="Q1597" s="28"/>
      <c r="R1597" s="28"/>
      <c r="S1597" s="28"/>
    </row>
    <row r="1598" spans="1:19" x14ac:dyDescent="0.25">
      <c r="A1598" s="28"/>
      <c r="B1598" s="28"/>
      <c r="C1598" s="28"/>
      <c r="D1598" s="28"/>
      <c r="E1598" s="28"/>
      <c r="F1598" s="28"/>
      <c r="G1598" s="28"/>
      <c r="H1598" s="28"/>
      <c r="I1598" s="28"/>
      <c r="J1598" s="28"/>
      <c r="K1598" s="28"/>
      <c r="L1598" s="28"/>
      <c r="M1598" s="28"/>
      <c r="N1598" s="28"/>
      <c r="O1598" s="28"/>
      <c r="P1598" s="28"/>
      <c r="Q1598" s="28"/>
      <c r="R1598" s="28"/>
      <c r="S1598" s="28"/>
    </row>
    <row r="1599" spans="1:19" x14ac:dyDescent="0.25">
      <c r="A1599" s="28"/>
      <c r="B1599" s="28"/>
      <c r="C1599" s="28"/>
      <c r="D1599" s="28"/>
      <c r="E1599" s="28"/>
      <c r="F1599" s="28"/>
      <c r="G1599" s="28"/>
      <c r="H1599" s="28"/>
      <c r="I1599" s="28"/>
      <c r="J1599" s="28"/>
      <c r="K1599" s="28"/>
      <c r="L1599" s="28"/>
      <c r="M1599" s="28"/>
      <c r="N1599" s="28"/>
      <c r="O1599" s="28"/>
      <c r="P1599" s="28"/>
      <c r="Q1599" s="28"/>
      <c r="R1599" s="28"/>
      <c r="S1599" s="28"/>
    </row>
    <row r="1600" spans="1:19" x14ac:dyDescent="0.25">
      <c r="A1600" s="28"/>
      <c r="B1600" s="28"/>
      <c r="C1600" s="28"/>
      <c r="D1600" s="28"/>
      <c r="E1600" s="28"/>
      <c r="F1600" s="28"/>
      <c r="G1600" s="28"/>
      <c r="H1600" s="28"/>
      <c r="I1600" s="28"/>
      <c r="J1600" s="28"/>
      <c r="K1600" s="28"/>
      <c r="L1600" s="28"/>
      <c r="M1600" s="28"/>
      <c r="N1600" s="28"/>
      <c r="O1600" s="28"/>
      <c r="P1600" s="28"/>
      <c r="Q1600" s="28"/>
      <c r="R1600" s="28"/>
      <c r="S1600" s="28"/>
    </row>
    <row r="1601" spans="1:19" x14ac:dyDescent="0.25">
      <c r="A1601" s="28"/>
      <c r="B1601" s="28"/>
      <c r="C1601" s="28"/>
      <c r="D1601" s="28"/>
      <c r="E1601" s="28"/>
      <c r="F1601" s="28"/>
      <c r="G1601" s="28"/>
      <c r="H1601" s="28"/>
      <c r="I1601" s="28"/>
      <c r="J1601" s="28"/>
      <c r="K1601" s="28"/>
      <c r="L1601" s="28"/>
      <c r="M1601" s="28"/>
      <c r="N1601" s="28"/>
      <c r="O1601" s="28"/>
      <c r="P1601" s="28"/>
      <c r="Q1601" s="28"/>
      <c r="R1601" s="28"/>
      <c r="S1601" s="28"/>
    </row>
    <row r="1602" spans="1:19" x14ac:dyDescent="0.25">
      <c r="A1602" s="28"/>
      <c r="B1602" s="28"/>
      <c r="C1602" s="28"/>
      <c r="D1602" s="28"/>
      <c r="E1602" s="28"/>
      <c r="F1602" s="28"/>
      <c r="G1602" s="28"/>
      <c r="H1602" s="28"/>
      <c r="I1602" s="28"/>
      <c r="J1602" s="28"/>
      <c r="K1602" s="28"/>
      <c r="L1602" s="28"/>
      <c r="M1602" s="28"/>
      <c r="N1602" s="28"/>
      <c r="O1602" s="28"/>
      <c r="P1602" s="28"/>
      <c r="Q1602" s="28"/>
      <c r="R1602" s="28"/>
      <c r="S1602" s="28"/>
    </row>
    <row r="1603" spans="1:19" x14ac:dyDescent="0.25">
      <c r="A1603" s="28"/>
      <c r="B1603" s="28"/>
      <c r="C1603" s="28"/>
      <c r="D1603" s="28"/>
      <c r="E1603" s="28"/>
      <c r="F1603" s="28"/>
      <c r="G1603" s="28"/>
      <c r="H1603" s="28"/>
      <c r="I1603" s="28"/>
      <c r="J1603" s="28"/>
      <c r="K1603" s="28"/>
      <c r="L1603" s="28"/>
      <c r="M1603" s="28"/>
      <c r="N1603" s="28"/>
      <c r="O1603" s="28"/>
      <c r="P1603" s="28"/>
      <c r="Q1603" s="28"/>
      <c r="R1603" s="28"/>
      <c r="S1603" s="28"/>
    </row>
    <row r="1604" spans="1:19" x14ac:dyDescent="0.25">
      <c r="A1604" s="28"/>
      <c r="B1604" s="28"/>
      <c r="C1604" s="28"/>
      <c r="D1604" s="28"/>
      <c r="E1604" s="28"/>
      <c r="F1604" s="28"/>
      <c r="G1604" s="28"/>
      <c r="H1604" s="28"/>
      <c r="I1604" s="28"/>
      <c r="J1604" s="28"/>
      <c r="K1604" s="28"/>
      <c r="L1604" s="28"/>
      <c r="M1604" s="28"/>
      <c r="N1604" s="28"/>
      <c r="O1604" s="28"/>
      <c r="P1604" s="28"/>
      <c r="Q1604" s="28"/>
      <c r="R1604" s="28"/>
      <c r="S1604" s="28"/>
    </row>
    <row r="1605" spans="1:19" x14ac:dyDescent="0.25">
      <c r="A1605" s="28"/>
      <c r="B1605" s="28"/>
      <c r="C1605" s="28"/>
      <c r="D1605" s="28"/>
      <c r="E1605" s="28"/>
      <c r="F1605" s="28"/>
      <c r="G1605" s="28"/>
      <c r="H1605" s="28"/>
      <c r="I1605" s="28"/>
      <c r="J1605" s="28"/>
      <c r="K1605" s="28"/>
      <c r="L1605" s="28"/>
      <c r="M1605" s="28"/>
      <c r="N1605" s="28"/>
      <c r="O1605" s="28"/>
      <c r="P1605" s="28"/>
      <c r="Q1605" s="28"/>
      <c r="R1605" s="28"/>
      <c r="S1605" s="28"/>
    </row>
    <row r="1606" spans="1:19" x14ac:dyDescent="0.25">
      <c r="A1606" s="28"/>
      <c r="B1606" s="28"/>
      <c r="C1606" s="28"/>
      <c r="D1606" s="28"/>
      <c r="E1606" s="28"/>
      <c r="F1606" s="28"/>
      <c r="G1606" s="28"/>
      <c r="H1606" s="28"/>
      <c r="I1606" s="28"/>
      <c r="J1606" s="28"/>
      <c r="K1606" s="28"/>
      <c r="L1606" s="28"/>
      <c r="M1606" s="28"/>
      <c r="N1606" s="28"/>
      <c r="O1606" s="28"/>
      <c r="P1606" s="28"/>
      <c r="Q1606" s="28"/>
      <c r="R1606" s="28"/>
      <c r="S1606" s="28"/>
    </row>
    <row r="1607" spans="1:19" x14ac:dyDescent="0.25">
      <c r="A1607" s="28"/>
      <c r="B1607" s="28"/>
      <c r="C1607" s="28"/>
      <c r="D1607" s="28"/>
      <c r="E1607" s="28"/>
      <c r="F1607" s="28"/>
      <c r="G1607" s="28"/>
      <c r="H1607" s="28"/>
      <c r="I1607" s="28"/>
      <c r="J1607" s="28"/>
      <c r="K1607" s="28"/>
      <c r="L1607" s="28"/>
      <c r="M1607" s="28"/>
      <c r="N1607" s="28"/>
      <c r="O1607" s="28"/>
      <c r="P1607" s="28"/>
      <c r="Q1607" s="28"/>
      <c r="R1607" s="28"/>
      <c r="S1607" s="28"/>
    </row>
    <row r="1608" spans="1:19" x14ac:dyDescent="0.25">
      <c r="A1608" s="28"/>
      <c r="B1608" s="28"/>
      <c r="C1608" s="28"/>
      <c r="D1608" s="28"/>
      <c r="E1608" s="28"/>
      <c r="F1608" s="28"/>
      <c r="G1608" s="28"/>
      <c r="H1608" s="28"/>
      <c r="I1608" s="28"/>
      <c r="J1608" s="28"/>
      <c r="K1608" s="28"/>
      <c r="L1608" s="28"/>
      <c r="M1608" s="28"/>
      <c r="N1608" s="28"/>
      <c r="O1608" s="28"/>
      <c r="P1608" s="28"/>
      <c r="Q1608" s="28"/>
      <c r="R1608" s="28"/>
      <c r="S1608" s="28"/>
    </row>
    <row r="1609" spans="1:19" x14ac:dyDescent="0.25">
      <c r="A1609" s="28"/>
      <c r="B1609" s="28"/>
      <c r="C1609" s="28"/>
      <c r="D1609" s="28"/>
      <c r="E1609" s="28"/>
      <c r="F1609" s="28"/>
      <c r="G1609" s="28"/>
      <c r="H1609" s="28"/>
      <c r="I1609" s="28"/>
      <c r="J1609" s="28"/>
      <c r="K1609" s="28"/>
      <c r="L1609" s="28"/>
      <c r="M1609" s="28"/>
      <c r="N1609" s="28"/>
      <c r="O1609" s="28"/>
      <c r="P1609" s="28"/>
      <c r="Q1609" s="28"/>
      <c r="R1609" s="28"/>
      <c r="S1609" s="28"/>
    </row>
    <row r="1610" spans="1:19" x14ac:dyDescent="0.25">
      <c r="A1610" s="28"/>
      <c r="B1610" s="28"/>
      <c r="C1610" s="28"/>
      <c r="D1610" s="28"/>
      <c r="E1610" s="28"/>
      <c r="F1610" s="28"/>
      <c r="G1610" s="28"/>
      <c r="H1610" s="28"/>
      <c r="I1610" s="28"/>
      <c r="J1610" s="28"/>
      <c r="K1610" s="28"/>
      <c r="L1610" s="28"/>
      <c r="M1610" s="28"/>
      <c r="N1610" s="28"/>
      <c r="O1610" s="28"/>
      <c r="P1610" s="28"/>
      <c r="Q1610" s="28"/>
      <c r="R1610" s="28"/>
      <c r="S1610" s="28"/>
    </row>
    <row r="1611" spans="1:19" x14ac:dyDescent="0.25">
      <c r="A1611" s="28"/>
      <c r="B1611" s="28"/>
      <c r="C1611" s="28"/>
      <c r="D1611" s="28"/>
      <c r="E1611" s="28"/>
      <c r="F1611" s="28"/>
      <c r="G1611" s="28"/>
      <c r="H1611" s="28"/>
      <c r="I1611" s="28"/>
      <c r="J1611" s="28"/>
      <c r="K1611" s="28"/>
      <c r="L1611" s="28"/>
      <c r="M1611" s="28"/>
      <c r="N1611" s="28"/>
      <c r="O1611" s="28"/>
      <c r="P1611" s="28"/>
      <c r="Q1611" s="28"/>
      <c r="R1611" s="28"/>
      <c r="S1611" s="28"/>
    </row>
    <row r="1612" spans="1:19" x14ac:dyDescent="0.25">
      <c r="A1612" s="28"/>
      <c r="B1612" s="28"/>
      <c r="C1612" s="28"/>
      <c r="D1612" s="28"/>
      <c r="E1612" s="28"/>
      <c r="F1612" s="28"/>
      <c r="G1612" s="28"/>
      <c r="H1612" s="28"/>
      <c r="I1612" s="28"/>
      <c r="J1612" s="28"/>
      <c r="K1612" s="28"/>
      <c r="L1612" s="28"/>
      <c r="M1612" s="28"/>
      <c r="N1612" s="28"/>
      <c r="O1612" s="28"/>
      <c r="P1612" s="28"/>
      <c r="Q1612" s="28"/>
      <c r="R1612" s="28"/>
      <c r="S1612" s="28"/>
    </row>
    <row r="1613" spans="1:19" x14ac:dyDescent="0.25">
      <c r="A1613" s="28"/>
      <c r="B1613" s="28"/>
      <c r="C1613" s="28"/>
      <c r="D1613" s="28"/>
      <c r="E1613" s="28"/>
      <c r="F1613" s="28"/>
      <c r="G1613" s="28"/>
      <c r="H1613" s="28"/>
      <c r="I1613" s="28"/>
      <c r="J1613" s="28"/>
      <c r="K1613" s="28"/>
      <c r="L1613" s="28"/>
      <c r="M1613" s="28"/>
      <c r="N1613" s="28"/>
      <c r="O1613" s="28"/>
      <c r="P1613" s="28"/>
      <c r="Q1613" s="28"/>
      <c r="R1613" s="28"/>
      <c r="S1613" s="28"/>
    </row>
    <row r="1614" spans="1:19" x14ac:dyDescent="0.25">
      <c r="A1614" s="28"/>
      <c r="B1614" s="28"/>
      <c r="C1614" s="28"/>
      <c r="D1614" s="28"/>
      <c r="E1614" s="28"/>
      <c r="F1614" s="28"/>
      <c r="G1614" s="28"/>
      <c r="H1614" s="28"/>
      <c r="I1614" s="28"/>
      <c r="J1614" s="28"/>
      <c r="K1614" s="28"/>
      <c r="L1614" s="28"/>
      <c r="M1614" s="28"/>
      <c r="N1614" s="28"/>
      <c r="O1614" s="28"/>
      <c r="P1614" s="28"/>
      <c r="Q1614" s="28"/>
      <c r="R1614" s="28"/>
      <c r="S1614" s="28"/>
    </row>
    <row r="1615" spans="1:19" x14ac:dyDescent="0.25">
      <c r="A1615" s="28"/>
      <c r="B1615" s="28"/>
      <c r="C1615" s="28"/>
      <c r="D1615" s="28"/>
      <c r="E1615" s="28"/>
      <c r="F1615" s="28"/>
      <c r="G1615" s="28"/>
      <c r="H1615" s="28"/>
      <c r="I1615" s="28"/>
      <c r="J1615" s="28"/>
      <c r="K1615" s="28"/>
      <c r="L1615" s="28"/>
      <c r="M1615" s="28"/>
      <c r="N1615" s="28"/>
      <c r="O1615" s="28"/>
      <c r="P1615" s="28"/>
      <c r="Q1615" s="28"/>
      <c r="R1615" s="28"/>
      <c r="S1615" s="28"/>
    </row>
    <row r="1616" spans="1:19" x14ac:dyDescent="0.25">
      <c r="A1616" s="28"/>
      <c r="B1616" s="28"/>
      <c r="C1616" s="28"/>
      <c r="D1616" s="28"/>
      <c r="E1616" s="28"/>
      <c r="F1616" s="28"/>
      <c r="G1616" s="28"/>
      <c r="H1616" s="28"/>
      <c r="I1616" s="28"/>
      <c r="J1616" s="28"/>
      <c r="K1616" s="28"/>
      <c r="L1616" s="28"/>
      <c r="M1616" s="28"/>
      <c r="N1616" s="28"/>
      <c r="O1616" s="28"/>
      <c r="P1616" s="28"/>
      <c r="Q1616" s="28"/>
      <c r="R1616" s="28"/>
      <c r="S1616" s="28"/>
    </row>
    <row r="1617" spans="1:19" x14ac:dyDescent="0.25">
      <c r="A1617" s="28"/>
      <c r="B1617" s="28"/>
      <c r="C1617" s="28"/>
      <c r="D1617" s="28"/>
      <c r="E1617" s="28"/>
      <c r="F1617" s="28"/>
      <c r="G1617" s="28"/>
      <c r="H1617" s="28"/>
      <c r="I1617" s="28"/>
      <c r="J1617" s="28"/>
      <c r="K1617" s="28"/>
      <c r="L1617" s="28"/>
      <c r="M1617" s="28"/>
      <c r="N1617" s="28"/>
      <c r="O1617" s="28"/>
      <c r="P1617" s="28"/>
      <c r="Q1617" s="28"/>
      <c r="R1617" s="28"/>
      <c r="S1617" s="28"/>
    </row>
    <row r="1618" spans="1:19" x14ac:dyDescent="0.25">
      <c r="A1618" s="28"/>
      <c r="B1618" s="28"/>
      <c r="C1618" s="28"/>
      <c r="D1618" s="28"/>
      <c r="E1618" s="28"/>
      <c r="F1618" s="28"/>
      <c r="G1618" s="28"/>
      <c r="H1618" s="28"/>
      <c r="I1618" s="28"/>
      <c r="J1618" s="28"/>
      <c r="K1618" s="28"/>
      <c r="L1618" s="28"/>
      <c r="M1618" s="28"/>
      <c r="N1618" s="28"/>
      <c r="O1618" s="28"/>
      <c r="P1618" s="28"/>
      <c r="Q1618" s="28"/>
      <c r="R1618" s="28"/>
      <c r="S1618" s="28"/>
    </row>
    <row r="1619" spans="1:19" x14ac:dyDescent="0.25">
      <c r="A1619" s="28"/>
      <c r="B1619" s="28"/>
      <c r="C1619" s="28"/>
      <c r="D1619" s="28"/>
      <c r="E1619" s="28"/>
      <c r="F1619" s="28"/>
      <c r="G1619" s="28"/>
      <c r="H1619" s="28"/>
      <c r="I1619" s="28"/>
      <c r="J1619" s="28"/>
      <c r="K1619" s="28"/>
      <c r="L1619" s="28"/>
      <c r="M1619" s="28"/>
      <c r="N1619" s="28"/>
      <c r="O1619" s="28"/>
      <c r="P1619" s="28"/>
      <c r="Q1619" s="28"/>
      <c r="R1619" s="28"/>
      <c r="S1619" s="28"/>
    </row>
    <row r="1620" spans="1:19" x14ac:dyDescent="0.25">
      <c r="A1620" s="28"/>
      <c r="B1620" s="28"/>
      <c r="C1620" s="28"/>
      <c r="D1620" s="28"/>
      <c r="E1620" s="28"/>
      <c r="F1620" s="28"/>
      <c r="G1620" s="28"/>
      <c r="H1620" s="28"/>
      <c r="I1620" s="28"/>
      <c r="J1620" s="28"/>
      <c r="K1620" s="28"/>
      <c r="L1620" s="28"/>
      <c r="M1620" s="28"/>
      <c r="N1620" s="28"/>
      <c r="O1620" s="28"/>
      <c r="P1620" s="28"/>
      <c r="Q1620" s="28"/>
      <c r="R1620" s="28"/>
      <c r="S1620" s="28"/>
    </row>
    <row r="1621" spans="1:19" x14ac:dyDescent="0.25">
      <c r="A1621" s="28"/>
      <c r="B1621" s="28"/>
      <c r="C1621" s="28"/>
      <c r="D1621" s="28"/>
      <c r="E1621" s="28"/>
      <c r="F1621" s="28"/>
      <c r="G1621" s="28"/>
      <c r="H1621" s="28"/>
      <c r="I1621" s="28"/>
      <c r="J1621" s="28"/>
      <c r="K1621" s="28"/>
      <c r="L1621" s="28"/>
      <c r="M1621" s="28"/>
      <c r="N1621" s="28"/>
      <c r="O1621" s="28"/>
      <c r="P1621" s="28"/>
      <c r="Q1621" s="28"/>
      <c r="R1621" s="28"/>
      <c r="S1621" s="28"/>
    </row>
    <row r="1622" spans="1:19" x14ac:dyDescent="0.25">
      <c r="A1622" s="28"/>
      <c r="B1622" s="28"/>
      <c r="C1622" s="28"/>
      <c r="D1622" s="28"/>
      <c r="E1622" s="28"/>
      <c r="F1622" s="28"/>
      <c r="G1622" s="28"/>
      <c r="H1622" s="28"/>
      <c r="I1622" s="28"/>
      <c r="J1622" s="28"/>
      <c r="K1622" s="28"/>
      <c r="L1622" s="28"/>
      <c r="M1622" s="28"/>
      <c r="N1622" s="28"/>
      <c r="O1622" s="28"/>
      <c r="P1622" s="28"/>
      <c r="Q1622" s="28"/>
      <c r="R1622" s="28"/>
      <c r="S1622" s="28"/>
    </row>
    <row r="1623" spans="1:19" x14ac:dyDescent="0.25">
      <c r="A1623" s="28"/>
      <c r="B1623" s="28"/>
      <c r="C1623" s="28"/>
      <c r="D1623" s="28"/>
      <c r="E1623" s="28"/>
      <c r="F1623" s="28"/>
      <c r="G1623" s="28"/>
      <c r="H1623" s="28"/>
      <c r="I1623" s="28"/>
      <c r="J1623" s="28"/>
      <c r="K1623" s="28"/>
      <c r="L1623" s="28"/>
      <c r="M1623" s="28"/>
      <c r="N1623" s="28"/>
      <c r="O1623" s="28"/>
      <c r="P1623" s="28"/>
      <c r="Q1623" s="28"/>
      <c r="R1623" s="28"/>
      <c r="S1623" s="28"/>
    </row>
    <row r="1624" spans="1:19" x14ac:dyDescent="0.25">
      <c r="A1624" s="28"/>
      <c r="B1624" s="28"/>
      <c r="C1624" s="28"/>
      <c r="D1624" s="28"/>
      <c r="E1624" s="28"/>
      <c r="F1624" s="28"/>
      <c r="G1624" s="28"/>
      <c r="H1624" s="28"/>
      <c r="I1624" s="28"/>
      <c r="J1624" s="28"/>
      <c r="K1624" s="28"/>
      <c r="L1624" s="28"/>
      <c r="M1624" s="28"/>
      <c r="N1624" s="28"/>
      <c r="O1624" s="28"/>
      <c r="P1624" s="28"/>
      <c r="Q1624" s="28"/>
      <c r="R1624" s="28"/>
      <c r="S1624" s="28"/>
    </row>
    <row r="1625" spans="1:19" x14ac:dyDescent="0.25">
      <c r="A1625" s="28"/>
      <c r="B1625" s="28"/>
      <c r="C1625" s="28"/>
      <c r="D1625" s="28"/>
      <c r="E1625" s="28"/>
      <c r="F1625" s="28"/>
      <c r="G1625" s="28"/>
      <c r="H1625" s="28"/>
      <c r="I1625" s="28"/>
      <c r="J1625" s="28"/>
      <c r="K1625" s="28"/>
      <c r="L1625" s="28"/>
      <c r="M1625" s="28"/>
      <c r="N1625" s="28"/>
      <c r="O1625" s="28"/>
      <c r="P1625" s="28"/>
      <c r="Q1625" s="28"/>
      <c r="R1625" s="28"/>
      <c r="S1625" s="28"/>
    </row>
    <row r="1626" spans="1:19" x14ac:dyDescent="0.25">
      <c r="A1626" s="28"/>
      <c r="B1626" s="28"/>
      <c r="C1626" s="28"/>
      <c r="D1626" s="28"/>
      <c r="E1626" s="28"/>
      <c r="F1626" s="28"/>
      <c r="G1626" s="28"/>
      <c r="H1626" s="28"/>
      <c r="I1626" s="28"/>
      <c r="J1626" s="28"/>
      <c r="K1626" s="28"/>
      <c r="L1626" s="28"/>
      <c r="M1626" s="28"/>
      <c r="N1626" s="28"/>
      <c r="O1626" s="28"/>
      <c r="P1626" s="28"/>
      <c r="Q1626" s="28"/>
      <c r="R1626" s="28"/>
      <c r="S1626" s="28"/>
    </row>
    <row r="1627" spans="1:19" x14ac:dyDescent="0.25">
      <c r="A1627" s="28"/>
      <c r="B1627" s="28"/>
      <c r="C1627" s="28"/>
      <c r="D1627" s="28"/>
      <c r="E1627" s="28"/>
      <c r="F1627" s="28"/>
      <c r="G1627" s="28"/>
      <c r="H1627" s="28"/>
      <c r="I1627" s="28"/>
      <c r="J1627" s="28"/>
      <c r="K1627" s="28"/>
      <c r="L1627" s="28"/>
      <c r="M1627" s="28"/>
      <c r="N1627" s="28"/>
      <c r="O1627" s="28"/>
      <c r="P1627" s="28"/>
      <c r="Q1627" s="28"/>
      <c r="R1627" s="28"/>
      <c r="S1627" s="28"/>
    </row>
    <row r="1628" spans="1:19" x14ac:dyDescent="0.25">
      <c r="A1628" s="28"/>
      <c r="B1628" s="28"/>
      <c r="C1628" s="28"/>
      <c r="D1628" s="28"/>
      <c r="E1628" s="28"/>
      <c r="F1628" s="28"/>
      <c r="G1628" s="28"/>
      <c r="H1628" s="28"/>
      <c r="I1628" s="28"/>
      <c r="J1628" s="28"/>
      <c r="K1628" s="28"/>
      <c r="L1628" s="28"/>
      <c r="M1628" s="28"/>
      <c r="N1628" s="28"/>
      <c r="O1628" s="28"/>
      <c r="P1628" s="28"/>
      <c r="Q1628" s="28"/>
      <c r="R1628" s="28"/>
      <c r="S1628" s="28"/>
    </row>
    <row r="1629" spans="1:19" x14ac:dyDescent="0.25">
      <c r="A1629" s="28"/>
      <c r="B1629" s="28"/>
      <c r="C1629" s="28"/>
      <c r="D1629" s="28"/>
      <c r="E1629" s="28"/>
      <c r="F1629" s="28"/>
      <c r="G1629" s="28"/>
      <c r="H1629" s="28"/>
      <c r="I1629" s="28"/>
      <c r="J1629" s="28"/>
      <c r="K1629" s="28"/>
      <c r="L1629" s="28"/>
      <c r="M1629" s="28"/>
      <c r="N1629" s="28"/>
      <c r="O1629" s="28"/>
      <c r="P1629" s="28"/>
      <c r="Q1629" s="28"/>
      <c r="R1629" s="28"/>
      <c r="S1629" s="28"/>
    </row>
    <row r="1630" spans="1:19" x14ac:dyDescent="0.25">
      <c r="A1630" s="28"/>
      <c r="B1630" s="28"/>
      <c r="C1630" s="28"/>
      <c r="D1630" s="28"/>
      <c r="E1630" s="28"/>
      <c r="F1630" s="28"/>
      <c r="G1630" s="28"/>
      <c r="H1630" s="28"/>
      <c r="I1630" s="28"/>
      <c r="J1630" s="28"/>
      <c r="K1630" s="28"/>
      <c r="L1630" s="28"/>
      <c r="M1630" s="28"/>
      <c r="N1630" s="28"/>
      <c r="O1630" s="28"/>
      <c r="P1630" s="28"/>
      <c r="Q1630" s="28"/>
      <c r="R1630" s="28"/>
      <c r="S1630" s="28"/>
    </row>
    <row r="1631" spans="1:19" x14ac:dyDescent="0.25">
      <c r="A1631" s="28"/>
      <c r="B1631" s="28"/>
      <c r="C1631" s="28"/>
      <c r="D1631" s="28"/>
      <c r="E1631" s="28"/>
      <c r="F1631" s="28"/>
      <c r="G1631" s="28"/>
      <c r="H1631" s="28"/>
      <c r="I1631" s="28"/>
      <c r="J1631" s="28"/>
      <c r="K1631" s="28"/>
      <c r="L1631" s="28"/>
      <c r="M1631" s="28"/>
      <c r="N1631" s="28"/>
      <c r="O1631" s="28"/>
      <c r="P1631" s="28"/>
      <c r="Q1631" s="28"/>
      <c r="R1631" s="28"/>
      <c r="S1631" s="28"/>
    </row>
    <row r="1632" spans="1:19" x14ac:dyDescent="0.25">
      <c r="A1632" s="28"/>
      <c r="B1632" s="28"/>
      <c r="C1632" s="28"/>
      <c r="D1632" s="28"/>
      <c r="E1632" s="28"/>
      <c r="F1632" s="28"/>
      <c r="G1632" s="28"/>
      <c r="H1632" s="28"/>
      <c r="I1632" s="28"/>
      <c r="J1632" s="28"/>
      <c r="K1632" s="28"/>
      <c r="L1632" s="28"/>
      <c r="M1632" s="28"/>
      <c r="N1632" s="28"/>
      <c r="O1632" s="28"/>
      <c r="P1632" s="28"/>
      <c r="Q1632" s="28"/>
      <c r="R1632" s="28"/>
      <c r="S1632" s="28"/>
    </row>
    <row r="1633" spans="1:19" x14ac:dyDescent="0.25">
      <c r="A1633" s="28"/>
      <c r="B1633" s="28"/>
      <c r="C1633" s="28"/>
      <c r="D1633" s="28"/>
      <c r="E1633" s="28"/>
      <c r="F1633" s="28"/>
      <c r="G1633" s="28"/>
      <c r="H1633" s="28"/>
      <c r="I1633" s="28"/>
      <c r="J1633" s="28"/>
      <c r="K1633" s="28"/>
      <c r="L1633" s="28"/>
      <c r="M1633" s="28"/>
      <c r="N1633" s="28"/>
      <c r="O1633" s="28"/>
      <c r="P1633" s="28"/>
      <c r="Q1633" s="28"/>
      <c r="R1633" s="28"/>
      <c r="S1633" s="28"/>
    </row>
    <row r="1634" spans="1:19" x14ac:dyDescent="0.25">
      <c r="A1634" s="28"/>
      <c r="B1634" s="28"/>
      <c r="C1634" s="28"/>
      <c r="D1634" s="28"/>
      <c r="E1634" s="28"/>
      <c r="F1634" s="28"/>
      <c r="G1634" s="28"/>
      <c r="H1634" s="28"/>
      <c r="I1634" s="28"/>
      <c r="J1634" s="28"/>
      <c r="K1634" s="28"/>
      <c r="L1634" s="28"/>
      <c r="M1634" s="28"/>
      <c r="N1634" s="28"/>
      <c r="O1634" s="28"/>
      <c r="P1634" s="28"/>
      <c r="Q1634" s="28"/>
      <c r="R1634" s="28"/>
      <c r="S1634" s="28"/>
    </row>
    <row r="1635" spans="1:19" x14ac:dyDescent="0.25">
      <c r="A1635" s="28"/>
      <c r="B1635" s="28"/>
      <c r="C1635" s="28"/>
      <c r="D1635" s="28"/>
      <c r="E1635" s="28"/>
      <c r="F1635" s="28"/>
      <c r="G1635" s="28"/>
      <c r="H1635" s="28"/>
      <c r="I1635" s="28"/>
      <c r="J1635" s="28"/>
      <c r="K1635" s="28"/>
      <c r="L1635" s="28"/>
      <c r="M1635" s="28"/>
      <c r="N1635" s="28"/>
      <c r="O1635" s="28"/>
      <c r="P1635" s="28"/>
      <c r="Q1635" s="28"/>
      <c r="R1635" s="28"/>
      <c r="S1635" s="28"/>
    </row>
    <row r="1636" spans="1:19" x14ac:dyDescent="0.25">
      <c r="A1636" s="28"/>
      <c r="B1636" s="28"/>
      <c r="C1636" s="28"/>
      <c r="D1636" s="28"/>
      <c r="E1636" s="28"/>
      <c r="F1636" s="28"/>
      <c r="G1636" s="28"/>
      <c r="H1636" s="28"/>
      <c r="I1636" s="28"/>
      <c r="J1636" s="28"/>
      <c r="K1636" s="28"/>
      <c r="L1636" s="28"/>
      <c r="M1636" s="28"/>
      <c r="N1636" s="28"/>
      <c r="O1636" s="28"/>
      <c r="P1636" s="28"/>
      <c r="Q1636" s="28"/>
      <c r="R1636" s="28"/>
      <c r="S1636" s="28"/>
    </row>
    <row r="1637" spans="1:19" x14ac:dyDescent="0.25">
      <c r="A1637" s="28"/>
      <c r="B1637" s="28"/>
      <c r="C1637" s="28"/>
      <c r="D1637" s="28"/>
      <c r="E1637" s="28"/>
      <c r="F1637" s="28"/>
      <c r="G1637" s="28"/>
      <c r="H1637" s="28"/>
      <c r="I1637" s="28"/>
      <c r="J1637" s="28"/>
      <c r="K1637" s="28"/>
      <c r="L1637" s="28"/>
      <c r="M1637" s="28"/>
      <c r="N1637" s="28"/>
      <c r="O1637" s="28"/>
      <c r="P1637" s="28"/>
      <c r="Q1637" s="28"/>
      <c r="R1637" s="28"/>
      <c r="S1637" s="28"/>
    </row>
    <row r="1638" spans="1:19" x14ac:dyDescent="0.25">
      <c r="A1638" s="28"/>
      <c r="B1638" s="28"/>
      <c r="C1638" s="28"/>
      <c r="D1638" s="28"/>
      <c r="E1638" s="28"/>
      <c r="F1638" s="28"/>
      <c r="G1638" s="28"/>
      <c r="H1638" s="28"/>
      <c r="I1638" s="28"/>
      <c r="J1638" s="28"/>
      <c r="K1638" s="28"/>
      <c r="L1638" s="28"/>
      <c r="M1638" s="28"/>
      <c r="N1638" s="28"/>
      <c r="O1638" s="28"/>
      <c r="P1638" s="28"/>
      <c r="Q1638" s="28"/>
      <c r="R1638" s="28"/>
      <c r="S1638" s="28"/>
    </row>
    <row r="1639" spans="1:19" x14ac:dyDescent="0.25">
      <c r="A1639" s="28"/>
      <c r="B1639" s="28"/>
      <c r="C1639" s="28"/>
      <c r="D1639" s="28"/>
      <c r="E1639" s="28"/>
      <c r="F1639" s="28"/>
      <c r="G1639" s="28"/>
      <c r="H1639" s="28"/>
      <c r="I1639" s="28"/>
      <c r="J1639" s="28"/>
      <c r="K1639" s="28"/>
      <c r="L1639" s="28"/>
      <c r="M1639" s="28"/>
      <c r="N1639" s="28"/>
      <c r="O1639" s="28"/>
      <c r="P1639" s="28"/>
      <c r="Q1639" s="28"/>
      <c r="R1639" s="28"/>
      <c r="S1639" s="28"/>
    </row>
    <row r="1640" spans="1:19" x14ac:dyDescent="0.25">
      <c r="A1640" s="28"/>
      <c r="B1640" s="28"/>
      <c r="C1640" s="28"/>
      <c r="D1640" s="28"/>
      <c r="E1640" s="28"/>
      <c r="F1640" s="28"/>
      <c r="G1640" s="28"/>
      <c r="H1640" s="28"/>
      <c r="I1640" s="28"/>
      <c r="J1640" s="28"/>
      <c r="K1640" s="28"/>
      <c r="L1640" s="28"/>
      <c r="M1640" s="28"/>
      <c r="N1640" s="28"/>
      <c r="O1640" s="28"/>
      <c r="P1640" s="28"/>
      <c r="Q1640" s="28"/>
      <c r="R1640" s="28"/>
      <c r="S1640" s="28"/>
    </row>
    <row r="1641" spans="1:19" x14ac:dyDescent="0.25">
      <c r="A1641" s="28"/>
      <c r="B1641" s="28"/>
      <c r="C1641" s="28"/>
      <c r="D1641" s="28"/>
      <c r="E1641" s="28"/>
      <c r="F1641" s="28"/>
      <c r="G1641" s="28"/>
      <c r="H1641" s="28"/>
      <c r="I1641" s="28"/>
      <c r="J1641" s="28"/>
      <c r="K1641" s="28"/>
      <c r="L1641" s="28"/>
      <c r="M1641" s="28"/>
      <c r="N1641" s="28"/>
      <c r="O1641" s="28"/>
      <c r="P1641" s="28"/>
      <c r="Q1641" s="28"/>
      <c r="R1641" s="28"/>
      <c r="S1641" s="28"/>
    </row>
    <row r="1642" spans="1:19" x14ac:dyDescent="0.25">
      <c r="A1642" s="28"/>
      <c r="B1642" s="28"/>
      <c r="C1642" s="28"/>
      <c r="D1642" s="28"/>
      <c r="E1642" s="28"/>
      <c r="F1642" s="28"/>
      <c r="G1642" s="28"/>
      <c r="H1642" s="28"/>
      <c r="I1642" s="28"/>
      <c r="J1642" s="28"/>
      <c r="K1642" s="28"/>
      <c r="L1642" s="28"/>
      <c r="M1642" s="28"/>
      <c r="N1642" s="28"/>
      <c r="O1642" s="28"/>
      <c r="P1642" s="28"/>
      <c r="Q1642" s="28"/>
      <c r="R1642" s="28"/>
      <c r="S1642" s="28"/>
    </row>
    <row r="1643" spans="1:19" x14ac:dyDescent="0.25">
      <c r="A1643" s="28"/>
      <c r="B1643" s="28"/>
      <c r="C1643" s="28"/>
      <c r="D1643" s="28"/>
      <c r="E1643" s="28"/>
      <c r="F1643" s="28"/>
      <c r="G1643" s="28"/>
      <c r="H1643" s="28"/>
      <c r="I1643" s="28"/>
      <c r="J1643" s="28"/>
      <c r="K1643" s="28"/>
      <c r="L1643" s="28"/>
      <c r="M1643" s="28"/>
      <c r="N1643" s="28"/>
      <c r="O1643" s="28"/>
      <c r="P1643" s="28"/>
      <c r="Q1643" s="28"/>
      <c r="R1643" s="28"/>
      <c r="S1643" s="28"/>
    </row>
    <row r="1644" spans="1:19" x14ac:dyDescent="0.25">
      <c r="A1644" s="28"/>
      <c r="B1644" s="28"/>
      <c r="C1644" s="28"/>
      <c r="D1644" s="28"/>
      <c r="E1644" s="28"/>
      <c r="F1644" s="28"/>
      <c r="G1644" s="28"/>
      <c r="H1644" s="28"/>
      <c r="I1644" s="28"/>
      <c r="J1644" s="28"/>
      <c r="K1644" s="28"/>
      <c r="L1644" s="28"/>
      <c r="M1644" s="28"/>
      <c r="N1644" s="28"/>
      <c r="O1644" s="28"/>
      <c r="P1644" s="28"/>
      <c r="Q1644" s="28"/>
      <c r="R1644" s="28"/>
      <c r="S1644" s="28"/>
    </row>
    <row r="1645" spans="1:19" x14ac:dyDescent="0.25">
      <c r="A1645" s="28"/>
      <c r="B1645" s="28"/>
      <c r="C1645" s="28"/>
      <c r="D1645" s="28"/>
      <c r="E1645" s="28"/>
      <c r="F1645" s="28"/>
      <c r="G1645" s="28"/>
      <c r="H1645" s="28"/>
      <c r="I1645" s="28"/>
      <c r="J1645" s="28"/>
      <c r="K1645" s="28"/>
      <c r="L1645" s="28"/>
      <c r="M1645" s="28"/>
      <c r="N1645" s="28"/>
      <c r="O1645" s="28"/>
      <c r="P1645" s="28"/>
      <c r="Q1645" s="28"/>
      <c r="R1645" s="28"/>
      <c r="S1645" s="28"/>
    </row>
    <row r="1646" spans="1:19" x14ac:dyDescent="0.25">
      <c r="A1646" s="28"/>
      <c r="B1646" s="28"/>
      <c r="C1646" s="28"/>
      <c r="D1646" s="28"/>
      <c r="E1646" s="28"/>
      <c r="F1646" s="28"/>
      <c r="G1646" s="28"/>
      <c r="H1646" s="28"/>
      <c r="I1646" s="28"/>
      <c r="J1646" s="28"/>
      <c r="K1646" s="28"/>
      <c r="L1646" s="28"/>
      <c r="M1646" s="28"/>
      <c r="N1646" s="28"/>
      <c r="O1646" s="28"/>
      <c r="P1646" s="28"/>
      <c r="Q1646" s="28"/>
      <c r="R1646" s="28"/>
      <c r="S1646" s="28"/>
    </row>
    <row r="1647" spans="1:19" x14ac:dyDescent="0.25">
      <c r="A1647" s="28"/>
      <c r="B1647" s="28"/>
      <c r="C1647" s="28"/>
      <c r="D1647" s="28"/>
      <c r="E1647" s="28"/>
      <c r="F1647" s="28"/>
      <c r="G1647" s="28"/>
      <c r="H1647" s="28"/>
      <c r="I1647" s="28"/>
      <c r="J1647" s="28"/>
      <c r="K1647" s="28"/>
      <c r="L1647" s="28"/>
      <c r="M1647" s="28"/>
      <c r="N1647" s="28"/>
      <c r="O1647" s="28"/>
      <c r="P1647" s="28"/>
      <c r="Q1647" s="28"/>
      <c r="R1647" s="28"/>
      <c r="S1647" s="28"/>
    </row>
    <row r="1648" spans="1:19" x14ac:dyDescent="0.25">
      <c r="A1648" s="28"/>
      <c r="B1648" s="28"/>
      <c r="C1648" s="28"/>
      <c r="D1648" s="28"/>
      <c r="E1648" s="28"/>
      <c r="F1648" s="28"/>
      <c r="G1648" s="28"/>
      <c r="H1648" s="28"/>
      <c r="I1648" s="28"/>
      <c r="J1648" s="28"/>
      <c r="K1648" s="28"/>
      <c r="L1648" s="28"/>
      <c r="M1648" s="28"/>
      <c r="N1648" s="28"/>
      <c r="O1648" s="28"/>
      <c r="P1648" s="28"/>
      <c r="Q1648" s="28"/>
      <c r="R1648" s="28"/>
      <c r="S1648" s="28"/>
    </row>
    <row r="1649" spans="1:19" x14ac:dyDescent="0.25">
      <c r="A1649" s="28"/>
      <c r="B1649" s="28"/>
      <c r="C1649" s="28"/>
      <c r="D1649" s="28"/>
      <c r="E1649" s="28"/>
      <c r="F1649" s="28"/>
      <c r="G1649" s="28"/>
      <c r="H1649" s="28"/>
      <c r="I1649" s="28"/>
      <c r="J1649" s="28"/>
      <c r="K1649" s="28"/>
      <c r="L1649" s="28"/>
      <c r="M1649" s="28"/>
      <c r="N1649" s="28"/>
      <c r="O1649" s="28"/>
      <c r="P1649" s="28"/>
      <c r="Q1649" s="28"/>
      <c r="R1649" s="28"/>
      <c r="S1649" s="28"/>
    </row>
    <row r="1650" spans="1:19" x14ac:dyDescent="0.25">
      <c r="A1650" s="28"/>
      <c r="B1650" s="28"/>
      <c r="C1650" s="28"/>
      <c r="D1650" s="28"/>
      <c r="E1650" s="28"/>
      <c r="F1650" s="28"/>
      <c r="G1650" s="28"/>
      <c r="H1650" s="28"/>
      <c r="I1650" s="28"/>
      <c r="J1650" s="28"/>
      <c r="K1650" s="28"/>
      <c r="L1650" s="28"/>
      <c r="M1650" s="28"/>
      <c r="N1650" s="28"/>
      <c r="O1650" s="28"/>
      <c r="P1650" s="28"/>
      <c r="Q1650" s="28"/>
      <c r="R1650" s="28"/>
      <c r="S1650" s="28"/>
    </row>
    <row r="1651" spans="1:19" x14ac:dyDescent="0.25">
      <c r="A1651" s="28"/>
      <c r="B1651" s="28"/>
      <c r="C1651" s="28"/>
      <c r="D1651" s="28"/>
      <c r="E1651" s="28"/>
      <c r="F1651" s="28"/>
      <c r="G1651" s="28"/>
      <c r="H1651" s="28"/>
      <c r="I1651" s="28"/>
      <c r="J1651" s="28"/>
      <c r="K1651" s="28"/>
      <c r="L1651" s="28"/>
      <c r="M1651" s="28"/>
      <c r="N1651" s="28"/>
      <c r="O1651" s="28"/>
      <c r="P1651" s="28"/>
      <c r="Q1651" s="28"/>
      <c r="R1651" s="28"/>
      <c r="S1651" s="28"/>
    </row>
    <row r="1652" spans="1:19" x14ac:dyDescent="0.25">
      <c r="A1652" s="28"/>
      <c r="B1652" s="28"/>
      <c r="C1652" s="28"/>
      <c r="D1652" s="28"/>
      <c r="E1652" s="28"/>
      <c r="F1652" s="28"/>
      <c r="G1652" s="28"/>
      <c r="H1652" s="28"/>
      <c r="I1652" s="28"/>
      <c r="J1652" s="28"/>
      <c r="K1652" s="28"/>
      <c r="L1652" s="28"/>
      <c r="M1652" s="28"/>
      <c r="N1652" s="28"/>
      <c r="O1652" s="28"/>
      <c r="P1652" s="28"/>
      <c r="Q1652" s="28"/>
      <c r="R1652" s="28"/>
      <c r="S1652" s="28"/>
    </row>
    <row r="1653" spans="1:19" x14ac:dyDescent="0.25">
      <c r="A1653" s="28"/>
      <c r="B1653" s="28"/>
      <c r="C1653" s="28"/>
      <c r="D1653" s="28"/>
      <c r="E1653" s="28"/>
      <c r="F1653" s="28"/>
      <c r="G1653" s="28"/>
      <c r="H1653" s="28"/>
      <c r="I1653" s="28"/>
      <c r="J1653" s="28"/>
      <c r="K1653" s="28"/>
      <c r="L1653" s="28"/>
      <c r="M1653" s="28"/>
      <c r="N1653" s="28"/>
      <c r="O1653" s="28"/>
      <c r="P1653" s="28"/>
      <c r="Q1653" s="28"/>
      <c r="R1653" s="28"/>
      <c r="S1653" s="28"/>
    </row>
    <row r="1654" spans="1:19" x14ac:dyDescent="0.25">
      <c r="A1654" s="28"/>
      <c r="B1654" s="28"/>
      <c r="C1654" s="28"/>
      <c r="D1654" s="28"/>
      <c r="E1654" s="28"/>
      <c r="F1654" s="28"/>
      <c r="G1654" s="28"/>
      <c r="H1654" s="28"/>
      <c r="I1654" s="28"/>
      <c r="J1654" s="28"/>
      <c r="K1654" s="28"/>
      <c r="L1654" s="28"/>
      <c r="M1654" s="28"/>
      <c r="N1654" s="28"/>
      <c r="O1654" s="28"/>
      <c r="P1654" s="28"/>
      <c r="Q1654" s="28"/>
      <c r="R1654" s="28"/>
      <c r="S1654" s="28"/>
    </row>
    <row r="1655" spans="1:19" x14ac:dyDescent="0.25">
      <c r="A1655" s="28"/>
      <c r="B1655" s="28"/>
      <c r="C1655" s="28"/>
      <c r="D1655" s="28"/>
      <c r="E1655" s="28"/>
      <c r="F1655" s="28"/>
      <c r="G1655" s="28"/>
      <c r="H1655" s="28"/>
      <c r="I1655" s="28"/>
      <c r="J1655" s="28"/>
      <c r="K1655" s="28"/>
      <c r="L1655" s="28"/>
      <c r="M1655" s="28"/>
      <c r="N1655" s="28"/>
      <c r="O1655" s="28"/>
      <c r="P1655" s="28"/>
      <c r="Q1655" s="28"/>
      <c r="R1655" s="28"/>
      <c r="S1655" s="28"/>
    </row>
    <row r="1656" spans="1:19" x14ac:dyDescent="0.25">
      <c r="A1656" s="28"/>
      <c r="B1656" s="28"/>
      <c r="C1656" s="28"/>
      <c r="D1656" s="28"/>
      <c r="E1656" s="28"/>
      <c r="F1656" s="28"/>
      <c r="G1656" s="28"/>
      <c r="H1656" s="28"/>
      <c r="I1656" s="28"/>
      <c r="J1656" s="28"/>
      <c r="K1656" s="28"/>
      <c r="L1656" s="28"/>
      <c r="M1656" s="28"/>
      <c r="N1656" s="28"/>
      <c r="O1656" s="28"/>
      <c r="P1656" s="28"/>
      <c r="Q1656" s="28"/>
      <c r="R1656" s="28"/>
      <c r="S1656" s="28"/>
    </row>
    <row r="1657" spans="1:19" x14ac:dyDescent="0.25">
      <c r="A1657" s="28"/>
      <c r="B1657" s="28"/>
      <c r="C1657" s="28"/>
      <c r="D1657" s="28"/>
      <c r="E1657" s="28"/>
      <c r="F1657" s="28"/>
      <c r="G1657" s="28"/>
      <c r="H1657" s="28"/>
      <c r="I1657" s="28"/>
      <c r="J1657" s="28"/>
      <c r="K1657" s="28"/>
      <c r="L1657" s="28"/>
      <c r="M1657" s="28"/>
      <c r="N1657" s="28"/>
      <c r="O1657" s="28"/>
      <c r="P1657" s="28"/>
      <c r="Q1657" s="28"/>
      <c r="R1657" s="28"/>
      <c r="S1657" s="28"/>
    </row>
    <row r="1658" spans="1:19" x14ac:dyDescent="0.25">
      <c r="A1658" s="28"/>
      <c r="B1658" s="28"/>
      <c r="C1658" s="28"/>
      <c r="D1658" s="28"/>
      <c r="E1658" s="28"/>
      <c r="F1658" s="28"/>
      <c r="G1658" s="28"/>
      <c r="H1658" s="28"/>
      <c r="I1658" s="28"/>
      <c r="J1658" s="28"/>
      <c r="K1658" s="28"/>
      <c r="L1658" s="28"/>
      <c r="M1658" s="28"/>
      <c r="N1658" s="28"/>
      <c r="O1658" s="28"/>
      <c r="P1658" s="28"/>
      <c r="Q1658" s="28"/>
      <c r="R1658" s="28"/>
      <c r="S1658" s="28"/>
    </row>
    <row r="1659" spans="1:19" x14ac:dyDescent="0.25">
      <c r="A1659" s="28"/>
      <c r="B1659" s="28"/>
      <c r="C1659" s="28"/>
      <c r="D1659" s="28"/>
      <c r="E1659" s="28"/>
      <c r="F1659" s="28"/>
      <c r="G1659" s="28"/>
      <c r="H1659" s="28"/>
      <c r="I1659" s="28"/>
      <c r="J1659" s="28"/>
      <c r="K1659" s="28"/>
      <c r="L1659" s="28"/>
      <c r="M1659" s="28"/>
      <c r="N1659" s="28"/>
      <c r="O1659" s="28"/>
      <c r="P1659" s="28"/>
      <c r="Q1659" s="28"/>
      <c r="R1659" s="28"/>
      <c r="S1659" s="28"/>
    </row>
    <row r="1660" spans="1:19" x14ac:dyDescent="0.25">
      <c r="A1660" s="28"/>
      <c r="B1660" s="28"/>
      <c r="C1660" s="28"/>
      <c r="D1660" s="28"/>
      <c r="E1660" s="28"/>
      <c r="F1660" s="28"/>
      <c r="G1660" s="28"/>
      <c r="H1660" s="28"/>
      <c r="I1660" s="28"/>
      <c r="J1660" s="28"/>
      <c r="K1660" s="28"/>
      <c r="L1660" s="28"/>
      <c r="M1660" s="28"/>
      <c r="N1660" s="28"/>
      <c r="O1660" s="28"/>
      <c r="P1660" s="28"/>
      <c r="Q1660" s="28"/>
      <c r="R1660" s="28"/>
      <c r="S1660" s="28"/>
    </row>
    <row r="1661" spans="1:19" x14ac:dyDescent="0.25">
      <c r="A1661" s="28"/>
      <c r="B1661" s="28"/>
      <c r="C1661" s="28"/>
      <c r="D1661" s="28"/>
      <c r="E1661" s="28"/>
      <c r="F1661" s="28"/>
      <c r="G1661" s="28"/>
      <c r="H1661" s="28"/>
      <c r="I1661" s="28"/>
      <c r="J1661" s="28"/>
      <c r="K1661" s="28"/>
      <c r="L1661" s="28"/>
      <c r="M1661" s="28"/>
      <c r="N1661" s="28"/>
      <c r="O1661" s="28"/>
      <c r="P1661" s="28"/>
      <c r="Q1661" s="28"/>
      <c r="R1661" s="28"/>
      <c r="S1661" s="28"/>
    </row>
    <row r="1662" spans="1:19" x14ac:dyDescent="0.25">
      <c r="A1662" s="28"/>
      <c r="B1662" s="28"/>
      <c r="C1662" s="28"/>
      <c r="D1662" s="28"/>
      <c r="E1662" s="28"/>
      <c r="F1662" s="28"/>
      <c r="G1662" s="28"/>
      <c r="H1662" s="28"/>
      <c r="I1662" s="28"/>
      <c r="J1662" s="28"/>
      <c r="K1662" s="28"/>
      <c r="L1662" s="28"/>
      <c r="M1662" s="28"/>
      <c r="N1662" s="28"/>
      <c r="O1662" s="28"/>
      <c r="P1662" s="28"/>
      <c r="Q1662" s="28"/>
      <c r="R1662" s="28"/>
      <c r="S1662" s="28"/>
    </row>
    <row r="1663" spans="1:19" x14ac:dyDescent="0.25">
      <c r="A1663" s="28"/>
      <c r="B1663" s="28"/>
      <c r="C1663" s="28"/>
      <c r="D1663" s="28"/>
      <c r="E1663" s="28"/>
      <c r="F1663" s="28"/>
      <c r="G1663" s="28"/>
      <c r="H1663" s="28"/>
      <c r="I1663" s="28"/>
      <c r="J1663" s="28"/>
      <c r="K1663" s="28"/>
      <c r="L1663" s="28"/>
      <c r="M1663" s="28"/>
      <c r="N1663" s="28"/>
      <c r="O1663" s="28"/>
      <c r="P1663" s="28"/>
      <c r="Q1663" s="28"/>
      <c r="R1663" s="28"/>
      <c r="S1663" s="28"/>
    </row>
    <row r="1664" spans="1:19" x14ac:dyDescent="0.25">
      <c r="A1664" s="28"/>
      <c r="B1664" s="28"/>
      <c r="C1664" s="28"/>
      <c r="D1664" s="28"/>
      <c r="E1664" s="28"/>
      <c r="F1664" s="28"/>
      <c r="G1664" s="28"/>
      <c r="H1664" s="28"/>
      <c r="I1664" s="28"/>
      <c r="J1664" s="28"/>
      <c r="K1664" s="28"/>
      <c r="L1664" s="28"/>
      <c r="M1664" s="28"/>
      <c r="N1664" s="28"/>
      <c r="O1664" s="28"/>
      <c r="P1664" s="28"/>
      <c r="Q1664" s="28"/>
      <c r="R1664" s="28"/>
      <c r="S1664" s="28"/>
    </row>
    <row r="1665" spans="1:19" x14ac:dyDescent="0.25">
      <c r="A1665" s="28"/>
      <c r="B1665" s="28"/>
      <c r="C1665" s="28"/>
      <c r="D1665" s="28"/>
      <c r="E1665" s="28"/>
      <c r="F1665" s="28"/>
      <c r="G1665" s="28"/>
      <c r="H1665" s="28"/>
      <c r="I1665" s="28"/>
      <c r="J1665" s="28"/>
      <c r="K1665" s="28"/>
      <c r="L1665" s="28"/>
      <c r="M1665" s="28"/>
      <c r="N1665" s="28"/>
      <c r="O1665" s="28"/>
      <c r="P1665" s="28"/>
      <c r="Q1665" s="28"/>
      <c r="R1665" s="28"/>
      <c r="S1665" s="28"/>
    </row>
    <row r="1666" spans="1:19" x14ac:dyDescent="0.25">
      <c r="A1666" s="28"/>
      <c r="B1666" s="28"/>
      <c r="C1666" s="28"/>
      <c r="D1666" s="28"/>
      <c r="E1666" s="28"/>
      <c r="F1666" s="28"/>
      <c r="G1666" s="28"/>
      <c r="H1666" s="28"/>
      <c r="I1666" s="28"/>
      <c r="J1666" s="28"/>
      <c r="K1666" s="28"/>
      <c r="L1666" s="28"/>
      <c r="M1666" s="28"/>
      <c r="N1666" s="28"/>
      <c r="O1666" s="28"/>
      <c r="P1666" s="28"/>
      <c r="Q1666" s="28"/>
      <c r="R1666" s="28"/>
      <c r="S1666" s="28"/>
    </row>
    <row r="1667" spans="1:19" x14ac:dyDescent="0.25">
      <c r="A1667" s="28"/>
      <c r="B1667" s="28"/>
      <c r="C1667" s="28"/>
      <c r="D1667" s="28"/>
      <c r="E1667" s="28"/>
      <c r="F1667" s="28"/>
      <c r="G1667" s="28"/>
      <c r="H1667" s="28"/>
      <c r="I1667" s="28"/>
      <c r="J1667" s="28"/>
      <c r="K1667" s="28"/>
      <c r="L1667" s="28"/>
      <c r="M1667" s="28"/>
      <c r="N1667" s="28"/>
      <c r="O1667" s="28"/>
      <c r="P1667" s="28"/>
      <c r="Q1667" s="28"/>
      <c r="R1667" s="28"/>
      <c r="S1667" s="28"/>
    </row>
    <row r="1668" spans="1:19" x14ac:dyDescent="0.25">
      <c r="A1668" s="28"/>
      <c r="B1668" s="28"/>
      <c r="C1668" s="28"/>
      <c r="D1668" s="28"/>
      <c r="E1668" s="28"/>
      <c r="F1668" s="28"/>
      <c r="G1668" s="28"/>
      <c r="H1668" s="28"/>
      <c r="I1668" s="28"/>
      <c r="J1668" s="28"/>
      <c r="K1668" s="28"/>
      <c r="L1668" s="28"/>
      <c r="M1668" s="28"/>
      <c r="N1668" s="28"/>
      <c r="O1668" s="28"/>
      <c r="P1668" s="28"/>
      <c r="Q1668" s="28"/>
      <c r="R1668" s="28"/>
      <c r="S1668" s="28"/>
    </row>
    <row r="1669" spans="1:19" x14ac:dyDescent="0.25">
      <c r="A1669" s="28"/>
      <c r="B1669" s="28"/>
      <c r="C1669" s="28"/>
      <c r="D1669" s="28"/>
      <c r="E1669" s="28"/>
      <c r="F1669" s="28"/>
      <c r="G1669" s="28"/>
      <c r="H1669" s="28"/>
      <c r="I1669" s="28"/>
      <c r="J1669" s="28"/>
      <c r="K1669" s="28"/>
      <c r="L1669" s="28"/>
      <c r="M1669" s="28"/>
      <c r="N1669" s="28"/>
      <c r="O1669" s="28"/>
      <c r="P1669" s="28"/>
      <c r="Q1669" s="28"/>
      <c r="R1669" s="28"/>
      <c r="S1669" s="28"/>
    </row>
    <row r="1670" spans="1:19" x14ac:dyDescent="0.25">
      <c r="A1670" s="28"/>
      <c r="B1670" s="28"/>
      <c r="C1670" s="28"/>
      <c r="D1670" s="28"/>
      <c r="E1670" s="28"/>
      <c r="F1670" s="28"/>
      <c r="G1670" s="28"/>
      <c r="H1670" s="28"/>
      <c r="I1670" s="28"/>
      <c r="J1670" s="28"/>
      <c r="K1670" s="28"/>
      <c r="L1670" s="28"/>
      <c r="M1670" s="28"/>
      <c r="N1670" s="28"/>
      <c r="O1670" s="28"/>
      <c r="P1670" s="28"/>
      <c r="Q1670" s="28"/>
      <c r="R1670" s="28"/>
      <c r="S1670" s="28"/>
    </row>
    <row r="1671" spans="1:19" x14ac:dyDescent="0.25">
      <c r="A1671" s="28"/>
      <c r="B1671" s="28"/>
      <c r="C1671" s="28"/>
      <c r="D1671" s="28"/>
      <c r="E1671" s="28"/>
      <c r="F1671" s="28"/>
      <c r="G1671" s="28"/>
      <c r="H1671" s="28"/>
      <c r="I1671" s="28"/>
      <c r="J1671" s="28"/>
      <c r="K1671" s="28"/>
      <c r="L1671" s="28"/>
      <c r="M1671" s="28"/>
      <c r="N1671" s="28"/>
      <c r="O1671" s="28"/>
      <c r="P1671" s="28"/>
      <c r="Q1671" s="28"/>
      <c r="R1671" s="28"/>
      <c r="S1671" s="28"/>
    </row>
    <row r="1672" spans="1:19" x14ac:dyDescent="0.25">
      <c r="A1672" s="28"/>
      <c r="B1672" s="28"/>
      <c r="C1672" s="28"/>
      <c r="D1672" s="28"/>
      <c r="E1672" s="28"/>
      <c r="F1672" s="28"/>
      <c r="G1672" s="28"/>
      <c r="H1672" s="28"/>
      <c r="I1672" s="28"/>
      <c r="J1672" s="28"/>
      <c r="K1672" s="28"/>
      <c r="L1672" s="28"/>
      <c r="M1672" s="28"/>
      <c r="N1672" s="28"/>
      <c r="O1672" s="28"/>
      <c r="P1672" s="28"/>
      <c r="Q1672" s="28"/>
      <c r="R1672" s="28"/>
      <c r="S1672" s="28"/>
    </row>
    <row r="1673" spans="1:19" x14ac:dyDescent="0.25">
      <c r="A1673" s="28"/>
      <c r="B1673" s="28"/>
      <c r="C1673" s="28"/>
      <c r="D1673" s="28"/>
      <c r="E1673" s="28"/>
      <c r="F1673" s="28"/>
      <c r="G1673" s="28"/>
      <c r="H1673" s="28"/>
      <c r="I1673" s="28"/>
      <c r="J1673" s="28"/>
      <c r="K1673" s="28"/>
      <c r="L1673" s="28"/>
      <c r="M1673" s="28"/>
      <c r="N1673" s="28"/>
      <c r="O1673" s="28"/>
      <c r="P1673" s="28"/>
      <c r="Q1673" s="28"/>
      <c r="R1673" s="28"/>
      <c r="S1673" s="28"/>
    </row>
    <row r="1674" spans="1:19" x14ac:dyDescent="0.25">
      <c r="A1674" s="28"/>
      <c r="B1674" s="28"/>
      <c r="C1674" s="28"/>
      <c r="D1674" s="28"/>
      <c r="E1674" s="28"/>
      <c r="F1674" s="28"/>
      <c r="G1674" s="28"/>
      <c r="H1674" s="28"/>
      <c r="I1674" s="28"/>
      <c r="J1674" s="28"/>
      <c r="K1674" s="28"/>
      <c r="L1674" s="28"/>
      <c r="M1674" s="28"/>
      <c r="N1674" s="28"/>
      <c r="O1674" s="28"/>
      <c r="P1674" s="28"/>
      <c r="Q1674" s="28"/>
      <c r="R1674" s="28"/>
      <c r="S1674" s="28"/>
    </row>
    <row r="1675" spans="1:19" x14ac:dyDescent="0.25">
      <c r="A1675" s="28"/>
      <c r="B1675" s="28"/>
      <c r="C1675" s="28"/>
      <c r="D1675" s="28"/>
      <c r="E1675" s="28"/>
      <c r="F1675" s="28"/>
      <c r="G1675" s="28"/>
      <c r="H1675" s="28"/>
      <c r="I1675" s="28"/>
      <c r="J1675" s="28"/>
      <c r="K1675" s="28"/>
      <c r="L1675" s="28"/>
      <c r="M1675" s="28"/>
      <c r="N1675" s="28"/>
      <c r="O1675" s="28"/>
      <c r="P1675" s="28"/>
      <c r="Q1675" s="28"/>
      <c r="R1675" s="28"/>
      <c r="S1675" s="28"/>
    </row>
    <row r="1676" spans="1:19" x14ac:dyDescent="0.25">
      <c r="A1676" s="28"/>
      <c r="B1676" s="28"/>
      <c r="C1676" s="28"/>
      <c r="D1676" s="28"/>
      <c r="E1676" s="28"/>
      <c r="F1676" s="28"/>
      <c r="G1676" s="28"/>
      <c r="H1676" s="28"/>
      <c r="I1676" s="28"/>
      <c r="J1676" s="28"/>
      <c r="K1676" s="28"/>
      <c r="L1676" s="28"/>
      <c r="M1676" s="28"/>
      <c r="N1676" s="28"/>
      <c r="O1676" s="28"/>
      <c r="P1676" s="28"/>
      <c r="Q1676" s="28"/>
      <c r="R1676" s="28"/>
      <c r="S1676" s="28"/>
    </row>
    <row r="1677" spans="1:19" x14ac:dyDescent="0.25">
      <c r="A1677" s="28"/>
      <c r="B1677" s="28"/>
      <c r="C1677" s="28"/>
      <c r="D1677" s="28"/>
      <c r="E1677" s="28"/>
      <c r="F1677" s="28"/>
      <c r="G1677" s="28"/>
      <c r="H1677" s="28"/>
      <c r="I1677" s="28"/>
      <c r="J1677" s="28"/>
      <c r="K1677" s="28"/>
      <c r="L1677" s="28"/>
      <c r="M1677" s="28"/>
      <c r="N1677" s="28"/>
      <c r="O1677" s="28"/>
      <c r="P1677" s="28"/>
      <c r="Q1677" s="28"/>
      <c r="R1677" s="28"/>
      <c r="S1677" s="28"/>
    </row>
    <row r="1678" spans="1:19" x14ac:dyDescent="0.25">
      <c r="A1678" s="28"/>
      <c r="B1678" s="28"/>
      <c r="C1678" s="28"/>
      <c r="D1678" s="28"/>
      <c r="E1678" s="28"/>
      <c r="F1678" s="28"/>
      <c r="G1678" s="28"/>
      <c r="H1678" s="28"/>
      <c r="I1678" s="28"/>
      <c r="J1678" s="28"/>
      <c r="K1678" s="28"/>
      <c r="L1678" s="28"/>
      <c r="M1678" s="28"/>
      <c r="N1678" s="28"/>
      <c r="O1678" s="28"/>
      <c r="P1678" s="28"/>
      <c r="Q1678" s="28"/>
      <c r="R1678" s="28"/>
      <c r="S1678" s="28"/>
    </row>
    <row r="1679" spans="1:19" x14ac:dyDescent="0.25">
      <c r="A1679" s="28"/>
      <c r="B1679" s="28"/>
      <c r="C1679" s="28"/>
      <c r="D1679" s="28"/>
      <c r="E1679" s="28"/>
      <c r="F1679" s="28"/>
      <c r="G1679" s="28"/>
      <c r="H1679" s="28"/>
      <c r="I1679" s="28"/>
      <c r="J1679" s="28"/>
      <c r="K1679" s="28"/>
      <c r="L1679" s="28"/>
      <c r="M1679" s="28"/>
      <c r="N1679" s="28"/>
      <c r="O1679" s="28"/>
      <c r="P1679" s="28"/>
      <c r="Q1679" s="28"/>
      <c r="R1679" s="28"/>
      <c r="S1679" s="28"/>
    </row>
    <row r="1680" spans="1:19" x14ac:dyDescent="0.25">
      <c r="A1680" s="28"/>
      <c r="B1680" s="28"/>
      <c r="C1680" s="28"/>
      <c r="D1680" s="28"/>
      <c r="E1680" s="28"/>
      <c r="F1680" s="28"/>
      <c r="G1680" s="28"/>
      <c r="H1680" s="28"/>
      <c r="I1680" s="28"/>
      <c r="J1680" s="28"/>
      <c r="K1680" s="28"/>
      <c r="L1680" s="28"/>
      <c r="M1680" s="28"/>
      <c r="N1680" s="28"/>
      <c r="O1680" s="28"/>
      <c r="P1680" s="28"/>
      <c r="Q1680" s="28"/>
      <c r="R1680" s="28"/>
      <c r="S1680" s="28"/>
    </row>
    <row r="1681" spans="1:19" x14ac:dyDescent="0.25">
      <c r="A1681" s="28"/>
      <c r="B1681" s="28"/>
      <c r="C1681" s="28"/>
      <c r="D1681" s="28"/>
      <c r="E1681" s="28"/>
      <c r="F1681" s="28"/>
      <c r="G1681" s="28"/>
      <c r="H1681" s="28"/>
      <c r="I1681" s="28"/>
      <c r="J1681" s="28"/>
      <c r="K1681" s="28"/>
      <c r="L1681" s="28"/>
      <c r="M1681" s="28"/>
      <c r="N1681" s="28"/>
      <c r="O1681" s="28"/>
      <c r="P1681" s="28"/>
      <c r="Q1681" s="28"/>
      <c r="R1681" s="28"/>
      <c r="S1681" s="28"/>
    </row>
    <row r="1682" spans="1:19" x14ac:dyDescent="0.25">
      <c r="A1682" s="28"/>
      <c r="B1682" s="28"/>
      <c r="C1682" s="28"/>
      <c r="D1682" s="28"/>
      <c r="E1682" s="28"/>
      <c r="F1682" s="28"/>
      <c r="G1682" s="28"/>
      <c r="H1682" s="28"/>
      <c r="I1682" s="28"/>
      <c r="J1682" s="28"/>
      <c r="K1682" s="28"/>
      <c r="L1682" s="28"/>
      <c r="M1682" s="28"/>
      <c r="N1682" s="28"/>
      <c r="O1682" s="28"/>
      <c r="P1682" s="28"/>
      <c r="Q1682" s="28"/>
      <c r="R1682" s="28"/>
      <c r="S1682" s="28"/>
    </row>
    <row r="1683" spans="1:19" x14ac:dyDescent="0.25">
      <c r="A1683" s="28"/>
      <c r="B1683" s="28"/>
      <c r="C1683" s="28"/>
      <c r="D1683" s="28"/>
      <c r="E1683" s="28"/>
      <c r="F1683" s="28"/>
      <c r="G1683" s="28"/>
      <c r="H1683" s="28"/>
      <c r="I1683" s="28"/>
      <c r="J1683" s="28"/>
      <c r="K1683" s="28"/>
      <c r="L1683" s="28"/>
      <c r="M1683" s="28"/>
      <c r="N1683" s="28"/>
      <c r="O1683" s="28"/>
      <c r="P1683" s="28"/>
      <c r="Q1683" s="28"/>
      <c r="R1683" s="28"/>
      <c r="S1683" s="28"/>
    </row>
    <row r="1684" spans="1:19" x14ac:dyDescent="0.25">
      <c r="A1684" s="28"/>
      <c r="B1684" s="28"/>
      <c r="C1684" s="28"/>
      <c r="D1684" s="28"/>
      <c r="E1684" s="28"/>
      <c r="F1684" s="28"/>
      <c r="G1684" s="28"/>
      <c r="H1684" s="28"/>
      <c r="I1684" s="28"/>
      <c r="J1684" s="28"/>
      <c r="K1684" s="28"/>
      <c r="L1684" s="28"/>
      <c r="M1684" s="28"/>
      <c r="N1684" s="28"/>
      <c r="O1684" s="28"/>
      <c r="P1684" s="28"/>
      <c r="Q1684" s="28"/>
      <c r="R1684" s="28"/>
      <c r="S1684" s="28"/>
    </row>
    <row r="1685" spans="1:19" x14ac:dyDescent="0.25">
      <c r="A1685" s="28"/>
      <c r="B1685" s="28"/>
      <c r="C1685" s="28"/>
      <c r="D1685" s="28"/>
      <c r="E1685" s="28"/>
      <c r="F1685" s="28"/>
      <c r="G1685" s="28"/>
      <c r="H1685" s="28"/>
      <c r="I1685" s="28"/>
      <c r="J1685" s="28"/>
      <c r="K1685" s="28"/>
      <c r="L1685" s="28"/>
      <c r="M1685" s="28"/>
      <c r="N1685" s="28"/>
      <c r="O1685" s="28"/>
      <c r="P1685" s="28"/>
      <c r="Q1685" s="28"/>
      <c r="R1685" s="28"/>
      <c r="S1685" s="28"/>
    </row>
    <row r="1686" spans="1:19" x14ac:dyDescent="0.25">
      <c r="A1686" s="28"/>
      <c r="B1686" s="28"/>
      <c r="C1686" s="28"/>
      <c r="D1686" s="28"/>
      <c r="E1686" s="28"/>
      <c r="F1686" s="28"/>
      <c r="G1686" s="28"/>
      <c r="H1686" s="28"/>
      <c r="I1686" s="28"/>
      <c r="J1686" s="28"/>
      <c r="K1686" s="28"/>
      <c r="L1686" s="28"/>
      <c r="M1686" s="28"/>
      <c r="N1686" s="28"/>
      <c r="O1686" s="28"/>
      <c r="P1686" s="28"/>
      <c r="Q1686" s="28"/>
      <c r="R1686" s="28"/>
      <c r="S1686" s="28"/>
    </row>
    <row r="1687" spans="1:19" x14ac:dyDescent="0.25">
      <c r="A1687" s="28"/>
      <c r="B1687" s="28"/>
      <c r="C1687" s="28"/>
      <c r="D1687" s="28"/>
      <c r="E1687" s="28"/>
      <c r="F1687" s="28"/>
      <c r="G1687" s="28"/>
      <c r="H1687" s="28"/>
      <c r="I1687" s="28"/>
      <c r="J1687" s="28"/>
      <c r="K1687" s="28"/>
      <c r="L1687" s="28"/>
      <c r="M1687" s="28"/>
      <c r="N1687" s="28"/>
      <c r="O1687" s="28"/>
      <c r="P1687" s="28"/>
      <c r="Q1687" s="28"/>
      <c r="R1687" s="28"/>
      <c r="S1687" s="28"/>
    </row>
    <row r="1688" spans="1:19" x14ac:dyDescent="0.25">
      <c r="A1688" s="28"/>
      <c r="B1688" s="28"/>
      <c r="C1688" s="28"/>
      <c r="D1688" s="28"/>
      <c r="E1688" s="28"/>
      <c r="F1688" s="28"/>
      <c r="G1688" s="28"/>
      <c r="H1688" s="28"/>
      <c r="I1688" s="28"/>
      <c r="J1688" s="28"/>
      <c r="K1688" s="28"/>
      <c r="L1688" s="28"/>
      <c r="M1688" s="28"/>
      <c r="N1688" s="28"/>
      <c r="O1688" s="28"/>
      <c r="P1688" s="28"/>
      <c r="Q1688" s="28"/>
      <c r="R1688" s="28"/>
      <c r="S1688" s="28"/>
    </row>
    <row r="1689" spans="1:19" x14ac:dyDescent="0.25">
      <c r="A1689" s="28"/>
      <c r="B1689" s="28"/>
      <c r="C1689" s="28"/>
      <c r="D1689" s="28"/>
      <c r="E1689" s="28"/>
      <c r="F1689" s="28"/>
      <c r="G1689" s="28"/>
      <c r="H1689" s="28"/>
      <c r="I1689" s="28"/>
      <c r="J1689" s="28"/>
      <c r="K1689" s="28"/>
      <c r="L1689" s="28"/>
      <c r="M1689" s="28"/>
      <c r="N1689" s="28"/>
      <c r="O1689" s="28"/>
      <c r="P1689" s="28"/>
      <c r="Q1689" s="28"/>
      <c r="R1689" s="28"/>
      <c r="S1689" s="28"/>
    </row>
    <row r="1690" spans="1:19" x14ac:dyDescent="0.25">
      <c r="A1690" s="28"/>
      <c r="B1690" s="28"/>
      <c r="C1690" s="28"/>
      <c r="D1690" s="28"/>
      <c r="E1690" s="28"/>
      <c r="F1690" s="28"/>
      <c r="G1690" s="28"/>
      <c r="H1690" s="28"/>
      <c r="I1690" s="28"/>
      <c r="J1690" s="28"/>
      <c r="K1690" s="28"/>
      <c r="L1690" s="28"/>
      <c r="M1690" s="28"/>
      <c r="N1690" s="28"/>
      <c r="O1690" s="28"/>
      <c r="P1690" s="28"/>
      <c r="Q1690" s="28"/>
      <c r="R1690" s="28"/>
      <c r="S1690" s="28"/>
    </row>
    <row r="1691" spans="1:19" x14ac:dyDescent="0.25">
      <c r="A1691" s="28"/>
      <c r="B1691" s="28"/>
      <c r="C1691" s="28"/>
      <c r="D1691" s="28"/>
      <c r="E1691" s="28"/>
      <c r="F1691" s="28"/>
      <c r="G1691" s="28"/>
      <c r="H1691" s="28"/>
      <c r="I1691" s="28"/>
      <c r="J1691" s="28"/>
      <c r="K1691" s="28"/>
      <c r="L1691" s="28"/>
      <c r="M1691" s="28"/>
      <c r="N1691" s="28"/>
      <c r="O1691" s="28"/>
      <c r="P1691" s="28"/>
      <c r="Q1691" s="28"/>
      <c r="R1691" s="28"/>
      <c r="S1691" s="28"/>
    </row>
    <row r="1692" spans="1:19" x14ac:dyDescent="0.25">
      <c r="A1692" s="28"/>
      <c r="B1692" s="28"/>
      <c r="C1692" s="28"/>
      <c r="D1692" s="28"/>
      <c r="E1692" s="28"/>
      <c r="F1692" s="28"/>
      <c r="G1692" s="28"/>
      <c r="H1692" s="28"/>
      <c r="I1692" s="28"/>
      <c r="J1692" s="28"/>
      <c r="K1692" s="28"/>
      <c r="L1692" s="28"/>
      <c r="M1692" s="28"/>
      <c r="N1692" s="28"/>
      <c r="O1692" s="28"/>
      <c r="P1692" s="28"/>
      <c r="Q1692" s="28"/>
      <c r="R1692" s="28"/>
      <c r="S1692" s="28"/>
    </row>
    <row r="1693" spans="1:19" x14ac:dyDescent="0.25">
      <c r="A1693" s="28"/>
      <c r="B1693" s="28"/>
      <c r="C1693" s="28"/>
      <c r="D1693" s="28"/>
      <c r="E1693" s="28"/>
      <c r="F1693" s="28"/>
      <c r="G1693" s="28"/>
      <c r="H1693" s="28"/>
      <c r="I1693" s="28"/>
      <c r="J1693" s="28"/>
      <c r="K1693" s="28"/>
      <c r="L1693" s="28"/>
      <c r="M1693" s="28"/>
      <c r="N1693" s="28"/>
      <c r="O1693" s="28"/>
      <c r="P1693" s="28"/>
      <c r="Q1693" s="28"/>
      <c r="R1693" s="28"/>
      <c r="S1693" s="28"/>
    </row>
    <row r="1694" spans="1:19" x14ac:dyDescent="0.25">
      <c r="A1694" s="28"/>
      <c r="B1694" s="28"/>
      <c r="C1694" s="28"/>
      <c r="D1694" s="28"/>
      <c r="E1694" s="28"/>
      <c r="F1694" s="28"/>
      <c r="G1694" s="28"/>
      <c r="H1694" s="28"/>
      <c r="I1694" s="28"/>
      <c r="J1694" s="28"/>
      <c r="K1694" s="28"/>
      <c r="L1694" s="28"/>
      <c r="M1694" s="28"/>
      <c r="N1694" s="28"/>
      <c r="O1694" s="28"/>
      <c r="P1694" s="28"/>
      <c r="Q1694" s="28"/>
      <c r="R1694" s="28"/>
      <c r="S1694" s="28"/>
    </row>
    <row r="1695" spans="1:19" x14ac:dyDescent="0.25">
      <c r="A1695" s="28"/>
      <c r="B1695" s="28"/>
      <c r="C1695" s="28"/>
      <c r="D1695" s="28"/>
      <c r="E1695" s="28"/>
      <c r="F1695" s="28"/>
      <c r="G1695" s="28"/>
      <c r="H1695" s="28"/>
      <c r="I1695" s="28"/>
      <c r="J1695" s="28"/>
      <c r="K1695" s="28"/>
      <c r="L1695" s="28"/>
      <c r="M1695" s="28"/>
      <c r="N1695" s="28"/>
      <c r="O1695" s="28"/>
      <c r="P1695" s="28"/>
      <c r="Q1695" s="28"/>
      <c r="R1695" s="28"/>
      <c r="S1695" s="28"/>
    </row>
    <row r="1696" spans="1:19" x14ac:dyDescent="0.25">
      <c r="A1696" s="28"/>
      <c r="B1696" s="28"/>
      <c r="C1696" s="28"/>
      <c r="D1696" s="28"/>
      <c r="E1696" s="28"/>
      <c r="F1696" s="28"/>
      <c r="G1696" s="28"/>
      <c r="H1696" s="28"/>
      <c r="I1696" s="28"/>
      <c r="J1696" s="28"/>
      <c r="K1696" s="28"/>
      <c r="L1696" s="28"/>
      <c r="M1696" s="28"/>
      <c r="N1696" s="28"/>
      <c r="O1696" s="28"/>
      <c r="P1696" s="28"/>
      <c r="Q1696" s="28"/>
      <c r="R1696" s="28"/>
      <c r="S1696" s="28"/>
    </row>
    <row r="1697" spans="1:19" x14ac:dyDescent="0.25">
      <c r="A1697" s="28"/>
      <c r="B1697" s="28"/>
      <c r="C1697" s="28"/>
      <c r="D1697" s="28"/>
      <c r="E1697" s="28"/>
      <c r="F1697" s="28"/>
      <c r="G1697" s="28"/>
      <c r="H1697" s="28"/>
      <c r="I1697" s="28"/>
      <c r="J1697" s="28"/>
      <c r="K1697" s="28"/>
      <c r="L1697" s="28"/>
      <c r="M1697" s="28"/>
      <c r="N1697" s="28"/>
      <c r="O1697" s="28"/>
      <c r="P1697" s="28"/>
      <c r="Q1697" s="28"/>
      <c r="R1697" s="28"/>
      <c r="S1697" s="28"/>
    </row>
    <row r="1698" spans="1:19" x14ac:dyDescent="0.25">
      <c r="A1698" s="28"/>
      <c r="B1698" s="28"/>
      <c r="C1698" s="28"/>
      <c r="D1698" s="28"/>
      <c r="E1698" s="28"/>
      <c r="F1698" s="28"/>
      <c r="G1698" s="28"/>
      <c r="H1698" s="28"/>
      <c r="I1698" s="28"/>
      <c r="J1698" s="28"/>
      <c r="K1698" s="28"/>
      <c r="L1698" s="28"/>
      <c r="M1698" s="28"/>
      <c r="N1698" s="28"/>
      <c r="O1698" s="28"/>
      <c r="P1698" s="28"/>
      <c r="Q1698" s="28"/>
      <c r="R1698" s="28"/>
      <c r="S1698" s="28"/>
    </row>
    <row r="1699" spans="1:19" x14ac:dyDescent="0.25">
      <c r="A1699" s="28"/>
      <c r="B1699" s="28"/>
      <c r="C1699" s="28"/>
      <c r="D1699" s="28"/>
      <c r="E1699" s="28"/>
      <c r="F1699" s="28"/>
      <c r="G1699" s="28"/>
      <c r="H1699" s="28"/>
      <c r="I1699" s="28"/>
      <c r="J1699" s="28"/>
      <c r="K1699" s="28"/>
      <c r="L1699" s="28"/>
      <c r="M1699" s="28"/>
      <c r="N1699" s="28"/>
      <c r="O1699" s="28"/>
      <c r="P1699" s="28"/>
      <c r="Q1699" s="28"/>
      <c r="R1699" s="28"/>
      <c r="S1699" s="28"/>
    </row>
    <row r="1700" spans="1:19" x14ac:dyDescent="0.25">
      <c r="A1700" s="28"/>
      <c r="B1700" s="28"/>
      <c r="C1700" s="28"/>
      <c r="D1700" s="28"/>
      <c r="E1700" s="28"/>
      <c r="F1700" s="28"/>
      <c r="G1700" s="28"/>
      <c r="H1700" s="28"/>
      <c r="I1700" s="28"/>
      <c r="J1700" s="28"/>
      <c r="K1700" s="28"/>
      <c r="L1700" s="28"/>
      <c r="M1700" s="28"/>
      <c r="N1700" s="28"/>
      <c r="O1700" s="28"/>
      <c r="P1700" s="28"/>
      <c r="Q1700" s="28"/>
      <c r="R1700" s="28"/>
      <c r="S1700" s="28"/>
    </row>
    <row r="1701" spans="1:19" x14ac:dyDescent="0.25">
      <c r="A1701" s="28"/>
      <c r="B1701" s="28"/>
      <c r="C1701" s="28"/>
      <c r="D1701" s="28"/>
      <c r="E1701" s="28"/>
      <c r="F1701" s="28"/>
      <c r="G1701" s="28"/>
      <c r="H1701" s="28"/>
      <c r="I1701" s="28"/>
      <c r="J1701" s="28"/>
      <c r="K1701" s="28"/>
      <c r="L1701" s="28"/>
      <c r="M1701" s="28"/>
      <c r="N1701" s="28"/>
      <c r="O1701" s="28"/>
      <c r="P1701" s="28"/>
      <c r="Q1701" s="28"/>
      <c r="R1701" s="28"/>
      <c r="S1701" s="28"/>
    </row>
    <row r="1702" spans="1:19" x14ac:dyDescent="0.25">
      <c r="A1702" s="28"/>
      <c r="B1702" s="28"/>
      <c r="C1702" s="28"/>
      <c r="D1702" s="28"/>
      <c r="E1702" s="28"/>
      <c r="F1702" s="28"/>
      <c r="G1702" s="28"/>
      <c r="H1702" s="28"/>
      <c r="I1702" s="28"/>
      <c r="J1702" s="28"/>
      <c r="K1702" s="28"/>
      <c r="L1702" s="28"/>
      <c r="M1702" s="28"/>
      <c r="N1702" s="28"/>
      <c r="O1702" s="28"/>
      <c r="P1702" s="28"/>
      <c r="Q1702" s="28"/>
      <c r="R1702" s="28"/>
      <c r="S1702" s="28"/>
    </row>
    <row r="1703" spans="1:19" x14ac:dyDescent="0.25">
      <c r="A1703" s="28"/>
      <c r="B1703" s="28"/>
      <c r="C1703" s="28"/>
      <c r="D1703" s="28"/>
      <c r="E1703" s="28"/>
      <c r="F1703" s="28"/>
      <c r="G1703" s="28"/>
      <c r="H1703" s="28"/>
      <c r="I1703" s="28"/>
      <c r="J1703" s="28"/>
      <c r="K1703" s="28"/>
      <c r="L1703" s="28"/>
      <c r="M1703" s="28"/>
      <c r="N1703" s="28"/>
      <c r="O1703" s="28"/>
      <c r="P1703" s="28"/>
      <c r="Q1703" s="28"/>
      <c r="R1703" s="28"/>
      <c r="S1703" s="28"/>
    </row>
    <row r="1704" spans="1:19" x14ac:dyDescent="0.25">
      <c r="A1704" s="28"/>
      <c r="B1704" s="28"/>
      <c r="C1704" s="28"/>
      <c r="D1704" s="28"/>
      <c r="E1704" s="28"/>
      <c r="F1704" s="28"/>
      <c r="G1704" s="28"/>
      <c r="H1704" s="28"/>
      <c r="I1704" s="28"/>
      <c r="J1704" s="28"/>
      <c r="K1704" s="28"/>
      <c r="L1704" s="28"/>
      <c r="M1704" s="28"/>
      <c r="N1704" s="28"/>
      <c r="O1704" s="28"/>
      <c r="P1704" s="28"/>
      <c r="Q1704" s="28"/>
      <c r="R1704" s="28"/>
      <c r="S1704" s="28"/>
    </row>
    <row r="1705" spans="1:19" x14ac:dyDescent="0.25">
      <c r="A1705" s="28"/>
      <c r="B1705" s="28"/>
      <c r="C1705" s="28"/>
      <c r="D1705" s="28"/>
      <c r="E1705" s="28"/>
      <c r="F1705" s="28"/>
      <c r="G1705" s="28"/>
      <c r="H1705" s="28"/>
      <c r="I1705" s="28"/>
      <c r="J1705" s="28"/>
      <c r="K1705" s="28"/>
      <c r="L1705" s="28"/>
      <c r="M1705" s="28"/>
      <c r="N1705" s="28"/>
      <c r="O1705" s="28"/>
      <c r="P1705" s="28"/>
      <c r="Q1705" s="28"/>
      <c r="R1705" s="28"/>
      <c r="S1705" s="28"/>
    </row>
    <row r="1706" spans="1:19" x14ac:dyDescent="0.25">
      <c r="A1706" s="28"/>
      <c r="B1706" s="28"/>
      <c r="C1706" s="28"/>
      <c r="D1706" s="28"/>
      <c r="E1706" s="28"/>
      <c r="F1706" s="28"/>
      <c r="G1706" s="28"/>
      <c r="H1706" s="28"/>
      <c r="I1706" s="28"/>
      <c r="J1706" s="28"/>
      <c r="K1706" s="28"/>
      <c r="L1706" s="28"/>
      <c r="M1706" s="28"/>
      <c r="N1706" s="28"/>
      <c r="O1706" s="28"/>
      <c r="P1706" s="28"/>
      <c r="Q1706" s="28"/>
      <c r="R1706" s="28"/>
      <c r="S1706" s="28"/>
    </row>
    <row r="1707" spans="1:19" x14ac:dyDescent="0.25">
      <c r="A1707" s="28"/>
      <c r="B1707" s="28"/>
      <c r="C1707" s="28"/>
      <c r="D1707" s="28"/>
      <c r="E1707" s="28"/>
      <c r="F1707" s="28"/>
      <c r="G1707" s="28"/>
      <c r="H1707" s="28"/>
      <c r="I1707" s="28"/>
      <c r="J1707" s="28"/>
      <c r="K1707" s="28"/>
      <c r="L1707" s="28"/>
      <c r="M1707" s="28"/>
      <c r="N1707" s="28"/>
      <c r="O1707" s="28"/>
      <c r="P1707" s="28"/>
      <c r="Q1707" s="28"/>
      <c r="R1707" s="28"/>
      <c r="S1707" s="28"/>
    </row>
    <row r="1708" spans="1:19" x14ac:dyDescent="0.25">
      <c r="A1708" s="28"/>
      <c r="B1708" s="28"/>
      <c r="C1708" s="28"/>
      <c r="D1708" s="28"/>
      <c r="E1708" s="28"/>
      <c r="F1708" s="28"/>
      <c r="G1708" s="28"/>
      <c r="H1708" s="28"/>
      <c r="I1708" s="28"/>
      <c r="J1708" s="28"/>
      <c r="K1708" s="28"/>
      <c r="L1708" s="28"/>
      <c r="M1708" s="28"/>
      <c r="N1708" s="28"/>
      <c r="O1708" s="28"/>
      <c r="P1708" s="28"/>
      <c r="Q1708" s="28"/>
      <c r="R1708" s="28"/>
      <c r="S1708" s="28"/>
    </row>
    <row r="1709" spans="1:19" x14ac:dyDescent="0.25">
      <c r="A1709" s="28"/>
      <c r="B1709" s="28"/>
      <c r="C1709" s="28"/>
      <c r="D1709" s="28"/>
      <c r="E1709" s="28"/>
      <c r="F1709" s="28"/>
      <c r="G1709" s="28"/>
      <c r="H1709" s="28"/>
      <c r="I1709" s="28"/>
      <c r="J1709" s="28"/>
      <c r="K1709" s="28"/>
      <c r="L1709" s="28"/>
      <c r="M1709" s="28"/>
      <c r="N1709" s="28"/>
      <c r="O1709" s="28"/>
      <c r="P1709" s="28"/>
      <c r="Q1709" s="28"/>
      <c r="R1709" s="28"/>
      <c r="S1709" s="28"/>
    </row>
    <row r="1710" spans="1:19" x14ac:dyDescent="0.25">
      <c r="A1710" s="28"/>
      <c r="B1710" s="28"/>
      <c r="C1710" s="28"/>
      <c r="D1710" s="28"/>
      <c r="E1710" s="28"/>
      <c r="F1710" s="28"/>
      <c r="G1710" s="28"/>
      <c r="H1710" s="28"/>
      <c r="I1710" s="28"/>
      <c r="J1710" s="28"/>
      <c r="K1710" s="28"/>
      <c r="L1710" s="28"/>
      <c r="M1710" s="28"/>
      <c r="N1710" s="28"/>
      <c r="O1710" s="28"/>
      <c r="P1710" s="28"/>
      <c r="Q1710" s="28"/>
      <c r="R1710" s="28"/>
      <c r="S1710" s="28"/>
    </row>
    <row r="1711" spans="1:19" x14ac:dyDescent="0.25">
      <c r="A1711" s="28"/>
      <c r="B1711" s="28"/>
      <c r="C1711" s="28"/>
      <c r="D1711" s="28"/>
      <c r="E1711" s="28"/>
      <c r="F1711" s="28"/>
      <c r="G1711" s="28"/>
      <c r="H1711" s="28"/>
      <c r="I1711" s="28"/>
      <c r="J1711" s="28"/>
      <c r="K1711" s="28"/>
      <c r="L1711" s="28"/>
      <c r="M1711" s="28"/>
      <c r="N1711" s="28"/>
      <c r="O1711" s="28"/>
      <c r="P1711" s="28"/>
      <c r="Q1711" s="28"/>
      <c r="R1711" s="28"/>
      <c r="S1711" s="28"/>
    </row>
    <row r="1712" spans="1:19" x14ac:dyDescent="0.25">
      <c r="A1712" s="28"/>
      <c r="B1712" s="28"/>
      <c r="C1712" s="28"/>
      <c r="D1712" s="28"/>
      <c r="E1712" s="28"/>
      <c r="F1712" s="28"/>
      <c r="G1712" s="28"/>
      <c r="H1712" s="28"/>
      <c r="I1712" s="28"/>
      <c r="J1712" s="28"/>
      <c r="K1712" s="28"/>
      <c r="L1712" s="28"/>
      <c r="M1712" s="28"/>
      <c r="N1712" s="28"/>
      <c r="O1712" s="28"/>
      <c r="P1712" s="28"/>
      <c r="Q1712" s="28"/>
      <c r="R1712" s="28"/>
      <c r="S1712" s="28"/>
    </row>
    <row r="1713" spans="1:19" x14ac:dyDescent="0.25">
      <c r="A1713" s="28"/>
      <c r="B1713" s="28"/>
      <c r="C1713" s="28"/>
      <c r="D1713" s="28"/>
      <c r="E1713" s="28"/>
      <c r="F1713" s="28"/>
      <c r="G1713" s="28"/>
      <c r="H1713" s="28"/>
      <c r="I1713" s="28"/>
      <c r="J1713" s="28"/>
      <c r="K1713" s="28"/>
      <c r="L1713" s="28"/>
      <c r="M1713" s="28"/>
      <c r="N1713" s="28"/>
      <c r="O1713" s="28"/>
      <c r="P1713" s="28"/>
      <c r="Q1713" s="28"/>
      <c r="R1713" s="28"/>
      <c r="S1713" s="28"/>
    </row>
    <row r="1714" spans="1:19" x14ac:dyDescent="0.25">
      <c r="A1714" s="28"/>
      <c r="B1714" s="28"/>
      <c r="C1714" s="28"/>
      <c r="D1714" s="28"/>
      <c r="E1714" s="28"/>
      <c r="F1714" s="28"/>
      <c r="G1714" s="28"/>
      <c r="H1714" s="28"/>
      <c r="I1714" s="28"/>
      <c r="J1714" s="28"/>
      <c r="K1714" s="28"/>
      <c r="L1714" s="28"/>
      <c r="M1714" s="28"/>
      <c r="N1714" s="28"/>
      <c r="O1714" s="28"/>
      <c r="P1714" s="28"/>
      <c r="Q1714" s="28"/>
      <c r="R1714" s="28"/>
      <c r="S1714" s="28"/>
    </row>
    <row r="1715" spans="1:19" x14ac:dyDescent="0.25">
      <c r="A1715" s="28"/>
      <c r="B1715" s="28"/>
      <c r="C1715" s="28"/>
      <c r="D1715" s="28"/>
      <c r="E1715" s="28"/>
      <c r="F1715" s="28"/>
      <c r="G1715" s="28"/>
      <c r="H1715" s="28"/>
      <c r="I1715" s="28"/>
      <c r="J1715" s="28"/>
      <c r="K1715" s="28"/>
      <c r="L1715" s="28"/>
      <c r="M1715" s="28"/>
      <c r="N1715" s="28"/>
      <c r="O1715" s="28"/>
      <c r="P1715" s="28"/>
      <c r="Q1715" s="28"/>
      <c r="R1715" s="28"/>
      <c r="S1715" s="28"/>
    </row>
    <row r="1716" spans="1:19" x14ac:dyDescent="0.25">
      <c r="A1716" s="28"/>
      <c r="B1716" s="28"/>
      <c r="C1716" s="28"/>
      <c r="D1716" s="28"/>
      <c r="E1716" s="28"/>
      <c r="F1716" s="28"/>
      <c r="G1716" s="28"/>
      <c r="H1716" s="28"/>
      <c r="I1716" s="28"/>
      <c r="J1716" s="28"/>
      <c r="K1716" s="28"/>
      <c r="L1716" s="28"/>
      <c r="M1716" s="28"/>
      <c r="N1716" s="28"/>
      <c r="O1716" s="28"/>
      <c r="P1716" s="28"/>
      <c r="Q1716" s="28"/>
      <c r="R1716" s="28"/>
      <c r="S1716" s="28"/>
    </row>
    <row r="1717" spans="1:19" x14ac:dyDescent="0.25">
      <c r="A1717" s="28"/>
      <c r="B1717" s="28"/>
      <c r="C1717" s="28"/>
      <c r="D1717" s="28"/>
      <c r="E1717" s="28"/>
      <c r="F1717" s="28"/>
      <c r="G1717" s="28"/>
      <c r="H1717" s="28"/>
      <c r="I1717" s="28"/>
      <c r="J1717" s="28"/>
      <c r="K1717" s="28"/>
      <c r="L1717" s="28"/>
      <c r="M1717" s="28"/>
      <c r="N1717" s="28"/>
      <c r="O1717" s="28"/>
      <c r="P1717" s="28"/>
      <c r="Q1717" s="28"/>
      <c r="R1717" s="28"/>
      <c r="S1717" s="28"/>
    </row>
    <row r="1718" spans="1:19" x14ac:dyDescent="0.25">
      <c r="A1718" s="28"/>
      <c r="B1718" s="28"/>
      <c r="C1718" s="28"/>
      <c r="D1718" s="28"/>
      <c r="E1718" s="28"/>
      <c r="F1718" s="28"/>
      <c r="G1718" s="28"/>
      <c r="H1718" s="28"/>
      <c r="I1718" s="28"/>
      <c r="J1718" s="28"/>
      <c r="K1718" s="28"/>
      <c r="L1718" s="28"/>
      <c r="M1718" s="28"/>
      <c r="N1718" s="28"/>
      <c r="O1718" s="28"/>
      <c r="P1718" s="28"/>
      <c r="Q1718" s="28"/>
      <c r="R1718" s="28"/>
      <c r="S1718" s="28"/>
    </row>
    <row r="1719" spans="1:19" x14ac:dyDescent="0.25">
      <c r="A1719" s="28"/>
      <c r="B1719" s="28"/>
      <c r="C1719" s="28"/>
      <c r="D1719" s="28"/>
      <c r="E1719" s="28"/>
      <c r="F1719" s="28"/>
      <c r="G1719" s="28"/>
      <c r="H1719" s="28"/>
      <c r="I1719" s="28"/>
      <c r="J1719" s="28"/>
      <c r="K1719" s="28"/>
      <c r="L1719" s="28"/>
      <c r="M1719" s="28"/>
      <c r="N1719" s="28"/>
      <c r="O1719" s="28"/>
      <c r="P1719" s="28"/>
      <c r="Q1719" s="28"/>
      <c r="R1719" s="28"/>
      <c r="S1719" s="28"/>
    </row>
    <row r="1720" spans="1:19" x14ac:dyDescent="0.25">
      <c r="A1720" s="28"/>
      <c r="B1720" s="28"/>
      <c r="C1720" s="28"/>
      <c r="D1720" s="28"/>
      <c r="E1720" s="28"/>
      <c r="F1720" s="28"/>
      <c r="G1720" s="28"/>
      <c r="H1720" s="28"/>
      <c r="I1720" s="28"/>
      <c r="J1720" s="28"/>
      <c r="K1720" s="28"/>
      <c r="L1720" s="28"/>
      <c r="M1720" s="28"/>
      <c r="N1720" s="28"/>
      <c r="O1720" s="28"/>
      <c r="P1720" s="28"/>
      <c r="Q1720" s="28"/>
      <c r="R1720" s="28"/>
      <c r="S1720" s="28"/>
    </row>
    <row r="1721" spans="1:19" x14ac:dyDescent="0.25">
      <c r="A1721" s="28"/>
      <c r="B1721" s="28"/>
      <c r="C1721" s="28"/>
      <c r="D1721" s="28"/>
      <c r="E1721" s="28"/>
      <c r="F1721" s="28"/>
      <c r="G1721" s="28"/>
      <c r="H1721" s="28"/>
      <c r="I1721" s="28"/>
      <c r="J1721" s="28"/>
      <c r="K1721" s="28"/>
      <c r="L1721" s="28"/>
      <c r="M1721" s="28"/>
      <c r="N1721" s="28"/>
      <c r="O1721" s="28"/>
      <c r="P1721" s="28"/>
      <c r="Q1721" s="28"/>
      <c r="R1721" s="28"/>
      <c r="S1721" s="28"/>
    </row>
    <row r="1722" spans="1:19" x14ac:dyDescent="0.25">
      <c r="A1722" s="28"/>
      <c r="B1722" s="28"/>
      <c r="C1722" s="28"/>
      <c r="D1722" s="28"/>
      <c r="E1722" s="28"/>
      <c r="F1722" s="28"/>
      <c r="G1722" s="28"/>
      <c r="H1722" s="28"/>
      <c r="I1722" s="28"/>
      <c r="J1722" s="28"/>
      <c r="K1722" s="28"/>
      <c r="L1722" s="28"/>
      <c r="M1722" s="28"/>
      <c r="N1722" s="28"/>
      <c r="O1722" s="28"/>
      <c r="P1722" s="28"/>
      <c r="Q1722" s="28"/>
      <c r="R1722" s="28"/>
      <c r="S1722" s="28"/>
    </row>
    <row r="1723" spans="1:19" x14ac:dyDescent="0.25">
      <c r="A1723" s="28"/>
      <c r="B1723" s="28"/>
      <c r="C1723" s="28"/>
      <c r="D1723" s="28"/>
      <c r="E1723" s="28"/>
      <c r="F1723" s="28"/>
      <c r="G1723" s="28"/>
      <c r="H1723" s="28"/>
      <c r="I1723" s="28"/>
      <c r="J1723" s="28"/>
      <c r="K1723" s="28"/>
      <c r="L1723" s="28"/>
      <c r="M1723" s="28"/>
      <c r="N1723" s="28"/>
      <c r="O1723" s="28"/>
      <c r="P1723" s="28"/>
      <c r="Q1723" s="28"/>
      <c r="R1723" s="28"/>
      <c r="S1723" s="28"/>
    </row>
    <row r="1724" spans="1:19" x14ac:dyDescent="0.25">
      <c r="A1724" s="28"/>
      <c r="B1724" s="28"/>
      <c r="C1724" s="28"/>
      <c r="D1724" s="28"/>
      <c r="E1724" s="28"/>
      <c r="F1724" s="28"/>
      <c r="G1724" s="28"/>
      <c r="H1724" s="28"/>
      <c r="I1724" s="28"/>
      <c r="J1724" s="28"/>
      <c r="K1724" s="28"/>
      <c r="L1724" s="28"/>
      <c r="M1724" s="28"/>
      <c r="N1724" s="28"/>
      <c r="O1724" s="28"/>
      <c r="P1724" s="28"/>
      <c r="Q1724" s="28"/>
      <c r="R1724" s="28"/>
      <c r="S1724" s="28"/>
    </row>
    <row r="1725" spans="1:19" x14ac:dyDescent="0.25">
      <c r="A1725" s="28"/>
      <c r="B1725" s="28"/>
      <c r="C1725" s="28"/>
      <c r="D1725" s="28"/>
      <c r="E1725" s="28"/>
      <c r="F1725" s="28"/>
      <c r="G1725" s="28"/>
      <c r="H1725" s="28"/>
      <c r="I1725" s="28"/>
      <c r="J1725" s="28"/>
      <c r="K1725" s="28"/>
      <c r="L1725" s="28"/>
      <c r="M1725" s="28"/>
      <c r="N1725" s="28"/>
      <c r="O1725" s="28"/>
      <c r="P1725" s="28"/>
      <c r="Q1725" s="28"/>
      <c r="R1725" s="28"/>
      <c r="S1725" s="28"/>
    </row>
    <row r="1726" spans="1:19" x14ac:dyDescent="0.25">
      <c r="A1726" s="28"/>
      <c r="B1726" s="28"/>
      <c r="C1726" s="28"/>
      <c r="D1726" s="28"/>
      <c r="E1726" s="28"/>
      <c r="F1726" s="28"/>
      <c r="G1726" s="28"/>
      <c r="H1726" s="28"/>
      <c r="I1726" s="28"/>
      <c r="J1726" s="28"/>
      <c r="K1726" s="28"/>
      <c r="L1726" s="28"/>
      <c r="M1726" s="28"/>
      <c r="N1726" s="28"/>
      <c r="O1726" s="28"/>
      <c r="P1726" s="28"/>
      <c r="Q1726" s="28"/>
      <c r="R1726" s="28"/>
      <c r="S1726" s="28"/>
    </row>
    <row r="1727" spans="1:19" x14ac:dyDescent="0.25">
      <c r="A1727" s="28"/>
      <c r="B1727" s="28"/>
      <c r="C1727" s="28"/>
      <c r="D1727" s="28"/>
      <c r="E1727" s="28"/>
      <c r="F1727" s="28"/>
      <c r="G1727" s="28"/>
      <c r="H1727" s="28"/>
      <c r="I1727" s="28"/>
      <c r="J1727" s="28"/>
      <c r="K1727" s="28"/>
      <c r="L1727" s="28"/>
      <c r="M1727" s="28"/>
      <c r="N1727" s="28"/>
      <c r="O1727" s="28"/>
      <c r="P1727" s="28"/>
      <c r="Q1727" s="28"/>
      <c r="R1727" s="28"/>
      <c r="S1727" s="28"/>
    </row>
    <row r="1728" spans="1:19" x14ac:dyDescent="0.25">
      <c r="A1728" s="28"/>
      <c r="B1728" s="28"/>
      <c r="C1728" s="28"/>
      <c r="D1728" s="28"/>
      <c r="E1728" s="28"/>
      <c r="F1728" s="28"/>
      <c r="G1728" s="28"/>
      <c r="H1728" s="28"/>
      <c r="I1728" s="28"/>
      <c r="J1728" s="28"/>
      <c r="K1728" s="28"/>
      <c r="L1728" s="28"/>
      <c r="M1728" s="28"/>
      <c r="N1728" s="28"/>
      <c r="O1728" s="28"/>
      <c r="P1728" s="28"/>
      <c r="Q1728" s="28"/>
      <c r="R1728" s="28"/>
      <c r="S1728" s="28"/>
    </row>
    <row r="1729" spans="1:19" x14ac:dyDescent="0.25">
      <c r="A1729" s="28"/>
      <c r="B1729" s="28"/>
      <c r="C1729" s="28"/>
      <c r="D1729" s="28"/>
      <c r="E1729" s="28"/>
      <c r="F1729" s="28"/>
      <c r="G1729" s="28"/>
      <c r="H1729" s="28"/>
      <c r="I1729" s="28"/>
      <c r="J1729" s="28"/>
      <c r="K1729" s="28"/>
      <c r="L1729" s="28"/>
      <c r="M1729" s="28"/>
      <c r="N1729" s="28"/>
      <c r="O1729" s="28"/>
      <c r="P1729" s="28"/>
      <c r="Q1729" s="28"/>
      <c r="R1729" s="28"/>
      <c r="S1729" s="28"/>
    </row>
    <row r="1730" spans="1:19" x14ac:dyDescent="0.25">
      <c r="A1730" s="28"/>
      <c r="B1730" s="28"/>
      <c r="C1730" s="28"/>
      <c r="D1730" s="28"/>
      <c r="E1730" s="28"/>
      <c r="F1730" s="28"/>
      <c r="G1730" s="28"/>
      <c r="H1730" s="28"/>
      <c r="I1730" s="28"/>
      <c r="J1730" s="28"/>
      <c r="K1730" s="28"/>
      <c r="L1730" s="28"/>
      <c r="M1730" s="28"/>
      <c r="N1730" s="28"/>
      <c r="O1730" s="28"/>
      <c r="P1730" s="28"/>
      <c r="Q1730" s="28"/>
      <c r="R1730" s="28"/>
      <c r="S1730" s="28"/>
    </row>
    <row r="1731" spans="1:19" x14ac:dyDescent="0.25">
      <c r="A1731" s="28"/>
      <c r="B1731" s="28"/>
      <c r="C1731" s="28"/>
      <c r="D1731" s="28"/>
      <c r="E1731" s="28"/>
      <c r="F1731" s="28"/>
      <c r="G1731" s="28"/>
      <c r="H1731" s="28"/>
      <c r="I1731" s="28"/>
      <c r="J1731" s="28"/>
      <c r="K1731" s="28"/>
      <c r="L1731" s="28"/>
      <c r="M1731" s="28"/>
      <c r="N1731" s="28"/>
      <c r="O1731" s="28"/>
      <c r="P1731" s="28"/>
      <c r="Q1731" s="28"/>
      <c r="R1731" s="28"/>
      <c r="S1731" s="28"/>
    </row>
    <row r="1732" spans="1:19" x14ac:dyDescent="0.25">
      <c r="A1732" s="28"/>
      <c r="B1732" s="28"/>
      <c r="C1732" s="28"/>
      <c r="D1732" s="28"/>
      <c r="E1732" s="28"/>
      <c r="F1732" s="28"/>
      <c r="G1732" s="28"/>
      <c r="H1732" s="28"/>
      <c r="I1732" s="28"/>
      <c r="J1732" s="28"/>
      <c r="K1732" s="28"/>
      <c r="L1732" s="28"/>
      <c r="M1732" s="28"/>
      <c r="N1732" s="28"/>
      <c r="O1732" s="28"/>
      <c r="P1732" s="28"/>
      <c r="Q1732" s="28"/>
      <c r="R1732" s="28"/>
      <c r="S1732" s="28"/>
    </row>
    <row r="1733" spans="1:19" x14ac:dyDescent="0.25">
      <c r="A1733" s="28"/>
      <c r="B1733" s="28"/>
      <c r="C1733" s="28"/>
      <c r="D1733" s="28"/>
      <c r="E1733" s="28"/>
      <c r="F1733" s="28"/>
      <c r="G1733" s="28"/>
      <c r="H1733" s="28"/>
      <c r="I1733" s="28"/>
      <c r="J1733" s="28"/>
      <c r="K1733" s="28"/>
      <c r="L1733" s="28"/>
      <c r="M1733" s="28"/>
      <c r="N1733" s="28"/>
      <c r="O1733" s="28"/>
      <c r="P1733" s="28"/>
      <c r="Q1733" s="28"/>
      <c r="R1733" s="28"/>
      <c r="S1733" s="28"/>
    </row>
    <row r="1734" spans="1:19" x14ac:dyDescent="0.25">
      <c r="A1734" s="28"/>
      <c r="B1734" s="28"/>
      <c r="C1734" s="28"/>
      <c r="D1734" s="28"/>
      <c r="E1734" s="28"/>
      <c r="F1734" s="28"/>
      <c r="G1734" s="28"/>
      <c r="H1734" s="28"/>
      <c r="I1734" s="28"/>
      <c r="J1734" s="28"/>
      <c r="K1734" s="28"/>
      <c r="L1734" s="28"/>
      <c r="M1734" s="28"/>
      <c r="N1734" s="28"/>
      <c r="O1734" s="28"/>
      <c r="P1734" s="28"/>
      <c r="Q1734" s="28"/>
      <c r="R1734" s="28"/>
      <c r="S1734" s="28"/>
    </row>
    <row r="1735" spans="1:19" x14ac:dyDescent="0.25">
      <c r="A1735" s="28"/>
      <c r="B1735" s="28"/>
      <c r="C1735" s="28"/>
      <c r="D1735" s="28"/>
      <c r="E1735" s="28"/>
      <c r="F1735" s="28"/>
      <c r="G1735" s="28"/>
      <c r="H1735" s="28"/>
      <c r="I1735" s="28"/>
      <c r="J1735" s="28"/>
      <c r="K1735" s="28"/>
      <c r="L1735" s="28"/>
      <c r="M1735" s="28"/>
      <c r="N1735" s="28"/>
      <c r="O1735" s="28"/>
      <c r="P1735" s="28"/>
      <c r="Q1735" s="28"/>
      <c r="R1735" s="28"/>
      <c r="S1735" s="28"/>
    </row>
    <row r="1736" spans="1:19" x14ac:dyDescent="0.25">
      <c r="A1736" s="28"/>
      <c r="B1736" s="28"/>
      <c r="C1736" s="28"/>
      <c r="D1736" s="28"/>
      <c r="E1736" s="28"/>
      <c r="F1736" s="28"/>
      <c r="G1736" s="28"/>
      <c r="H1736" s="28"/>
      <c r="I1736" s="28"/>
      <c r="J1736" s="28"/>
      <c r="K1736" s="28"/>
      <c r="L1736" s="28"/>
      <c r="M1736" s="28"/>
      <c r="N1736" s="28"/>
      <c r="O1736" s="28"/>
      <c r="P1736" s="28"/>
      <c r="Q1736" s="28"/>
      <c r="R1736" s="28"/>
      <c r="S1736" s="28"/>
    </row>
    <row r="1737" spans="1:19" x14ac:dyDescent="0.25">
      <c r="A1737" s="28"/>
      <c r="B1737" s="28"/>
      <c r="C1737" s="28"/>
      <c r="D1737" s="28"/>
      <c r="E1737" s="28"/>
      <c r="F1737" s="28"/>
      <c r="G1737" s="28"/>
      <c r="H1737" s="28"/>
      <c r="I1737" s="28"/>
      <c r="J1737" s="28"/>
      <c r="K1737" s="28"/>
      <c r="L1737" s="28"/>
      <c r="M1737" s="28"/>
      <c r="N1737" s="28"/>
      <c r="O1737" s="28"/>
      <c r="P1737" s="28"/>
      <c r="Q1737" s="28"/>
      <c r="R1737" s="28"/>
      <c r="S1737" s="28"/>
    </row>
    <row r="1738" spans="1:19" x14ac:dyDescent="0.25">
      <c r="A1738" s="28"/>
      <c r="B1738" s="28"/>
      <c r="C1738" s="28"/>
      <c r="D1738" s="28"/>
      <c r="E1738" s="28"/>
      <c r="F1738" s="28"/>
      <c r="G1738" s="28"/>
      <c r="H1738" s="28"/>
      <c r="I1738" s="28"/>
      <c r="J1738" s="28"/>
      <c r="K1738" s="28"/>
      <c r="L1738" s="28"/>
      <c r="M1738" s="28"/>
      <c r="N1738" s="28"/>
      <c r="O1738" s="28"/>
      <c r="P1738" s="28"/>
      <c r="Q1738" s="28"/>
      <c r="R1738" s="28"/>
      <c r="S1738" s="28"/>
    </row>
    <row r="1739" spans="1:19" x14ac:dyDescent="0.25">
      <c r="A1739" s="28"/>
      <c r="B1739" s="28"/>
      <c r="C1739" s="28"/>
      <c r="D1739" s="28"/>
      <c r="E1739" s="28"/>
      <c r="F1739" s="28"/>
      <c r="G1739" s="28"/>
      <c r="H1739" s="28"/>
      <c r="I1739" s="28"/>
      <c r="J1739" s="28"/>
      <c r="K1739" s="28"/>
      <c r="L1739" s="28"/>
      <c r="M1739" s="28"/>
      <c r="N1739" s="28"/>
      <c r="O1739" s="28"/>
      <c r="P1739" s="28"/>
      <c r="Q1739" s="28"/>
      <c r="R1739" s="28"/>
      <c r="S1739" s="28"/>
    </row>
    <row r="1740" spans="1:19" x14ac:dyDescent="0.25">
      <c r="A1740" s="28"/>
      <c r="B1740" s="28"/>
      <c r="C1740" s="28"/>
      <c r="D1740" s="28"/>
      <c r="E1740" s="28"/>
      <c r="F1740" s="28"/>
      <c r="G1740" s="28"/>
      <c r="H1740" s="28"/>
      <c r="I1740" s="28"/>
      <c r="J1740" s="28"/>
      <c r="K1740" s="28"/>
      <c r="L1740" s="28"/>
      <c r="M1740" s="28"/>
      <c r="N1740" s="28"/>
      <c r="O1740" s="28"/>
      <c r="P1740" s="28"/>
      <c r="Q1740" s="28"/>
      <c r="R1740" s="28"/>
      <c r="S1740" s="28"/>
    </row>
    <row r="1741" spans="1:19" x14ac:dyDescent="0.25">
      <c r="A1741" s="28"/>
      <c r="B1741" s="28"/>
      <c r="C1741" s="28"/>
      <c r="D1741" s="28"/>
      <c r="E1741" s="28"/>
      <c r="F1741" s="28"/>
      <c r="G1741" s="28"/>
      <c r="H1741" s="28"/>
      <c r="I1741" s="28"/>
      <c r="J1741" s="28"/>
      <c r="K1741" s="28"/>
      <c r="L1741" s="28"/>
      <c r="M1741" s="28"/>
      <c r="N1741" s="28"/>
      <c r="O1741" s="28"/>
      <c r="P1741" s="28"/>
      <c r="Q1741" s="28"/>
      <c r="R1741" s="28"/>
      <c r="S1741" s="28"/>
    </row>
    <row r="1742" spans="1:19" x14ac:dyDescent="0.25">
      <c r="A1742" s="28"/>
      <c r="B1742" s="28"/>
      <c r="C1742" s="28"/>
      <c r="D1742" s="28"/>
      <c r="E1742" s="28"/>
      <c r="F1742" s="28"/>
      <c r="G1742" s="28"/>
      <c r="H1742" s="28"/>
      <c r="I1742" s="28"/>
      <c r="J1742" s="28"/>
      <c r="K1742" s="28"/>
      <c r="L1742" s="28"/>
      <c r="M1742" s="28"/>
      <c r="N1742" s="28"/>
      <c r="O1742" s="28"/>
      <c r="P1742" s="28"/>
      <c r="Q1742" s="28"/>
      <c r="R1742" s="28"/>
      <c r="S1742" s="28"/>
    </row>
    <row r="1743" spans="1:19" x14ac:dyDescent="0.25">
      <c r="A1743" s="28"/>
      <c r="B1743" s="28"/>
      <c r="C1743" s="28"/>
      <c r="D1743" s="28"/>
      <c r="E1743" s="28"/>
      <c r="F1743" s="28"/>
      <c r="G1743" s="28"/>
      <c r="H1743" s="28"/>
      <c r="I1743" s="28"/>
      <c r="J1743" s="28"/>
      <c r="K1743" s="28"/>
      <c r="L1743" s="28"/>
      <c r="M1743" s="28"/>
      <c r="N1743" s="28"/>
      <c r="O1743" s="28"/>
      <c r="P1743" s="28"/>
      <c r="Q1743" s="28"/>
      <c r="R1743" s="28"/>
      <c r="S1743" s="28"/>
    </row>
    <row r="1744" spans="1:19" x14ac:dyDescent="0.25">
      <c r="A1744" s="28"/>
      <c r="B1744" s="28"/>
      <c r="C1744" s="28"/>
      <c r="D1744" s="28"/>
      <c r="E1744" s="28"/>
      <c r="F1744" s="28"/>
      <c r="G1744" s="28"/>
      <c r="H1744" s="28"/>
      <c r="I1744" s="28"/>
      <c r="J1744" s="28"/>
      <c r="K1744" s="28"/>
      <c r="L1744" s="28"/>
      <c r="M1744" s="28"/>
      <c r="N1744" s="28"/>
      <c r="O1744" s="28"/>
      <c r="P1744" s="28"/>
      <c r="Q1744" s="28"/>
      <c r="R1744" s="28"/>
      <c r="S1744" s="28"/>
    </row>
    <row r="1745" spans="1:19" x14ac:dyDescent="0.25">
      <c r="A1745" s="28"/>
      <c r="B1745" s="28"/>
      <c r="C1745" s="28"/>
      <c r="D1745" s="28"/>
      <c r="E1745" s="28"/>
      <c r="F1745" s="28"/>
      <c r="G1745" s="28"/>
      <c r="H1745" s="28"/>
      <c r="I1745" s="28"/>
      <c r="J1745" s="28"/>
      <c r="K1745" s="28"/>
      <c r="L1745" s="28"/>
      <c r="M1745" s="28"/>
      <c r="N1745" s="28"/>
      <c r="O1745" s="28"/>
      <c r="P1745" s="28"/>
      <c r="Q1745" s="28"/>
      <c r="R1745" s="28"/>
      <c r="S1745" s="28"/>
    </row>
    <row r="1746" spans="1:19" x14ac:dyDescent="0.25">
      <c r="A1746" s="28"/>
      <c r="B1746" s="28"/>
      <c r="C1746" s="28"/>
      <c r="D1746" s="28"/>
      <c r="E1746" s="28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</row>
    <row r="1747" spans="1:19" x14ac:dyDescent="0.25">
      <c r="A1747" s="28"/>
      <c r="B1747" s="28"/>
      <c r="C1747" s="28"/>
      <c r="D1747" s="28"/>
      <c r="E1747" s="28"/>
      <c r="F1747" s="28"/>
      <c r="G1747" s="28"/>
      <c r="H1747" s="28"/>
      <c r="I1747" s="28"/>
      <c r="J1747" s="28"/>
      <c r="K1747" s="28"/>
      <c r="L1747" s="28"/>
      <c r="M1747" s="28"/>
      <c r="N1747" s="28"/>
      <c r="O1747" s="28"/>
      <c r="P1747" s="28"/>
      <c r="Q1747" s="28"/>
      <c r="R1747" s="28"/>
      <c r="S1747" s="28"/>
    </row>
    <row r="1748" spans="1:19" x14ac:dyDescent="0.25">
      <c r="A1748" s="28"/>
      <c r="B1748" s="28"/>
      <c r="C1748" s="28"/>
      <c r="D1748" s="28"/>
      <c r="E1748" s="28"/>
      <c r="F1748" s="28"/>
      <c r="G1748" s="28"/>
      <c r="H1748" s="28"/>
      <c r="I1748" s="28"/>
      <c r="J1748" s="28"/>
      <c r="K1748" s="28"/>
      <c r="L1748" s="28"/>
      <c r="M1748" s="28"/>
      <c r="N1748" s="28"/>
      <c r="O1748" s="28"/>
      <c r="P1748" s="28"/>
      <c r="Q1748" s="28"/>
      <c r="R1748" s="28"/>
      <c r="S1748" s="28"/>
    </row>
    <row r="1749" spans="1:19" x14ac:dyDescent="0.25">
      <c r="A1749" s="28"/>
      <c r="B1749" s="28"/>
      <c r="C1749" s="28"/>
      <c r="D1749" s="28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28"/>
      <c r="Q1749" s="28"/>
      <c r="R1749" s="28"/>
      <c r="S1749" s="28"/>
    </row>
    <row r="1750" spans="1:19" x14ac:dyDescent="0.25">
      <c r="A1750" s="28"/>
      <c r="B1750" s="28"/>
      <c r="C1750" s="28"/>
      <c r="D1750" s="28"/>
      <c r="E1750" s="28"/>
      <c r="F1750" s="28"/>
      <c r="G1750" s="28"/>
      <c r="H1750" s="28"/>
      <c r="I1750" s="28"/>
      <c r="J1750" s="28"/>
      <c r="K1750" s="28"/>
      <c r="L1750" s="28"/>
      <c r="M1750" s="28"/>
      <c r="N1750" s="28"/>
      <c r="O1750" s="28"/>
      <c r="P1750" s="28"/>
      <c r="Q1750" s="28"/>
      <c r="R1750" s="28"/>
      <c r="S1750" s="28"/>
    </row>
    <row r="1751" spans="1:19" x14ac:dyDescent="0.25">
      <c r="A1751" s="28"/>
      <c r="B1751" s="28"/>
      <c r="C1751" s="28"/>
      <c r="D1751" s="28"/>
      <c r="E1751" s="28"/>
      <c r="F1751" s="28"/>
      <c r="G1751" s="28"/>
      <c r="H1751" s="28"/>
      <c r="I1751" s="28"/>
      <c r="J1751" s="28"/>
      <c r="K1751" s="28"/>
      <c r="L1751" s="28"/>
      <c r="M1751" s="28"/>
      <c r="N1751" s="28"/>
      <c r="O1751" s="28"/>
      <c r="P1751" s="28"/>
      <c r="Q1751" s="28"/>
      <c r="R1751" s="28"/>
      <c r="S1751" s="28"/>
    </row>
    <row r="1752" spans="1:19" x14ac:dyDescent="0.25">
      <c r="A1752" s="28"/>
      <c r="B1752" s="28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M1752" s="28"/>
      <c r="N1752" s="28"/>
      <c r="O1752" s="28"/>
      <c r="P1752" s="28"/>
      <c r="Q1752" s="28"/>
      <c r="R1752" s="28"/>
      <c r="S1752" s="28"/>
    </row>
    <row r="1753" spans="1:19" x14ac:dyDescent="0.25">
      <c r="A1753" s="28"/>
      <c r="B1753" s="28"/>
      <c r="C1753" s="28"/>
      <c r="D1753" s="28"/>
      <c r="E1753" s="28"/>
      <c r="F1753" s="28"/>
      <c r="G1753" s="28"/>
      <c r="H1753" s="28"/>
      <c r="I1753" s="28"/>
      <c r="J1753" s="28"/>
      <c r="K1753" s="28"/>
      <c r="L1753" s="28"/>
      <c r="M1753" s="28"/>
      <c r="N1753" s="28"/>
      <c r="O1753" s="28"/>
      <c r="P1753" s="28"/>
      <c r="Q1753" s="28"/>
      <c r="R1753" s="28"/>
      <c r="S1753" s="28"/>
    </row>
    <row r="1754" spans="1:19" x14ac:dyDescent="0.25">
      <c r="A1754" s="28"/>
      <c r="B1754" s="28"/>
      <c r="C1754" s="28"/>
      <c r="D1754" s="28"/>
      <c r="E1754" s="28"/>
      <c r="F1754" s="28"/>
      <c r="G1754" s="28"/>
      <c r="H1754" s="28"/>
      <c r="I1754" s="28"/>
      <c r="J1754" s="28"/>
      <c r="K1754" s="28"/>
      <c r="L1754" s="28"/>
      <c r="M1754" s="28"/>
      <c r="N1754" s="28"/>
      <c r="O1754" s="28"/>
      <c r="P1754" s="28"/>
      <c r="Q1754" s="28"/>
      <c r="R1754" s="28"/>
      <c r="S1754" s="28"/>
    </row>
    <row r="1755" spans="1:19" x14ac:dyDescent="0.25">
      <c r="A1755" s="28"/>
      <c r="B1755" s="28"/>
      <c r="C1755" s="28"/>
      <c r="D1755" s="28"/>
      <c r="E1755" s="28"/>
      <c r="F1755" s="28"/>
      <c r="G1755" s="28"/>
      <c r="H1755" s="28"/>
      <c r="I1755" s="28"/>
      <c r="J1755" s="28"/>
      <c r="K1755" s="28"/>
      <c r="L1755" s="28"/>
      <c r="M1755" s="28"/>
      <c r="N1755" s="28"/>
      <c r="O1755" s="28"/>
      <c r="P1755" s="28"/>
      <c r="Q1755" s="28"/>
      <c r="R1755" s="28"/>
      <c r="S1755" s="28"/>
    </row>
    <row r="1756" spans="1:19" x14ac:dyDescent="0.25">
      <c r="A1756" s="28"/>
      <c r="B1756" s="28"/>
      <c r="C1756" s="28"/>
      <c r="D1756" s="28"/>
      <c r="E1756" s="28"/>
      <c r="F1756" s="28"/>
      <c r="G1756" s="28"/>
      <c r="H1756" s="28"/>
      <c r="I1756" s="28"/>
      <c r="J1756" s="28"/>
      <c r="K1756" s="28"/>
      <c r="L1756" s="28"/>
      <c r="M1756" s="28"/>
      <c r="N1756" s="28"/>
      <c r="O1756" s="28"/>
      <c r="P1756" s="28"/>
      <c r="Q1756" s="28"/>
      <c r="R1756" s="28"/>
      <c r="S1756" s="28"/>
    </row>
    <row r="1757" spans="1:19" x14ac:dyDescent="0.25">
      <c r="A1757" s="28"/>
      <c r="B1757" s="28"/>
      <c r="C1757" s="28"/>
      <c r="D1757" s="28"/>
      <c r="E1757" s="28"/>
      <c r="F1757" s="28"/>
      <c r="G1757" s="28"/>
      <c r="H1757" s="28"/>
      <c r="I1757" s="28"/>
      <c r="J1757" s="28"/>
      <c r="K1757" s="28"/>
      <c r="L1757" s="28"/>
      <c r="M1757" s="28"/>
      <c r="N1757" s="28"/>
      <c r="O1757" s="28"/>
      <c r="P1757" s="28"/>
      <c r="Q1757" s="28"/>
      <c r="R1757" s="28"/>
      <c r="S1757" s="28"/>
    </row>
    <row r="1758" spans="1:19" x14ac:dyDescent="0.25">
      <c r="A1758" s="28"/>
      <c r="B1758" s="28"/>
      <c r="C1758" s="28"/>
      <c r="D1758" s="28"/>
      <c r="E1758" s="28"/>
      <c r="F1758" s="28"/>
      <c r="G1758" s="28"/>
      <c r="H1758" s="28"/>
      <c r="I1758" s="28"/>
      <c r="J1758" s="28"/>
      <c r="K1758" s="28"/>
      <c r="L1758" s="28"/>
      <c r="M1758" s="28"/>
      <c r="N1758" s="28"/>
      <c r="O1758" s="28"/>
      <c r="P1758" s="28"/>
      <c r="Q1758" s="28"/>
      <c r="R1758" s="28"/>
      <c r="S1758" s="28"/>
    </row>
    <row r="1759" spans="1:19" x14ac:dyDescent="0.25">
      <c r="A1759" s="28"/>
      <c r="B1759" s="28"/>
      <c r="C1759" s="28"/>
      <c r="D1759" s="28"/>
      <c r="E1759" s="28"/>
      <c r="F1759" s="28"/>
      <c r="G1759" s="28"/>
      <c r="H1759" s="28"/>
      <c r="I1759" s="28"/>
      <c r="J1759" s="28"/>
      <c r="K1759" s="28"/>
      <c r="L1759" s="28"/>
      <c r="M1759" s="28"/>
      <c r="N1759" s="28"/>
      <c r="O1759" s="28"/>
      <c r="P1759" s="28"/>
      <c r="Q1759" s="28"/>
      <c r="R1759" s="28"/>
      <c r="S1759" s="28"/>
    </row>
    <row r="1760" spans="1:19" x14ac:dyDescent="0.25">
      <c r="A1760" s="28"/>
      <c r="B1760" s="28"/>
      <c r="C1760" s="28"/>
      <c r="D1760" s="28"/>
      <c r="E1760" s="28"/>
      <c r="F1760" s="28"/>
      <c r="G1760" s="28"/>
      <c r="H1760" s="28"/>
      <c r="I1760" s="28"/>
      <c r="J1760" s="28"/>
      <c r="K1760" s="28"/>
      <c r="L1760" s="28"/>
      <c r="M1760" s="28"/>
      <c r="N1760" s="28"/>
      <c r="O1760" s="28"/>
      <c r="P1760" s="28"/>
      <c r="Q1760" s="28"/>
      <c r="R1760" s="28"/>
      <c r="S1760" s="28"/>
    </row>
    <row r="1761" spans="1:19" x14ac:dyDescent="0.25">
      <c r="A1761" s="28"/>
      <c r="B1761" s="28"/>
      <c r="C1761" s="28"/>
      <c r="D1761" s="28"/>
      <c r="E1761" s="28"/>
      <c r="F1761" s="28"/>
      <c r="G1761" s="28"/>
      <c r="H1761" s="28"/>
      <c r="I1761" s="28"/>
      <c r="J1761" s="28"/>
      <c r="K1761" s="28"/>
      <c r="L1761" s="28"/>
      <c r="M1761" s="28"/>
      <c r="N1761" s="28"/>
      <c r="O1761" s="28"/>
      <c r="P1761" s="28"/>
      <c r="Q1761" s="28"/>
      <c r="R1761" s="28"/>
      <c r="S1761" s="28"/>
    </row>
    <row r="1762" spans="1:19" x14ac:dyDescent="0.25">
      <c r="A1762" s="28"/>
      <c r="B1762" s="28"/>
      <c r="C1762" s="28"/>
      <c r="D1762" s="28"/>
      <c r="E1762" s="28"/>
      <c r="F1762" s="28"/>
      <c r="G1762" s="28"/>
      <c r="H1762" s="28"/>
      <c r="I1762" s="28"/>
      <c r="J1762" s="28"/>
      <c r="K1762" s="28"/>
      <c r="L1762" s="28"/>
      <c r="M1762" s="28"/>
      <c r="N1762" s="28"/>
      <c r="O1762" s="28"/>
      <c r="P1762" s="28"/>
      <c r="Q1762" s="28"/>
      <c r="R1762" s="28"/>
      <c r="S1762" s="28"/>
    </row>
    <row r="1763" spans="1:19" x14ac:dyDescent="0.25">
      <c r="A1763" s="28"/>
      <c r="B1763" s="28"/>
      <c r="C1763" s="28"/>
      <c r="D1763" s="28"/>
      <c r="E1763" s="28"/>
      <c r="F1763" s="28"/>
      <c r="G1763" s="28"/>
      <c r="H1763" s="28"/>
      <c r="I1763" s="28"/>
      <c r="J1763" s="28"/>
      <c r="K1763" s="28"/>
      <c r="L1763" s="28"/>
      <c r="M1763" s="28"/>
      <c r="N1763" s="28"/>
      <c r="O1763" s="28"/>
      <c r="P1763" s="28"/>
      <c r="Q1763" s="28"/>
      <c r="R1763" s="28"/>
      <c r="S1763" s="28"/>
    </row>
    <row r="1764" spans="1:19" x14ac:dyDescent="0.25">
      <c r="A1764" s="28"/>
      <c r="B1764" s="28"/>
      <c r="C1764" s="28"/>
      <c r="D1764" s="28"/>
      <c r="E1764" s="28"/>
      <c r="F1764" s="28"/>
      <c r="G1764" s="28"/>
      <c r="H1764" s="28"/>
      <c r="I1764" s="28"/>
      <c r="J1764" s="28"/>
      <c r="K1764" s="28"/>
      <c r="L1764" s="28"/>
      <c r="M1764" s="28"/>
      <c r="N1764" s="28"/>
      <c r="O1764" s="28"/>
      <c r="P1764" s="28"/>
      <c r="Q1764" s="28"/>
      <c r="R1764" s="28"/>
      <c r="S1764" s="28"/>
    </row>
    <row r="1765" spans="1:19" x14ac:dyDescent="0.25">
      <c r="A1765" s="28"/>
      <c r="B1765" s="28"/>
      <c r="C1765" s="28"/>
      <c r="D1765" s="28"/>
      <c r="E1765" s="28"/>
      <c r="F1765" s="28"/>
      <c r="G1765" s="28"/>
      <c r="H1765" s="28"/>
      <c r="I1765" s="28"/>
      <c r="J1765" s="28"/>
      <c r="K1765" s="28"/>
      <c r="L1765" s="28"/>
      <c r="M1765" s="28"/>
      <c r="N1765" s="28"/>
      <c r="O1765" s="28"/>
      <c r="P1765" s="28"/>
      <c r="Q1765" s="28"/>
      <c r="R1765" s="28"/>
      <c r="S1765" s="28"/>
    </row>
    <row r="1766" spans="1:19" x14ac:dyDescent="0.25">
      <c r="A1766" s="28"/>
      <c r="B1766" s="28"/>
      <c r="C1766" s="28"/>
      <c r="D1766" s="28"/>
      <c r="E1766" s="28"/>
      <c r="F1766" s="28"/>
      <c r="G1766" s="28"/>
      <c r="H1766" s="28"/>
      <c r="I1766" s="28"/>
      <c r="J1766" s="28"/>
      <c r="K1766" s="28"/>
      <c r="L1766" s="28"/>
      <c r="M1766" s="28"/>
      <c r="N1766" s="28"/>
      <c r="O1766" s="28"/>
      <c r="P1766" s="28"/>
      <c r="Q1766" s="28"/>
      <c r="R1766" s="28"/>
      <c r="S1766" s="28"/>
    </row>
    <row r="1767" spans="1:19" x14ac:dyDescent="0.25">
      <c r="A1767" s="28"/>
      <c r="B1767" s="28"/>
      <c r="C1767" s="28"/>
      <c r="D1767" s="28"/>
      <c r="E1767" s="28"/>
      <c r="F1767" s="28"/>
      <c r="G1767" s="28"/>
      <c r="H1767" s="28"/>
      <c r="I1767" s="28"/>
      <c r="J1767" s="28"/>
      <c r="K1767" s="28"/>
      <c r="L1767" s="28"/>
      <c r="M1767" s="28"/>
      <c r="N1767" s="28"/>
      <c r="O1767" s="28"/>
      <c r="P1767" s="28"/>
      <c r="Q1767" s="28"/>
      <c r="R1767" s="28"/>
      <c r="S1767" s="28"/>
    </row>
    <row r="1768" spans="1:19" x14ac:dyDescent="0.25">
      <c r="A1768" s="28"/>
      <c r="B1768" s="28"/>
      <c r="C1768" s="28"/>
      <c r="D1768" s="28"/>
      <c r="E1768" s="28"/>
      <c r="F1768" s="28"/>
      <c r="G1768" s="28"/>
      <c r="H1768" s="28"/>
      <c r="I1768" s="28"/>
      <c r="J1768" s="28"/>
      <c r="K1768" s="28"/>
      <c r="L1768" s="28"/>
      <c r="M1768" s="28"/>
      <c r="N1768" s="28"/>
      <c r="O1768" s="28"/>
      <c r="P1768" s="28"/>
      <c r="Q1768" s="28"/>
      <c r="R1768" s="28"/>
      <c r="S1768" s="28"/>
    </row>
    <row r="1769" spans="1:19" x14ac:dyDescent="0.25">
      <c r="A1769" s="28"/>
      <c r="B1769" s="28"/>
      <c r="C1769" s="28"/>
      <c r="D1769" s="28"/>
      <c r="E1769" s="28"/>
      <c r="F1769" s="28"/>
      <c r="G1769" s="28"/>
      <c r="H1769" s="28"/>
      <c r="I1769" s="28"/>
      <c r="J1769" s="28"/>
      <c r="K1769" s="28"/>
      <c r="L1769" s="28"/>
      <c r="M1769" s="28"/>
      <c r="N1769" s="28"/>
      <c r="O1769" s="28"/>
      <c r="P1769" s="28"/>
      <c r="Q1769" s="28"/>
      <c r="R1769" s="28"/>
      <c r="S1769" s="28"/>
    </row>
    <row r="1770" spans="1:19" x14ac:dyDescent="0.25">
      <c r="A1770" s="28"/>
      <c r="B1770" s="28"/>
      <c r="C1770" s="28"/>
      <c r="D1770" s="28"/>
      <c r="E1770" s="28"/>
      <c r="F1770" s="28"/>
      <c r="G1770" s="28"/>
      <c r="H1770" s="28"/>
      <c r="I1770" s="28"/>
      <c r="J1770" s="28"/>
      <c r="K1770" s="28"/>
      <c r="L1770" s="28"/>
      <c r="M1770" s="28"/>
      <c r="N1770" s="28"/>
      <c r="O1770" s="28"/>
      <c r="P1770" s="28"/>
      <c r="Q1770" s="28"/>
      <c r="R1770" s="28"/>
      <c r="S1770" s="28"/>
    </row>
    <row r="1771" spans="1:19" x14ac:dyDescent="0.25">
      <c r="A1771" s="28"/>
      <c r="B1771" s="28"/>
      <c r="C1771" s="28"/>
      <c r="D1771" s="28"/>
      <c r="E1771" s="28"/>
      <c r="F1771" s="28"/>
      <c r="G1771" s="28"/>
      <c r="H1771" s="28"/>
      <c r="I1771" s="28"/>
      <c r="J1771" s="28"/>
      <c r="K1771" s="28"/>
      <c r="L1771" s="28"/>
      <c r="M1771" s="28"/>
      <c r="N1771" s="28"/>
      <c r="O1771" s="28"/>
      <c r="P1771" s="28"/>
      <c r="Q1771" s="28"/>
      <c r="R1771" s="28"/>
      <c r="S1771" s="28"/>
    </row>
    <row r="1772" spans="1:19" x14ac:dyDescent="0.25">
      <c r="A1772" s="28"/>
      <c r="B1772" s="28"/>
      <c r="C1772" s="28"/>
      <c r="D1772" s="28"/>
      <c r="E1772" s="28"/>
      <c r="F1772" s="28"/>
      <c r="G1772" s="28"/>
      <c r="H1772" s="28"/>
      <c r="I1772" s="28"/>
      <c r="J1772" s="28"/>
      <c r="K1772" s="28"/>
      <c r="L1772" s="28"/>
      <c r="M1772" s="28"/>
      <c r="N1772" s="28"/>
      <c r="O1772" s="28"/>
      <c r="P1772" s="28"/>
      <c r="Q1772" s="28"/>
      <c r="R1772" s="28"/>
      <c r="S1772" s="28"/>
    </row>
    <row r="1773" spans="1:19" x14ac:dyDescent="0.25">
      <c r="A1773" s="28"/>
      <c r="B1773" s="28"/>
      <c r="C1773" s="28"/>
      <c r="D1773" s="28"/>
      <c r="E1773" s="28"/>
      <c r="F1773" s="28"/>
      <c r="G1773" s="28"/>
      <c r="H1773" s="28"/>
      <c r="I1773" s="28"/>
      <c r="J1773" s="28"/>
      <c r="K1773" s="28"/>
      <c r="L1773" s="28"/>
      <c r="M1773" s="28"/>
      <c r="N1773" s="28"/>
      <c r="O1773" s="28"/>
      <c r="P1773" s="28"/>
      <c r="Q1773" s="28"/>
      <c r="R1773" s="28"/>
      <c r="S1773" s="28"/>
    </row>
    <row r="1774" spans="1:19" x14ac:dyDescent="0.25">
      <c r="A1774" s="28"/>
      <c r="B1774" s="28"/>
      <c r="C1774" s="28"/>
      <c r="D1774" s="28"/>
      <c r="E1774" s="28"/>
      <c r="F1774" s="28"/>
      <c r="G1774" s="28"/>
      <c r="H1774" s="28"/>
      <c r="I1774" s="28"/>
      <c r="J1774" s="28"/>
      <c r="K1774" s="28"/>
      <c r="L1774" s="28"/>
      <c r="M1774" s="28"/>
      <c r="N1774" s="28"/>
      <c r="O1774" s="28"/>
      <c r="P1774" s="28"/>
      <c r="Q1774" s="28"/>
      <c r="R1774" s="28"/>
      <c r="S1774" s="28"/>
    </row>
    <row r="1775" spans="1:19" x14ac:dyDescent="0.25">
      <c r="A1775" s="28"/>
      <c r="B1775" s="28"/>
      <c r="C1775" s="28"/>
      <c r="D1775" s="28"/>
      <c r="E1775" s="28"/>
      <c r="F1775" s="28"/>
      <c r="G1775" s="28"/>
      <c r="H1775" s="28"/>
      <c r="I1775" s="28"/>
      <c r="J1775" s="28"/>
      <c r="K1775" s="28"/>
      <c r="L1775" s="28"/>
      <c r="M1775" s="28"/>
      <c r="N1775" s="28"/>
      <c r="O1775" s="28"/>
      <c r="P1775" s="28"/>
      <c r="Q1775" s="28"/>
      <c r="R1775" s="28"/>
      <c r="S1775" s="28"/>
    </row>
    <row r="1776" spans="1:19" x14ac:dyDescent="0.25">
      <c r="A1776" s="28"/>
      <c r="B1776" s="28"/>
      <c r="C1776" s="28"/>
      <c r="D1776" s="28"/>
      <c r="E1776" s="28"/>
      <c r="F1776" s="28"/>
      <c r="G1776" s="28"/>
      <c r="H1776" s="28"/>
      <c r="I1776" s="28"/>
      <c r="J1776" s="28"/>
      <c r="K1776" s="28"/>
      <c r="L1776" s="28"/>
      <c r="M1776" s="28"/>
      <c r="N1776" s="28"/>
      <c r="O1776" s="28"/>
      <c r="P1776" s="28"/>
      <c r="Q1776" s="28"/>
      <c r="R1776" s="28"/>
      <c r="S1776" s="28"/>
    </row>
    <row r="1777" spans="1:19" x14ac:dyDescent="0.25">
      <c r="A1777" s="28"/>
      <c r="B1777" s="28"/>
      <c r="C1777" s="28"/>
      <c r="D1777" s="28"/>
      <c r="E1777" s="28"/>
      <c r="F1777" s="28"/>
      <c r="G1777" s="28"/>
      <c r="H1777" s="28"/>
      <c r="I1777" s="28"/>
      <c r="J1777" s="28"/>
      <c r="K1777" s="28"/>
      <c r="L1777" s="28"/>
      <c r="M1777" s="28"/>
      <c r="N1777" s="28"/>
      <c r="O1777" s="28"/>
      <c r="P1777" s="28"/>
      <c r="Q1777" s="28"/>
      <c r="R1777" s="28"/>
      <c r="S1777" s="28"/>
    </row>
    <row r="1778" spans="1:19" x14ac:dyDescent="0.25">
      <c r="A1778" s="28"/>
      <c r="B1778" s="28"/>
      <c r="C1778" s="28"/>
      <c r="D1778" s="28"/>
      <c r="E1778" s="28"/>
      <c r="F1778" s="28"/>
      <c r="G1778" s="28"/>
      <c r="H1778" s="28"/>
      <c r="I1778" s="28"/>
      <c r="J1778" s="28"/>
      <c r="K1778" s="28"/>
      <c r="L1778" s="28"/>
      <c r="M1778" s="28"/>
      <c r="N1778" s="28"/>
      <c r="O1778" s="28"/>
      <c r="P1778" s="28"/>
      <c r="Q1778" s="28"/>
      <c r="R1778" s="28"/>
      <c r="S1778" s="28"/>
    </row>
    <row r="1779" spans="1:19" x14ac:dyDescent="0.25">
      <c r="A1779" s="28"/>
      <c r="B1779" s="28"/>
      <c r="C1779" s="28"/>
      <c r="D1779" s="28"/>
      <c r="E1779" s="28"/>
      <c r="F1779" s="28"/>
      <c r="G1779" s="28"/>
      <c r="H1779" s="28"/>
      <c r="I1779" s="28"/>
      <c r="J1779" s="28"/>
      <c r="K1779" s="28"/>
      <c r="L1779" s="28"/>
      <c r="M1779" s="28"/>
      <c r="N1779" s="28"/>
      <c r="O1779" s="28"/>
      <c r="P1779" s="28"/>
      <c r="Q1779" s="28"/>
      <c r="R1779" s="28"/>
      <c r="S1779" s="28"/>
    </row>
    <row r="1780" spans="1:19" x14ac:dyDescent="0.25">
      <c r="A1780" s="28"/>
      <c r="B1780" s="28"/>
      <c r="C1780" s="28"/>
      <c r="D1780" s="28"/>
      <c r="E1780" s="28"/>
      <c r="F1780" s="28"/>
      <c r="G1780" s="28"/>
      <c r="H1780" s="28"/>
      <c r="I1780" s="28"/>
      <c r="J1780" s="28"/>
      <c r="K1780" s="28"/>
      <c r="L1780" s="28"/>
      <c r="M1780" s="28"/>
      <c r="N1780" s="28"/>
      <c r="O1780" s="28"/>
      <c r="P1780" s="28"/>
      <c r="Q1780" s="28"/>
      <c r="R1780" s="28"/>
      <c r="S1780" s="28"/>
    </row>
    <row r="1781" spans="1:19" x14ac:dyDescent="0.25">
      <c r="A1781" s="28"/>
      <c r="B1781" s="28"/>
      <c r="C1781" s="28"/>
      <c r="D1781" s="28"/>
      <c r="E1781" s="28"/>
      <c r="F1781" s="28"/>
      <c r="G1781" s="28"/>
      <c r="H1781" s="28"/>
      <c r="I1781" s="28"/>
      <c r="J1781" s="28"/>
      <c r="K1781" s="28"/>
      <c r="L1781" s="28"/>
      <c r="M1781" s="28"/>
      <c r="N1781" s="28"/>
      <c r="O1781" s="28"/>
      <c r="P1781" s="28"/>
      <c r="Q1781" s="28"/>
      <c r="R1781" s="28"/>
      <c r="S1781" s="28"/>
    </row>
    <row r="1782" spans="1:19" x14ac:dyDescent="0.25">
      <c r="A1782" s="28"/>
      <c r="B1782" s="28"/>
      <c r="C1782" s="28"/>
      <c r="D1782" s="28"/>
      <c r="E1782" s="28"/>
      <c r="F1782" s="28"/>
      <c r="G1782" s="28"/>
      <c r="H1782" s="28"/>
      <c r="I1782" s="28"/>
      <c r="J1782" s="28"/>
      <c r="K1782" s="28"/>
      <c r="L1782" s="28"/>
      <c r="M1782" s="28"/>
      <c r="N1782" s="28"/>
      <c r="O1782" s="28"/>
      <c r="P1782" s="28"/>
      <c r="Q1782" s="28"/>
      <c r="R1782" s="28"/>
      <c r="S1782" s="28"/>
    </row>
    <row r="1783" spans="1:19" x14ac:dyDescent="0.25">
      <c r="A1783" s="28"/>
      <c r="B1783" s="28"/>
      <c r="C1783" s="28"/>
      <c r="D1783" s="28"/>
      <c r="E1783" s="28"/>
      <c r="F1783" s="28"/>
      <c r="G1783" s="28"/>
      <c r="H1783" s="28"/>
      <c r="I1783" s="28"/>
      <c r="J1783" s="28"/>
      <c r="K1783" s="28"/>
      <c r="L1783" s="28"/>
      <c r="M1783" s="28"/>
      <c r="N1783" s="28"/>
      <c r="O1783" s="28"/>
      <c r="P1783" s="28"/>
      <c r="Q1783" s="28"/>
      <c r="R1783" s="28"/>
      <c r="S1783" s="28"/>
    </row>
    <row r="1784" spans="1:19" x14ac:dyDescent="0.25">
      <c r="A1784" s="28"/>
      <c r="B1784" s="28"/>
      <c r="C1784" s="28"/>
      <c r="D1784" s="28"/>
      <c r="E1784" s="28"/>
      <c r="F1784" s="28"/>
      <c r="G1784" s="28"/>
      <c r="H1784" s="28"/>
      <c r="I1784" s="28"/>
      <c r="J1784" s="28"/>
      <c r="K1784" s="28"/>
      <c r="L1784" s="28"/>
      <c r="M1784" s="28"/>
      <c r="N1784" s="28"/>
      <c r="O1784" s="28"/>
      <c r="P1784" s="28"/>
      <c r="Q1784" s="28"/>
      <c r="R1784" s="28"/>
      <c r="S1784" s="28"/>
    </row>
    <row r="1785" spans="1:19" x14ac:dyDescent="0.25">
      <c r="A1785" s="28"/>
      <c r="B1785" s="28"/>
      <c r="C1785" s="28"/>
      <c r="D1785" s="28"/>
      <c r="E1785" s="28"/>
      <c r="F1785" s="28"/>
      <c r="G1785" s="28"/>
      <c r="H1785" s="28"/>
      <c r="I1785" s="28"/>
      <c r="J1785" s="28"/>
      <c r="K1785" s="28"/>
      <c r="L1785" s="28"/>
      <c r="M1785" s="28"/>
      <c r="N1785" s="28"/>
      <c r="O1785" s="28"/>
      <c r="P1785" s="28"/>
      <c r="Q1785" s="28"/>
      <c r="R1785" s="28"/>
      <c r="S1785" s="28"/>
    </row>
    <row r="1786" spans="1:19" x14ac:dyDescent="0.25">
      <c r="A1786" s="28"/>
      <c r="B1786" s="28"/>
      <c r="C1786" s="28"/>
      <c r="D1786" s="28"/>
      <c r="E1786" s="28"/>
      <c r="F1786" s="28"/>
      <c r="G1786" s="28"/>
      <c r="H1786" s="28"/>
      <c r="I1786" s="28"/>
      <c r="J1786" s="28"/>
      <c r="K1786" s="28"/>
      <c r="L1786" s="28"/>
      <c r="M1786" s="28"/>
      <c r="N1786" s="28"/>
      <c r="O1786" s="28"/>
      <c r="P1786" s="28"/>
      <c r="Q1786" s="28"/>
      <c r="R1786" s="28"/>
      <c r="S1786" s="28"/>
    </row>
    <row r="1787" spans="1:19" x14ac:dyDescent="0.25">
      <c r="A1787" s="28"/>
      <c r="B1787" s="28"/>
      <c r="C1787" s="28"/>
      <c r="D1787" s="28"/>
      <c r="E1787" s="28"/>
      <c r="F1787" s="28"/>
      <c r="G1787" s="28"/>
      <c r="H1787" s="28"/>
      <c r="I1787" s="28"/>
      <c r="J1787" s="28"/>
      <c r="K1787" s="28"/>
      <c r="L1787" s="28"/>
      <c r="M1787" s="28"/>
      <c r="N1787" s="28"/>
      <c r="O1787" s="28"/>
      <c r="P1787" s="28"/>
      <c r="Q1787" s="28"/>
      <c r="R1787" s="28"/>
      <c r="S1787" s="28"/>
    </row>
    <row r="1788" spans="1:19" x14ac:dyDescent="0.25">
      <c r="A1788" s="28"/>
      <c r="B1788" s="28"/>
      <c r="C1788" s="28"/>
      <c r="D1788" s="28"/>
      <c r="E1788" s="28"/>
      <c r="F1788" s="28"/>
      <c r="G1788" s="28"/>
      <c r="H1788" s="28"/>
      <c r="I1788" s="28"/>
      <c r="J1788" s="28"/>
      <c r="K1788" s="28"/>
      <c r="L1788" s="28"/>
      <c r="M1788" s="28"/>
      <c r="N1788" s="28"/>
      <c r="O1788" s="28"/>
      <c r="P1788" s="28"/>
      <c r="Q1788" s="28"/>
      <c r="R1788" s="28"/>
      <c r="S1788" s="28"/>
    </row>
    <row r="1789" spans="1:19" x14ac:dyDescent="0.25">
      <c r="A1789" s="28"/>
      <c r="B1789" s="28"/>
      <c r="C1789" s="28"/>
      <c r="D1789" s="28"/>
      <c r="E1789" s="28"/>
      <c r="F1789" s="28"/>
      <c r="G1789" s="28"/>
      <c r="H1789" s="28"/>
      <c r="I1789" s="28"/>
      <c r="J1789" s="28"/>
      <c r="K1789" s="28"/>
      <c r="L1789" s="28"/>
      <c r="M1789" s="28"/>
      <c r="N1789" s="28"/>
      <c r="O1789" s="28"/>
      <c r="P1789" s="28"/>
      <c r="Q1789" s="28"/>
      <c r="R1789" s="28"/>
      <c r="S1789" s="28"/>
    </row>
    <row r="1790" spans="1:19" x14ac:dyDescent="0.25">
      <c r="A1790" s="28"/>
      <c r="B1790" s="28"/>
      <c r="C1790" s="28"/>
      <c r="D1790" s="28"/>
      <c r="E1790" s="28"/>
      <c r="F1790" s="28"/>
      <c r="G1790" s="28"/>
      <c r="H1790" s="28"/>
      <c r="I1790" s="28"/>
      <c r="J1790" s="28"/>
      <c r="K1790" s="28"/>
      <c r="L1790" s="28"/>
      <c r="M1790" s="28"/>
      <c r="N1790" s="28"/>
      <c r="O1790" s="28"/>
      <c r="P1790" s="28"/>
      <c r="Q1790" s="28"/>
      <c r="R1790" s="28"/>
      <c r="S1790" s="28"/>
    </row>
    <row r="1791" spans="1:19" x14ac:dyDescent="0.25">
      <c r="A1791" s="28"/>
      <c r="B1791" s="28"/>
      <c r="C1791" s="28"/>
      <c r="D1791" s="28"/>
      <c r="E1791" s="28"/>
      <c r="F1791" s="28"/>
      <c r="G1791" s="28"/>
      <c r="H1791" s="28"/>
      <c r="I1791" s="28"/>
      <c r="J1791" s="28"/>
      <c r="K1791" s="28"/>
      <c r="L1791" s="28"/>
      <c r="M1791" s="28"/>
      <c r="N1791" s="28"/>
      <c r="O1791" s="28"/>
      <c r="P1791" s="28"/>
      <c r="Q1791" s="28"/>
      <c r="R1791" s="28"/>
      <c r="S1791" s="28"/>
    </row>
    <row r="1792" spans="1:19" x14ac:dyDescent="0.25">
      <c r="A1792" s="28"/>
      <c r="B1792" s="28"/>
      <c r="C1792" s="28"/>
      <c r="D1792" s="28"/>
      <c r="E1792" s="28"/>
      <c r="F1792" s="28"/>
      <c r="G1792" s="28"/>
      <c r="H1792" s="28"/>
      <c r="I1792" s="28"/>
      <c r="J1792" s="28"/>
      <c r="K1792" s="28"/>
      <c r="L1792" s="28"/>
      <c r="M1792" s="28"/>
      <c r="N1792" s="28"/>
      <c r="O1792" s="28"/>
      <c r="P1792" s="28"/>
      <c r="Q1792" s="28"/>
      <c r="R1792" s="28"/>
      <c r="S1792" s="28"/>
    </row>
    <row r="1793" spans="1:19" x14ac:dyDescent="0.25">
      <c r="A1793" s="28"/>
      <c r="B1793" s="28"/>
      <c r="C1793" s="28"/>
      <c r="D1793" s="28"/>
      <c r="E1793" s="28"/>
      <c r="F1793" s="28"/>
      <c r="G1793" s="28"/>
      <c r="H1793" s="28"/>
      <c r="I1793" s="28"/>
      <c r="J1793" s="28"/>
      <c r="K1793" s="28"/>
      <c r="L1793" s="28"/>
      <c r="M1793" s="28"/>
      <c r="N1793" s="28"/>
      <c r="O1793" s="28"/>
      <c r="P1793" s="28"/>
      <c r="Q1793" s="28"/>
      <c r="R1793" s="28"/>
      <c r="S1793" s="28"/>
    </row>
    <row r="1794" spans="1:19" x14ac:dyDescent="0.25">
      <c r="A1794" s="28"/>
      <c r="B1794" s="28"/>
      <c r="C1794" s="28"/>
      <c r="D1794" s="28"/>
      <c r="E1794" s="28"/>
      <c r="F1794" s="28"/>
      <c r="G1794" s="28"/>
      <c r="H1794" s="28"/>
      <c r="I1794" s="28"/>
      <c r="J1794" s="28"/>
      <c r="K1794" s="28"/>
      <c r="L1794" s="28"/>
      <c r="M1794" s="28"/>
      <c r="N1794" s="28"/>
      <c r="O1794" s="28"/>
      <c r="P1794" s="28"/>
      <c r="Q1794" s="28"/>
      <c r="R1794" s="28"/>
      <c r="S1794" s="28"/>
    </row>
    <row r="1795" spans="1:19" x14ac:dyDescent="0.25">
      <c r="A1795" s="28"/>
      <c r="B1795" s="28"/>
      <c r="C1795" s="28"/>
      <c r="D1795" s="28"/>
      <c r="E1795" s="28"/>
      <c r="F1795" s="28"/>
      <c r="G1795" s="28"/>
      <c r="H1795" s="28"/>
      <c r="I1795" s="28"/>
      <c r="J1795" s="28"/>
      <c r="K1795" s="28"/>
      <c r="L1795" s="28"/>
      <c r="M1795" s="28"/>
      <c r="N1795" s="28"/>
      <c r="O1795" s="28"/>
      <c r="P1795" s="28"/>
      <c r="Q1795" s="28"/>
      <c r="R1795" s="28"/>
      <c r="S1795" s="28"/>
    </row>
    <row r="1796" spans="1:19" x14ac:dyDescent="0.25">
      <c r="A1796" s="28"/>
      <c r="B1796" s="28"/>
      <c r="C1796" s="28"/>
      <c r="D1796" s="28"/>
      <c r="E1796" s="28"/>
      <c r="F1796" s="28"/>
      <c r="G1796" s="28"/>
      <c r="H1796" s="28"/>
      <c r="I1796" s="28"/>
      <c r="J1796" s="28"/>
      <c r="K1796" s="28"/>
      <c r="L1796" s="28"/>
      <c r="M1796" s="28"/>
      <c r="N1796" s="28"/>
      <c r="O1796" s="28"/>
      <c r="P1796" s="28"/>
      <c r="Q1796" s="28"/>
      <c r="R1796" s="28"/>
      <c r="S1796" s="28"/>
    </row>
    <row r="1797" spans="1:19" x14ac:dyDescent="0.25">
      <c r="A1797" s="28"/>
      <c r="B1797" s="28"/>
      <c r="C1797" s="28"/>
      <c r="D1797" s="28"/>
      <c r="E1797" s="28"/>
      <c r="F1797" s="28"/>
      <c r="G1797" s="28"/>
      <c r="H1797" s="28"/>
      <c r="I1797" s="28"/>
      <c r="J1797" s="28"/>
      <c r="K1797" s="28"/>
      <c r="L1797" s="28"/>
      <c r="M1797" s="28"/>
      <c r="N1797" s="28"/>
      <c r="O1797" s="28"/>
      <c r="P1797" s="28"/>
      <c r="Q1797" s="28"/>
      <c r="R1797" s="28"/>
      <c r="S1797" s="28"/>
    </row>
    <row r="1798" spans="1:19" x14ac:dyDescent="0.25">
      <c r="A1798" s="28"/>
      <c r="B1798" s="28"/>
      <c r="C1798" s="28"/>
      <c r="D1798" s="28"/>
      <c r="E1798" s="28"/>
      <c r="F1798" s="28"/>
      <c r="G1798" s="28"/>
      <c r="H1798" s="28"/>
      <c r="I1798" s="28"/>
      <c r="J1798" s="28"/>
      <c r="K1798" s="28"/>
      <c r="L1798" s="28"/>
      <c r="M1798" s="28"/>
      <c r="N1798" s="28"/>
      <c r="O1798" s="28"/>
      <c r="P1798" s="28"/>
      <c r="Q1798" s="28"/>
      <c r="R1798" s="28"/>
      <c r="S1798" s="28"/>
    </row>
    <row r="1799" spans="1:19" x14ac:dyDescent="0.25">
      <c r="A1799" s="28"/>
      <c r="B1799" s="28"/>
      <c r="C1799" s="28"/>
      <c r="D1799" s="28"/>
      <c r="E1799" s="28"/>
      <c r="F1799" s="28"/>
      <c r="G1799" s="28"/>
      <c r="H1799" s="28"/>
      <c r="I1799" s="28"/>
      <c r="J1799" s="28"/>
      <c r="K1799" s="28"/>
      <c r="L1799" s="28"/>
      <c r="M1799" s="28"/>
      <c r="N1799" s="28"/>
      <c r="O1799" s="28"/>
      <c r="P1799" s="28"/>
      <c r="Q1799" s="28"/>
      <c r="R1799" s="28"/>
      <c r="S1799" s="28"/>
    </row>
    <row r="1800" spans="1:19" x14ac:dyDescent="0.25">
      <c r="A1800" s="28"/>
      <c r="B1800" s="28"/>
      <c r="C1800" s="28"/>
      <c r="D1800" s="28"/>
      <c r="E1800" s="28"/>
      <c r="F1800" s="28"/>
      <c r="G1800" s="28"/>
      <c r="H1800" s="28"/>
      <c r="I1800" s="28"/>
      <c r="J1800" s="28"/>
      <c r="K1800" s="28"/>
      <c r="L1800" s="28"/>
      <c r="M1800" s="28"/>
      <c r="N1800" s="28"/>
      <c r="O1800" s="28"/>
      <c r="P1800" s="28"/>
      <c r="Q1800" s="28"/>
      <c r="R1800" s="28"/>
      <c r="S1800" s="28"/>
    </row>
    <row r="1801" spans="1:19" x14ac:dyDescent="0.25">
      <c r="A1801" s="28"/>
      <c r="B1801" s="28"/>
      <c r="C1801" s="28"/>
      <c r="D1801" s="28"/>
      <c r="E1801" s="28"/>
      <c r="F1801" s="28"/>
      <c r="G1801" s="28"/>
      <c r="H1801" s="28"/>
      <c r="I1801" s="28"/>
      <c r="J1801" s="28"/>
      <c r="K1801" s="28"/>
      <c r="L1801" s="28"/>
      <c r="M1801" s="28"/>
      <c r="N1801" s="28"/>
      <c r="O1801" s="28"/>
      <c r="P1801" s="28"/>
      <c r="Q1801" s="28"/>
      <c r="R1801" s="28"/>
      <c r="S1801" s="28"/>
    </row>
    <row r="1802" spans="1:19" x14ac:dyDescent="0.25">
      <c r="A1802" s="28"/>
      <c r="B1802" s="28"/>
      <c r="C1802" s="28"/>
      <c r="D1802" s="28"/>
      <c r="E1802" s="28"/>
      <c r="F1802" s="28"/>
      <c r="G1802" s="28"/>
      <c r="H1802" s="28"/>
      <c r="I1802" s="28"/>
      <c r="J1802" s="28"/>
      <c r="K1802" s="28"/>
      <c r="L1802" s="28"/>
      <c r="M1802" s="28"/>
      <c r="N1802" s="28"/>
      <c r="O1802" s="28"/>
      <c r="P1802" s="28"/>
      <c r="Q1802" s="28"/>
      <c r="R1802" s="28"/>
      <c r="S1802" s="28"/>
    </row>
    <row r="1803" spans="1:19" x14ac:dyDescent="0.25">
      <c r="A1803" s="28"/>
      <c r="B1803" s="28"/>
      <c r="C1803" s="28"/>
      <c r="D1803" s="28"/>
      <c r="E1803" s="28"/>
      <c r="F1803" s="28"/>
      <c r="G1803" s="28"/>
      <c r="H1803" s="28"/>
      <c r="I1803" s="28"/>
      <c r="J1803" s="28"/>
      <c r="K1803" s="28"/>
      <c r="L1803" s="28"/>
      <c r="M1803" s="28"/>
      <c r="N1803" s="28"/>
      <c r="O1803" s="28"/>
      <c r="P1803" s="28"/>
      <c r="Q1803" s="28"/>
      <c r="R1803" s="28"/>
      <c r="S1803" s="28"/>
    </row>
    <row r="1804" spans="1:19" x14ac:dyDescent="0.25">
      <c r="A1804" s="28"/>
      <c r="B1804" s="28"/>
      <c r="C1804" s="28"/>
      <c r="D1804" s="28"/>
      <c r="E1804" s="28"/>
      <c r="F1804" s="28"/>
      <c r="G1804" s="28"/>
      <c r="H1804" s="28"/>
      <c r="I1804" s="28"/>
      <c r="J1804" s="28"/>
      <c r="K1804" s="28"/>
      <c r="L1804" s="28"/>
      <c r="M1804" s="28"/>
      <c r="N1804" s="28"/>
      <c r="O1804" s="28"/>
      <c r="P1804" s="28"/>
      <c r="Q1804" s="28"/>
      <c r="R1804" s="28"/>
      <c r="S1804" s="28"/>
    </row>
    <row r="1805" spans="1:19" x14ac:dyDescent="0.25">
      <c r="A1805" s="28"/>
      <c r="B1805" s="28"/>
      <c r="C1805" s="28"/>
      <c r="D1805" s="28"/>
      <c r="E1805" s="28"/>
      <c r="F1805" s="28"/>
      <c r="G1805" s="28"/>
      <c r="H1805" s="28"/>
      <c r="I1805" s="28"/>
      <c r="J1805" s="28"/>
      <c r="K1805" s="28"/>
      <c r="L1805" s="28"/>
      <c r="M1805" s="28"/>
      <c r="N1805" s="28"/>
      <c r="O1805" s="28"/>
      <c r="P1805" s="28"/>
      <c r="Q1805" s="28"/>
      <c r="R1805" s="28"/>
      <c r="S1805" s="28"/>
    </row>
    <row r="1806" spans="1:19" x14ac:dyDescent="0.25">
      <c r="A1806" s="28"/>
      <c r="B1806" s="28"/>
      <c r="C1806" s="28"/>
      <c r="D1806" s="28"/>
      <c r="E1806" s="28"/>
      <c r="F1806" s="28"/>
      <c r="G1806" s="28"/>
      <c r="H1806" s="28"/>
      <c r="I1806" s="28"/>
      <c r="J1806" s="28"/>
      <c r="K1806" s="28"/>
      <c r="L1806" s="28"/>
      <c r="M1806" s="28"/>
      <c r="N1806" s="28"/>
      <c r="O1806" s="28"/>
      <c r="P1806" s="28"/>
      <c r="Q1806" s="28"/>
      <c r="R1806" s="28"/>
      <c r="S1806" s="28"/>
    </row>
    <row r="1807" spans="1:19" x14ac:dyDescent="0.25">
      <c r="A1807" s="28"/>
      <c r="B1807" s="28"/>
      <c r="C1807" s="28"/>
      <c r="D1807" s="28"/>
      <c r="E1807" s="28"/>
      <c r="F1807" s="28"/>
      <c r="G1807" s="28"/>
      <c r="H1807" s="28"/>
      <c r="I1807" s="28"/>
      <c r="J1807" s="28"/>
      <c r="K1807" s="28"/>
      <c r="L1807" s="28"/>
      <c r="M1807" s="28"/>
      <c r="N1807" s="28"/>
      <c r="O1807" s="28"/>
      <c r="P1807" s="28"/>
      <c r="Q1807" s="28"/>
      <c r="R1807" s="28"/>
      <c r="S1807" s="28"/>
    </row>
    <row r="1808" spans="1:19" x14ac:dyDescent="0.25">
      <c r="A1808" s="28"/>
      <c r="B1808" s="28"/>
      <c r="C1808" s="28"/>
      <c r="D1808" s="28"/>
      <c r="E1808" s="28"/>
      <c r="F1808" s="28"/>
      <c r="G1808" s="28"/>
      <c r="H1808" s="28"/>
      <c r="I1808" s="28"/>
      <c r="J1808" s="28"/>
      <c r="K1808" s="28"/>
      <c r="L1808" s="28"/>
      <c r="M1808" s="28"/>
      <c r="N1808" s="28"/>
      <c r="O1808" s="28"/>
      <c r="P1808" s="28"/>
      <c r="Q1808" s="28"/>
      <c r="R1808" s="28"/>
      <c r="S1808" s="28"/>
    </row>
    <row r="1809" spans="1:19" x14ac:dyDescent="0.25">
      <c r="A1809" s="28"/>
      <c r="B1809" s="28"/>
      <c r="C1809" s="28"/>
      <c r="D1809" s="28"/>
      <c r="E1809" s="28"/>
      <c r="F1809" s="28"/>
      <c r="G1809" s="28"/>
      <c r="H1809" s="28"/>
      <c r="I1809" s="28"/>
      <c r="J1809" s="28"/>
      <c r="K1809" s="28"/>
      <c r="L1809" s="28"/>
      <c r="M1809" s="28"/>
      <c r="N1809" s="28"/>
      <c r="O1809" s="28"/>
      <c r="P1809" s="28"/>
      <c r="Q1809" s="28"/>
      <c r="R1809" s="28"/>
      <c r="S1809" s="28"/>
    </row>
    <row r="1810" spans="1:19" x14ac:dyDescent="0.25">
      <c r="A1810" s="28"/>
      <c r="B1810" s="28"/>
      <c r="C1810" s="28"/>
      <c r="D1810" s="28"/>
      <c r="E1810" s="28"/>
      <c r="F1810" s="28"/>
      <c r="G1810" s="28"/>
      <c r="H1810" s="28"/>
      <c r="I1810" s="28"/>
      <c r="J1810" s="28"/>
      <c r="K1810" s="28"/>
      <c r="L1810" s="28"/>
      <c r="M1810" s="28"/>
      <c r="N1810" s="28"/>
      <c r="O1810" s="28"/>
      <c r="P1810" s="28"/>
      <c r="Q1810" s="28"/>
      <c r="R1810" s="28"/>
      <c r="S1810" s="28"/>
    </row>
    <row r="1811" spans="1:19" x14ac:dyDescent="0.25">
      <c r="A1811" s="28"/>
      <c r="B1811" s="28"/>
      <c r="C1811" s="28"/>
      <c r="D1811" s="28"/>
      <c r="E1811" s="28"/>
      <c r="F1811" s="28"/>
      <c r="G1811" s="28"/>
      <c r="H1811" s="28"/>
      <c r="I1811" s="28"/>
      <c r="J1811" s="28"/>
      <c r="K1811" s="28"/>
      <c r="L1811" s="28"/>
      <c r="M1811" s="28"/>
      <c r="N1811" s="28"/>
      <c r="O1811" s="28"/>
      <c r="P1811" s="28"/>
      <c r="Q1811" s="28"/>
      <c r="R1811" s="28"/>
      <c r="S1811" s="28"/>
    </row>
    <row r="1812" spans="1:19" x14ac:dyDescent="0.25">
      <c r="A1812" s="28"/>
      <c r="B1812" s="28"/>
      <c r="C1812" s="28"/>
      <c r="D1812" s="28"/>
      <c r="E1812" s="28"/>
      <c r="F1812" s="28"/>
      <c r="G1812" s="28"/>
      <c r="H1812" s="28"/>
      <c r="I1812" s="28"/>
      <c r="J1812" s="28"/>
      <c r="K1812" s="28"/>
      <c r="L1812" s="28"/>
      <c r="M1812" s="28"/>
      <c r="N1812" s="28"/>
      <c r="O1812" s="28"/>
      <c r="P1812" s="28"/>
      <c r="Q1812" s="28"/>
      <c r="R1812" s="28"/>
      <c r="S1812" s="28"/>
    </row>
    <row r="1813" spans="1:19" x14ac:dyDescent="0.25">
      <c r="A1813" s="28"/>
      <c r="B1813" s="28"/>
      <c r="C1813" s="28"/>
      <c r="D1813" s="28"/>
      <c r="E1813" s="28"/>
      <c r="F1813" s="28"/>
      <c r="G1813" s="28"/>
      <c r="H1813" s="28"/>
      <c r="I1813" s="28"/>
      <c r="J1813" s="28"/>
      <c r="K1813" s="28"/>
      <c r="L1813" s="28"/>
      <c r="M1813" s="28"/>
      <c r="N1813" s="28"/>
      <c r="O1813" s="28"/>
      <c r="P1813" s="28"/>
      <c r="Q1813" s="28"/>
      <c r="R1813" s="28"/>
      <c r="S1813" s="28"/>
    </row>
    <row r="1814" spans="1:19" x14ac:dyDescent="0.25">
      <c r="A1814" s="28"/>
      <c r="B1814" s="28"/>
      <c r="C1814" s="28"/>
      <c r="D1814" s="28"/>
      <c r="E1814" s="28"/>
      <c r="F1814" s="28"/>
      <c r="G1814" s="28"/>
      <c r="H1814" s="28"/>
      <c r="I1814" s="28"/>
      <c r="J1814" s="28"/>
      <c r="K1814" s="28"/>
      <c r="L1814" s="28"/>
      <c r="M1814" s="28"/>
      <c r="N1814" s="28"/>
      <c r="O1814" s="28"/>
      <c r="P1814" s="28"/>
      <c r="Q1814" s="28"/>
      <c r="R1814" s="28"/>
      <c r="S1814" s="28"/>
    </row>
    <row r="1815" spans="1:19" x14ac:dyDescent="0.25">
      <c r="A1815" s="28"/>
      <c r="B1815" s="28"/>
      <c r="C1815" s="28"/>
      <c r="D1815" s="28"/>
      <c r="E1815" s="28"/>
      <c r="F1815" s="28"/>
      <c r="G1815" s="28"/>
      <c r="H1815" s="28"/>
      <c r="I1815" s="28"/>
      <c r="J1815" s="28"/>
      <c r="K1815" s="28"/>
      <c r="L1815" s="28"/>
      <c r="M1815" s="28"/>
      <c r="N1815" s="28"/>
      <c r="O1815" s="28"/>
      <c r="P1815" s="28"/>
      <c r="Q1815" s="28"/>
      <c r="R1815" s="28"/>
      <c r="S1815" s="28"/>
    </row>
    <row r="1816" spans="1:19" x14ac:dyDescent="0.25">
      <c r="A1816" s="28"/>
      <c r="B1816" s="28"/>
      <c r="C1816" s="28"/>
      <c r="D1816" s="28"/>
      <c r="E1816" s="28"/>
      <c r="F1816" s="28"/>
      <c r="G1816" s="28"/>
      <c r="H1816" s="28"/>
      <c r="I1816" s="28"/>
      <c r="J1816" s="28"/>
      <c r="K1816" s="28"/>
      <c r="L1816" s="28"/>
      <c r="M1816" s="28"/>
      <c r="N1816" s="28"/>
      <c r="O1816" s="28"/>
      <c r="P1816" s="28"/>
      <c r="Q1816" s="28"/>
      <c r="R1816" s="28"/>
      <c r="S1816" s="28"/>
    </row>
    <row r="1817" spans="1:19" x14ac:dyDescent="0.25">
      <c r="A1817" s="28"/>
      <c r="B1817" s="28"/>
      <c r="C1817" s="28"/>
      <c r="D1817" s="28"/>
      <c r="E1817" s="28"/>
      <c r="F1817" s="28"/>
      <c r="G1817" s="28"/>
      <c r="H1817" s="28"/>
      <c r="I1817" s="28"/>
      <c r="J1817" s="28"/>
      <c r="K1817" s="28"/>
      <c r="L1817" s="28"/>
      <c r="M1817" s="28"/>
      <c r="N1817" s="28"/>
      <c r="O1817" s="28"/>
      <c r="P1817" s="28"/>
      <c r="Q1817" s="28"/>
      <c r="R1817" s="28"/>
      <c r="S1817" s="28"/>
    </row>
    <row r="1818" spans="1:19" x14ac:dyDescent="0.25">
      <c r="A1818" s="28"/>
      <c r="B1818" s="28"/>
      <c r="C1818" s="28"/>
      <c r="D1818" s="28"/>
      <c r="E1818" s="28"/>
      <c r="F1818" s="28"/>
      <c r="G1818" s="28"/>
      <c r="H1818" s="28"/>
      <c r="I1818" s="28"/>
      <c r="J1818" s="28"/>
      <c r="K1818" s="28"/>
      <c r="L1818" s="28"/>
      <c r="M1818" s="28"/>
      <c r="N1818" s="28"/>
      <c r="O1818" s="28"/>
      <c r="P1818" s="28"/>
      <c r="Q1818" s="28"/>
      <c r="R1818" s="28"/>
      <c r="S1818" s="28"/>
    </row>
    <row r="1819" spans="1:19" x14ac:dyDescent="0.25">
      <c r="A1819" s="28"/>
      <c r="B1819" s="28"/>
      <c r="C1819" s="28"/>
      <c r="D1819" s="28"/>
      <c r="E1819" s="28"/>
      <c r="F1819" s="28"/>
      <c r="G1819" s="28"/>
      <c r="H1819" s="28"/>
      <c r="I1819" s="28"/>
      <c r="J1819" s="28"/>
      <c r="K1819" s="28"/>
      <c r="L1819" s="28"/>
      <c r="M1819" s="28"/>
      <c r="N1819" s="28"/>
      <c r="O1819" s="28"/>
      <c r="P1819" s="28"/>
      <c r="Q1819" s="28"/>
      <c r="R1819" s="28"/>
      <c r="S1819" s="28"/>
    </row>
    <row r="1820" spans="1:19" x14ac:dyDescent="0.25">
      <c r="A1820" s="28"/>
      <c r="B1820" s="28"/>
      <c r="C1820" s="28"/>
      <c r="D1820" s="28"/>
      <c r="E1820" s="28"/>
      <c r="F1820" s="28"/>
      <c r="G1820" s="28"/>
      <c r="H1820" s="28"/>
      <c r="I1820" s="28"/>
      <c r="J1820" s="28"/>
      <c r="K1820" s="28"/>
      <c r="L1820" s="28"/>
      <c r="M1820" s="28"/>
      <c r="N1820" s="28"/>
      <c r="O1820" s="28"/>
      <c r="P1820" s="28"/>
      <c r="Q1820" s="28"/>
      <c r="R1820" s="28"/>
      <c r="S1820" s="28"/>
    </row>
    <row r="1821" spans="1:19" x14ac:dyDescent="0.25">
      <c r="A1821" s="28"/>
      <c r="B1821" s="28"/>
      <c r="C1821" s="28"/>
      <c r="D1821" s="28"/>
      <c r="E1821" s="28"/>
      <c r="F1821" s="28"/>
      <c r="G1821" s="28"/>
      <c r="H1821" s="28"/>
      <c r="I1821" s="28"/>
      <c r="J1821" s="28"/>
      <c r="K1821" s="28"/>
      <c r="L1821" s="28"/>
      <c r="M1821" s="28"/>
      <c r="N1821" s="28"/>
      <c r="O1821" s="28"/>
      <c r="P1821" s="28"/>
      <c r="Q1821" s="28"/>
      <c r="R1821" s="28"/>
      <c r="S1821" s="28"/>
    </row>
    <row r="1822" spans="1:19" x14ac:dyDescent="0.25">
      <c r="A1822" s="28"/>
      <c r="B1822" s="28"/>
      <c r="C1822" s="28"/>
      <c r="D1822" s="28"/>
      <c r="E1822" s="28"/>
      <c r="F1822" s="28"/>
      <c r="G1822" s="28"/>
      <c r="H1822" s="28"/>
      <c r="I1822" s="28"/>
      <c r="J1822" s="28"/>
      <c r="K1822" s="28"/>
      <c r="L1822" s="28"/>
      <c r="M1822" s="28"/>
      <c r="N1822" s="28"/>
      <c r="O1822" s="28"/>
      <c r="P1822" s="28"/>
      <c r="Q1822" s="28"/>
      <c r="R1822" s="28"/>
      <c r="S1822" s="28"/>
    </row>
    <row r="1823" spans="1:19" x14ac:dyDescent="0.25">
      <c r="A1823" s="28"/>
      <c r="B1823" s="28"/>
      <c r="C1823" s="28"/>
      <c r="D1823" s="28"/>
      <c r="E1823" s="28"/>
      <c r="F1823" s="28"/>
      <c r="G1823" s="28"/>
      <c r="H1823" s="28"/>
      <c r="I1823" s="28"/>
      <c r="J1823" s="28"/>
      <c r="K1823" s="28"/>
      <c r="L1823" s="28"/>
      <c r="M1823" s="28"/>
      <c r="N1823" s="28"/>
      <c r="O1823" s="28"/>
      <c r="P1823" s="28"/>
      <c r="Q1823" s="28"/>
      <c r="R1823" s="28"/>
      <c r="S1823" s="28"/>
    </row>
    <row r="1824" spans="1:19" x14ac:dyDescent="0.25">
      <c r="A1824" s="28"/>
      <c r="B1824" s="28"/>
      <c r="C1824" s="28"/>
      <c r="D1824" s="28"/>
      <c r="E1824" s="28"/>
      <c r="F1824" s="28"/>
      <c r="G1824" s="28"/>
      <c r="H1824" s="28"/>
      <c r="I1824" s="28"/>
      <c r="J1824" s="28"/>
      <c r="K1824" s="28"/>
      <c r="L1824" s="28"/>
      <c r="M1824" s="28"/>
      <c r="N1824" s="28"/>
      <c r="O1824" s="28"/>
      <c r="P1824" s="28"/>
      <c r="Q1824" s="28"/>
      <c r="R1824" s="28"/>
      <c r="S1824" s="28"/>
    </row>
    <row r="1825" spans="1:19" x14ac:dyDescent="0.25">
      <c r="A1825" s="28"/>
      <c r="B1825" s="28"/>
      <c r="C1825" s="28"/>
      <c r="D1825" s="28"/>
      <c r="E1825" s="28"/>
      <c r="F1825" s="28"/>
      <c r="G1825" s="28"/>
      <c r="H1825" s="28"/>
      <c r="I1825" s="28"/>
      <c r="J1825" s="28"/>
      <c r="K1825" s="28"/>
      <c r="L1825" s="28"/>
      <c r="M1825" s="28"/>
      <c r="N1825" s="28"/>
      <c r="O1825" s="28"/>
      <c r="P1825" s="28"/>
      <c r="Q1825" s="28"/>
      <c r="R1825" s="28"/>
      <c r="S1825" s="28"/>
    </row>
    <row r="1826" spans="1:19" x14ac:dyDescent="0.25">
      <c r="A1826" s="28"/>
      <c r="B1826" s="28"/>
      <c r="C1826" s="28"/>
      <c r="D1826" s="28"/>
      <c r="E1826" s="28"/>
      <c r="F1826" s="28"/>
      <c r="G1826" s="28"/>
      <c r="H1826" s="28"/>
      <c r="I1826" s="28"/>
      <c r="J1826" s="28"/>
      <c r="K1826" s="28"/>
      <c r="L1826" s="28"/>
      <c r="M1826" s="28"/>
      <c r="N1826" s="28"/>
      <c r="O1826" s="28"/>
      <c r="P1826" s="28"/>
      <c r="Q1826" s="28"/>
      <c r="R1826" s="28"/>
      <c r="S1826" s="28"/>
    </row>
    <row r="1827" spans="1:19" x14ac:dyDescent="0.25">
      <c r="A1827" s="28"/>
      <c r="B1827" s="28"/>
      <c r="C1827" s="28"/>
      <c r="D1827" s="28"/>
      <c r="E1827" s="28"/>
      <c r="F1827" s="28"/>
      <c r="G1827" s="28"/>
      <c r="H1827" s="28"/>
      <c r="I1827" s="28"/>
      <c r="J1827" s="28"/>
      <c r="K1827" s="28"/>
      <c r="L1827" s="28"/>
      <c r="M1827" s="28"/>
      <c r="N1827" s="28"/>
      <c r="O1827" s="28"/>
      <c r="P1827" s="28"/>
      <c r="Q1827" s="28"/>
      <c r="R1827" s="28"/>
      <c r="S1827" s="28"/>
    </row>
    <row r="1828" spans="1:19" x14ac:dyDescent="0.25">
      <c r="A1828" s="28"/>
      <c r="B1828" s="28"/>
      <c r="C1828" s="28"/>
      <c r="D1828" s="28"/>
      <c r="E1828" s="28"/>
      <c r="F1828" s="28"/>
      <c r="G1828" s="28"/>
      <c r="H1828" s="28"/>
      <c r="I1828" s="28"/>
      <c r="J1828" s="28"/>
      <c r="K1828" s="28"/>
      <c r="L1828" s="28"/>
      <c r="M1828" s="28"/>
      <c r="N1828" s="28"/>
      <c r="O1828" s="28"/>
      <c r="P1828" s="28"/>
      <c r="Q1828" s="28"/>
      <c r="R1828" s="28"/>
      <c r="S1828" s="28"/>
    </row>
    <row r="1829" spans="1:19" x14ac:dyDescent="0.25">
      <c r="A1829" s="28"/>
      <c r="B1829" s="28"/>
      <c r="C1829" s="28"/>
      <c r="D1829" s="28"/>
      <c r="E1829" s="28"/>
      <c r="F1829" s="28"/>
      <c r="G1829" s="28"/>
      <c r="H1829" s="28"/>
      <c r="I1829" s="28"/>
      <c r="J1829" s="28"/>
      <c r="K1829" s="28"/>
      <c r="L1829" s="28"/>
      <c r="M1829" s="28"/>
      <c r="N1829" s="28"/>
      <c r="O1829" s="28"/>
      <c r="P1829" s="28"/>
      <c r="Q1829" s="28"/>
      <c r="R1829" s="28"/>
      <c r="S1829" s="28"/>
    </row>
    <row r="1830" spans="1:19" x14ac:dyDescent="0.25">
      <c r="A1830" s="28"/>
      <c r="B1830" s="28"/>
      <c r="C1830" s="28"/>
      <c r="D1830" s="28"/>
      <c r="E1830" s="28"/>
      <c r="F1830" s="28"/>
      <c r="G1830" s="28"/>
      <c r="H1830" s="28"/>
      <c r="I1830" s="28"/>
      <c r="J1830" s="28"/>
      <c r="K1830" s="28"/>
      <c r="L1830" s="28"/>
      <c r="M1830" s="28"/>
      <c r="N1830" s="28"/>
      <c r="O1830" s="28"/>
      <c r="P1830" s="28"/>
      <c r="Q1830" s="28"/>
      <c r="R1830" s="28"/>
      <c r="S1830" s="28"/>
    </row>
    <row r="1831" spans="1:19" x14ac:dyDescent="0.25">
      <c r="A1831" s="28"/>
      <c r="B1831" s="28"/>
      <c r="C1831" s="28"/>
      <c r="D1831" s="28"/>
      <c r="E1831" s="28"/>
      <c r="F1831" s="28"/>
      <c r="G1831" s="28"/>
      <c r="H1831" s="28"/>
      <c r="I1831" s="28"/>
      <c r="J1831" s="28"/>
      <c r="K1831" s="28"/>
      <c r="L1831" s="28"/>
      <c r="M1831" s="28"/>
      <c r="N1831" s="28"/>
      <c r="O1831" s="28"/>
      <c r="P1831" s="28"/>
      <c r="Q1831" s="28"/>
      <c r="R1831" s="28"/>
      <c r="S1831" s="28"/>
    </row>
    <row r="1832" spans="1:19" x14ac:dyDescent="0.25">
      <c r="A1832" s="28"/>
      <c r="B1832" s="28"/>
      <c r="C1832" s="28"/>
      <c r="D1832" s="28"/>
      <c r="E1832" s="28"/>
      <c r="F1832" s="28"/>
      <c r="G1832" s="28"/>
      <c r="H1832" s="28"/>
      <c r="I1832" s="28"/>
      <c r="J1832" s="28"/>
      <c r="K1832" s="28"/>
      <c r="L1832" s="28"/>
      <c r="M1832" s="28"/>
      <c r="N1832" s="28"/>
      <c r="O1832" s="28"/>
      <c r="P1832" s="28"/>
      <c r="Q1832" s="28"/>
      <c r="R1832" s="28"/>
      <c r="S1832" s="28"/>
    </row>
    <row r="1833" spans="1:19" x14ac:dyDescent="0.25">
      <c r="A1833" s="28"/>
      <c r="B1833" s="28"/>
      <c r="C1833" s="28"/>
      <c r="D1833" s="28"/>
      <c r="E1833" s="28"/>
      <c r="F1833" s="28"/>
      <c r="G1833" s="28"/>
      <c r="H1833" s="28"/>
      <c r="I1833" s="28"/>
      <c r="J1833" s="28"/>
      <c r="K1833" s="28"/>
      <c r="L1833" s="28"/>
      <c r="M1833" s="28"/>
      <c r="N1833" s="28"/>
      <c r="O1833" s="28"/>
      <c r="P1833" s="28"/>
      <c r="Q1833" s="28"/>
      <c r="R1833" s="28"/>
      <c r="S1833" s="28"/>
    </row>
    <row r="1834" spans="1:19" x14ac:dyDescent="0.25">
      <c r="A1834" s="28"/>
      <c r="B1834" s="28"/>
      <c r="C1834" s="28"/>
      <c r="D1834" s="28"/>
      <c r="E1834" s="28"/>
      <c r="F1834" s="28"/>
      <c r="G1834" s="28"/>
      <c r="H1834" s="28"/>
      <c r="I1834" s="28"/>
      <c r="J1834" s="28"/>
      <c r="K1834" s="28"/>
      <c r="L1834" s="28"/>
      <c r="M1834" s="28"/>
      <c r="N1834" s="28"/>
      <c r="O1834" s="28"/>
      <c r="P1834" s="28"/>
      <c r="Q1834" s="28"/>
      <c r="R1834" s="28"/>
      <c r="S1834" s="28"/>
    </row>
    <row r="1835" spans="1:19" x14ac:dyDescent="0.25">
      <c r="A1835" s="28"/>
      <c r="B1835" s="28"/>
      <c r="C1835" s="28"/>
      <c r="D1835" s="28"/>
      <c r="E1835" s="28"/>
      <c r="F1835" s="28"/>
      <c r="G1835" s="28"/>
      <c r="H1835" s="28"/>
      <c r="I1835" s="28"/>
      <c r="J1835" s="28"/>
      <c r="K1835" s="28"/>
      <c r="L1835" s="28"/>
      <c r="M1835" s="28"/>
      <c r="N1835" s="28"/>
      <c r="O1835" s="28"/>
      <c r="P1835" s="28"/>
      <c r="Q1835" s="28"/>
      <c r="R1835" s="28"/>
      <c r="S1835" s="28"/>
    </row>
    <row r="1836" spans="1:19" x14ac:dyDescent="0.25">
      <c r="A1836" s="28"/>
      <c r="B1836" s="28"/>
      <c r="C1836" s="28"/>
      <c r="D1836" s="28"/>
      <c r="E1836" s="28"/>
      <c r="F1836" s="28"/>
      <c r="G1836" s="28"/>
      <c r="H1836" s="28"/>
      <c r="I1836" s="28"/>
      <c r="J1836" s="28"/>
      <c r="K1836" s="28"/>
      <c r="L1836" s="28"/>
      <c r="M1836" s="28"/>
      <c r="N1836" s="28"/>
      <c r="O1836" s="28"/>
      <c r="P1836" s="28"/>
      <c r="Q1836" s="28"/>
      <c r="R1836" s="28"/>
      <c r="S1836" s="28"/>
    </row>
    <row r="1837" spans="1:19" x14ac:dyDescent="0.25">
      <c r="A1837" s="28"/>
      <c r="B1837" s="28"/>
      <c r="C1837" s="28"/>
      <c r="D1837" s="28"/>
      <c r="E1837" s="28"/>
      <c r="F1837" s="28"/>
      <c r="G1837" s="28"/>
      <c r="H1837" s="28"/>
      <c r="I1837" s="28"/>
      <c r="J1837" s="28"/>
      <c r="K1837" s="28"/>
      <c r="L1837" s="28"/>
      <c r="M1837" s="28"/>
      <c r="N1837" s="28"/>
      <c r="O1837" s="28"/>
      <c r="P1837" s="28"/>
      <c r="Q1837" s="28"/>
      <c r="R1837" s="28"/>
      <c r="S1837" s="28"/>
    </row>
    <row r="1838" spans="1:19" x14ac:dyDescent="0.25">
      <c r="A1838" s="28"/>
      <c r="B1838" s="28"/>
      <c r="C1838" s="28"/>
      <c r="D1838" s="28"/>
      <c r="E1838" s="28"/>
      <c r="F1838" s="28"/>
      <c r="G1838" s="28"/>
      <c r="H1838" s="28"/>
      <c r="I1838" s="28"/>
      <c r="J1838" s="28"/>
      <c r="K1838" s="28"/>
      <c r="L1838" s="28"/>
      <c r="M1838" s="28"/>
      <c r="N1838" s="28"/>
      <c r="O1838" s="28"/>
      <c r="P1838" s="28"/>
      <c r="Q1838" s="28"/>
      <c r="R1838" s="28"/>
      <c r="S1838" s="28"/>
    </row>
    <row r="1839" spans="1:19" x14ac:dyDescent="0.25">
      <c r="A1839" s="28"/>
      <c r="B1839" s="28"/>
      <c r="C1839" s="28"/>
      <c r="D1839" s="28"/>
      <c r="E1839" s="28"/>
      <c r="F1839" s="28"/>
      <c r="G1839" s="28"/>
      <c r="H1839" s="28"/>
      <c r="I1839" s="28"/>
      <c r="J1839" s="28"/>
      <c r="K1839" s="28"/>
      <c r="L1839" s="28"/>
      <c r="M1839" s="28"/>
      <c r="N1839" s="28"/>
      <c r="O1839" s="28"/>
      <c r="P1839" s="28"/>
      <c r="Q1839" s="28"/>
      <c r="R1839" s="28"/>
      <c r="S1839" s="28"/>
    </row>
    <row r="1840" spans="1:19" x14ac:dyDescent="0.25">
      <c r="A1840" s="28"/>
      <c r="B1840" s="28"/>
      <c r="C1840" s="28"/>
      <c r="D1840" s="28"/>
      <c r="E1840" s="28"/>
      <c r="F1840" s="28"/>
      <c r="G1840" s="28"/>
      <c r="H1840" s="28"/>
      <c r="I1840" s="28"/>
      <c r="J1840" s="28"/>
      <c r="K1840" s="28"/>
      <c r="L1840" s="28"/>
      <c r="M1840" s="28"/>
      <c r="N1840" s="28"/>
      <c r="O1840" s="28"/>
      <c r="P1840" s="28"/>
      <c r="Q1840" s="28"/>
      <c r="R1840" s="28"/>
      <c r="S1840" s="28"/>
    </row>
    <row r="1841" spans="1:19" x14ac:dyDescent="0.25">
      <c r="A1841" s="28"/>
      <c r="B1841" s="28"/>
      <c r="C1841" s="28"/>
      <c r="D1841" s="28"/>
      <c r="E1841" s="28"/>
      <c r="F1841" s="28"/>
      <c r="G1841" s="28"/>
      <c r="H1841" s="28"/>
      <c r="I1841" s="28"/>
      <c r="J1841" s="28"/>
      <c r="K1841" s="28"/>
      <c r="L1841" s="28"/>
      <c r="M1841" s="28"/>
      <c r="N1841" s="28"/>
      <c r="O1841" s="28"/>
      <c r="P1841" s="28"/>
      <c r="Q1841" s="28"/>
      <c r="R1841" s="28"/>
      <c r="S1841" s="28"/>
    </row>
    <row r="1842" spans="1:19" x14ac:dyDescent="0.25">
      <c r="A1842" s="28"/>
      <c r="B1842" s="28"/>
      <c r="C1842" s="28"/>
      <c r="D1842" s="28"/>
      <c r="E1842" s="28"/>
      <c r="F1842" s="28"/>
      <c r="G1842" s="28"/>
      <c r="H1842" s="28"/>
      <c r="I1842" s="28"/>
      <c r="J1842" s="28"/>
      <c r="K1842" s="28"/>
      <c r="L1842" s="28"/>
      <c r="M1842" s="28"/>
      <c r="N1842" s="28"/>
      <c r="O1842" s="28"/>
      <c r="P1842" s="28"/>
      <c r="Q1842" s="28"/>
      <c r="R1842" s="28"/>
      <c r="S1842" s="28"/>
    </row>
    <row r="1843" spans="1:19" x14ac:dyDescent="0.25">
      <c r="A1843" s="28"/>
      <c r="B1843" s="28"/>
      <c r="C1843" s="28"/>
      <c r="D1843" s="28"/>
      <c r="E1843" s="28"/>
      <c r="F1843" s="28"/>
      <c r="G1843" s="28"/>
      <c r="H1843" s="28"/>
      <c r="I1843" s="28"/>
      <c r="J1843" s="28"/>
      <c r="K1843" s="28"/>
      <c r="L1843" s="28"/>
      <c r="M1843" s="28"/>
      <c r="N1843" s="28"/>
      <c r="O1843" s="28"/>
      <c r="P1843" s="28"/>
      <c r="Q1843" s="28"/>
      <c r="R1843" s="28"/>
      <c r="S1843" s="28"/>
    </row>
    <row r="1844" spans="1:19" x14ac:dyDescent="0.25">
      <c r="A1844" s="28"/>
      <c r="B1844" s="28"/>
      <c r="C1844" s="28"/>
      <c r="D1844" s="28"/>
      <c r="E1844" s="28"/>
      <c r="F1844" s="28"/>
      <c r="G1844" s="28"/>
      <c r="H1844" s="28"/>
      <c r="I1844" s="28"/>
      <c r="J1844" s="28"/>
      <c r="K1844" s="28"/>
      <c r="L1844" s="28"/>
      <c r="M1844" s="28"/>
      <c r="N1844" s="28"/>
      <c r="O1844" s="28"/>
      <c r="P1844" s="28"/>
      <c r="Q1844" s="28"/>
      <c r="R1844" s="28"/>
      <c r="S1844" s="28"/>
    </row>
    <row r="1845" spans="1:19" x14ac:dyDescent="0.25">
      <c r="A1845" s="28"/>
      <c r="B1845" s="28"/>
      <c r="C1845" s="28"/>
      <c r="D1845" s="28"/>
      <c r="E1845" s="28"/>
      <c r="F1845" s="28"/>
      <c r="G1845" s="28"/>
      <c r="H1845" s="28"/>
      <c r="I1845" s="28"/>
      <c r="J1845" s="28"/>
      <c r="K1845" s="28"/>
      <c r="L1845" s="28"/>
      <c r="M1845" s="28"/>
      <c r="N1845" s="28"/>
      <c r="O1845" s="28"/>
      <c r="P1845" s="28"/>
      <c r="Q1845" s="28"/>
      <c r="R1845" s="28"/>
      <c r="S1845" s="28"/>
    </row>
    <row r="1846" spans="1:19" x14ac:dyDescent="0.25">
      <c r="A1846" s="28"/>
      <c r="B1846" s="28"/>
      <c r="C1846" s="28"/>
      <c r="D1846" s="28"/>
      <c r="E1846" s="28"/>
      <c r="F1846" s="28"/>
      <c r="G1846" s="28"/>
      <c r="H1846" s="28"/>
      <c r="I1846" s="28"/>
      <c r="J1846" s="28"/>
      <c r="K1846" s="28"/>
      <c r="L1846" s="28"/>
      <c r="M1846" s="28"/>
      <c r="N1846" s="28"/>
      <c r="O1846" s="28"/>
      <c r="P1846" s="28"/>
      <c r="Q1846" s="28"/>
      <c r="R1846" s="28"/>
      <c r="S1846" s="28"/>
    </row>
    <row r="1847" spans="1:19" x14ac:dyDescent="0.25">
      <c r="A1847" s="28"/>
      <c r="B1847" s="28"/>
      <c r="C1847" s="28"/>
      <c r="D1847" s="28"/>
      <c r="E1847" s="28"/>
      <c r="F1847" s="28"/>
      <c r="G1847" s="28"/>
      <c r="H1847" s="28"/>
      <c r="I1847" s="28"/>
      <c r="J1847" s="28"/>
      <c r="K1847" s="28"/>
      <c r="L1847" s="28"/>
      <c r="M1847" s="28"/>
      <c r="N1847" s="28"/>
      <c r="O1847" s="28"/>
      <c r="P1847" s="28"/>
      <c r="Q1847" s="28"/>
      <c r="R1847" s="28"/>
      <c r="S1847" s="28"/>
    </row>
    <row r="1848" spans="1:19" x14ac:dyDescent="0.25">
      <c r="A1848" s="28"/>
      <c r="B1848" s="28"/>
      <c r="C1848" s="28"/>
      <c r="D1848" s="28"/>
      <c r="E1848" s="28"/>
      <c r="F1848" s="28"/>
      <c r="G1848" s="28"/>
      <c r="H1848" s="28"/>
      <c r="I1848" s="28"/>
      <c r="J1848" s="28"/>
      <c r="K1848" s="28"/>
      <c r="L1848" s="28"/>
      <c r="M1848" s="28"/>
      <c r="N1848" s="28"/>
      <c r="O1848" s="28"/>
      <c r="P1848" s="28"/>
      <c r="Q1848" s="28"/>
      <c r="R1848" s="28"/>
      <c r="S1848" s="28"/>
    </row>
    <row r="1849" spans="1:19" x14ac:dyDescent="0.25">
      <c r="A1849" s="28"/>
      <c r="B1849" s="28"/>
      <c r="C1849" s="28"/>
      <c r="D1849" s="28"/>
      <c r="E1849" s="28"/>
      <c r="F1849" s="28"/>
      <c r="G1849" s="28"/>
      <c r="H1849" s="28"/>
      <c r="I1849" s="28"/>
      <c r="J1849" s="28"/>
      <c r="K1849" s="28"/>
      <c r="L1849" s="28"/>
      <c r="M1849" s="28"/>
      <c r="N1849" s="28"/>
      <c r="O1849" s="28"/>
      <c r="P1849" s="28"/>
      <c r="Q1849" s="28"/>
      <c r="R1849" s="28"/>
      <c r="S1849" s="28"/>
    </row>
    <row r="1850" spans="1:19" x14ac:dyDescent="0.25">
      <c r="A1850" s="28"/>
      <c r="B1850" s="28"/>
      <c r="C1850" s="28"/>
      <c r="D1850" s="28"/>
      <c r="E1850" s="28"/>
      <c r="F1850" s="28"/>
      <c r="G1850" s="28"/>
      <c r="H1850" s="28"/>
      <c r="I1850" s="28"/>
      <c r="J1850" s="28"/>
      <c r="K1850" s="28"/>
      <c r="L1850" s="28"/>
      <c r="M1850" s="28"/>
      <c r="N1850" s="28"/>
      <c r="O1850" s="28"/>
      <c r="P1850" s="28"/>
      <c r="Q1850" s="28"/>
      <c r="R1850" s="28"/>
      <c r="S1850" s="28"/>
    </row>
    <row r="1851" spans="1:19" x14ac:dyDescent="0.25">
      <c r="A1851" s="28"/>
      <c r="B1851" s="28"/>
      <c r="C1851" s="28"/>
      <c r="D1851" s="28"/>
      <c r="E1851" s="28"/>
      <c r="F1851" s="28"/>
      <c r="G1851" s="28"/>
      <c r="H1851" s="28"/>
      <c r="I1851" s="28"/>
      <c r="J1851" s="28"/>
      <c r="K1851" s="28"/>
      <c r="L1851" s="28"/>
      <c r="M1851" s="28"/>
      <c r="N1851" s="28"/>
      <c r="O1851" s="28"/>
      <c r="P1851" s="28"/>
      <c r="Q1851" s="28"/>
      <c r="R1851" s="28"/>
      <c r="S1851" s="28"/>
    </row>
    <row r="1852" spans="1:19" x14ac:dyDescent="0.25">
      <c r="A1852" s="28"/>
      <c r="B1852" s="28"/>
      <c r="C1852" s="28"/>
      <c r="D1852" s="28"/>
      <c r="E1852" s="28"/>
      <c r="F1852" s="28"/>
      <c r="G1852" s="28"/>
      <c r="H1852" s="28"/>
      <c r="I1852" s="28"/>
      <c r="J1852" s="28"/>
      <c r="K1852" s="28"/>
      <c r="L1852" s="28"/>
      <c r="M1852" s="28"/>
      <c r="N1852" s="28"/>
      <c r="O1852" s="28"/>
      <c r="P1852" s="28"/>
      <c r="Q1852" s="28"/>
      <c r="R1852" s="28"/>
      <c r="S1852" s="28"/>
    </row>
    <row r="1853" spans="1:19" x14ac:dyDescent="0.25">
      <c r="A1853" s="28"/>
      <c r="B1853" s="28"/>
      <c r="C1853" s="28"/>
      <c r="D1853" s="28"/>
      <c r="E1853" s="28"/>
      <c r="F1853" s="28"/>
      <c r="G1853" s="28"/>
      <c r="H1853" s="28"/>
      <c r="I1853" s="28"/>
      <c r="J1853" s="28"/>
      <c r="K1853" s="28"/>
      <c r="L1853" s="28"/>
      <c r="M1853" s="28"/>
      <c r="N1853" s="28"/>
      <c r="O1853" s="28"/>
      <c r="P1853" s="28"/>
      <c r="Q1853" s="28"/>
      <c r="R1853" s="28"/>
      <c r="S1853" s="28"/>
    </row>
    <row r="1854" spans="1:19" x14ac:dyDescent="0.25">
      <c r="A1854" s="28"/>
      <c r="B1854" s="28"/>
      <c r="C1854" s="28"/>
      <c r="D1854" s="28"/>
      <c r="E1854" s="28"/>
      <c r="F1854" s="28"/>
      <c r="G1854" s="28"/>
      <c r="H1854" s="28"/>
      <c r="I1854" s="28"/>
      <c r="J1854" s="28"/>
      <c r="K1854" s="28"/>
      <c r="L1854" s="28"/>
      <c r="M1854" s="28"/>
      <c r="N1854" s="28"/>
      <c r="O1854" s="28"/>
      <c r="P1854" s="28"/>
      <c r="Q1854" s="28"/>
      <c r="R1854" s="28"/>
      <c r="S1854" s="28"/>
    </row>
    <row r="1855" spans="1:19" x14ac:dyDescent="0.25">
      <c r="A1855" s="28"/>
      <c r="B1855" s="28"/>
      <c r="C1855" s="28"/>
      <c r="D1855" s="28"/>
      <c r="E1855" s="28"/>
      <c r="F1855" s="28"/>
      <c r="G1855" s="28"/>
      <c r="H1855" s="28"/>
      <c r="I1855" s="28"/>
      <c r="J1855" s="28"/>
      <c r="K1855" s="28"/>
      <c r="L1855" s="28"/>
      <c r="M1855" s="28"/>
      <c r="N1855" s="28"/>
      <c r="O1855" s="28"/>
      <c r="P1855" s="28"/>
      <c r="Q1855" s="28"/>
      <c r="R1855" s="28"/>
      <c r="S1855" s="28"/>
    </row>
    <row r="1856" spans="1:19" x14ac:dyDescent="0.25">
      <c r="A1856" s="28"/>
      <c r="B1856" s="28"/>
      <c r="C1856" s="28"/>
      <c r="D1856" s="28"/>
      <c r="E1856" s="28"/>
      <c r="F1856" s="28"/>
      <c r="G1856" s="28"/>
      <c r="H1856" s="28"/>
      <c r="I1856" s="28"/>
      <c r="J1856" s="28"/>
      <c r="K1856" s="28"/>
      <c r="L1856" s="28"/>
      <c r="M1856" s="28"/>
      <c r="N1856" s="28"/>
      <c r="O1856" s="28"/>
      <c r="P1856" s="28"/>
      <c r="Q1856" s="28"/>
      <c r="R1856" s="28"/>
      <c r="S1856" s="28"/>
    </row>
    <row r="1857" spans="1:19" x14ac:dyDescent="0.25">
      <c r="A1857" s="28"/>
      <c r="B1857" s="28"/>
      <c r="C1857" s="28"/>
      <c r="D1857" s="28"/>
      <c r="E1857" s="28"/>
      <c r="F1857" s="28"/>
      <c r="G1857" s="28"/>
      <c r="H1857" s="28"/>
      <c r="I1857" s="28"/>
      <c r="J1857" s="28"/>
      <c r="K1857" s="28"/>
      <c r="L1857" s="28"/>
      <c r="M1857" s="28"/>
      <c r="N1857" s="28"/>
      <c r="O1857" s="28"/>
      <c r="P1857" s="28"/>
      <c r="Q1857" s="28"/>
      <c r="R1857" s="28"/>
      <c r="S1857" s="28"/>
    </row>
    <row r="1858" spans="1:19" x14ac:dyDescent="0.25">
      <c r="A1858" s="28"/>
      <c r="B1858" s="28"/>
      <c r="C1858" s="28"/>
      <c r="D1858" s="28"/>
      <c r="E1858" s="28"/>
      <c r="F1858" s="28"/>
      <c r="G1858" s="28"/>
      <c r="H1858" s="28"/>
      <c r="I1858" s="28"/>
      <c r="J1858" s="28"/>
      <c r="K1858" s="28"/>
      <c r="L1858" s="28"/>
      <c r="M1858" s="28"/>
      <c r="N1858" s="28"/>
      <c r="O1858" s="28"/>
      <c r="P1858" s="28"/>
      <c r="Q1858" s="28"/>
      <c r="R1858" s="28"/>
      <c r="S1858" s="28"/>
    </row>
    <row r="1859" spans="1:19" x14ac:dyDescent="0.25">
      <c r="A1859" s="28"/>
      <c r="B1859" s="28"/>
      <c r="C1859" s="28"/>
      <c r="D1859" s="28"/>
      <c r="E1859" s="28"/>
      <c r="F1859" s="28"/>
      <c r="G1859" s="28"/>
      <c r="H1859" s="28"/>
      <c r="I1859" s="28"/>
      <c r="J1859" s="28"/>
      <c r="K1859" s="28"/>
      <c r="L1859" s="28"/>
      <c r="M1859" s="28"/>
      <c r="N1859" s="28"/>
      <c r="O1859" s="28"/>
      <c r="P1859" s="28"/>
      <c r="Q1859" s="28"/>
      <c r="R1859" s="28"/>
      <c r="S1859" s="28"/>
    </row>
    <row r="1860" spans="1:19" x14ac:dyDescent="0.25">
      <c r="A1860" s="28"/>
      <c r="B1860" s="28"/>
      <c r="C1860" s="28"/>
      <c r="D1860" s="28"/>
      <c r="E1860" s="28"/>
      <c r="F1860" s="28"/>
      <c r="G1860" s="28"/>
      <c r="H1860" s="28"/>
      <c r="I1860" s="28"/>
      <c r="J1860" s="28"/>
      <c r="K1860" s="28"/>
      <c r="L1860" s="28"/>
      <c r="M1860" s="28"/>
      <c r="N1860" s="28"/>
      <c r="O1860" s="28"/>
      <c r="P1860" s="28"/>
      <c r="Q1860" s="28"/>
      <c r="R1860" s="28"/>
      <c r="S1860" s="28"/>
    </row>
    <row r="1861" spans="1:19" x14ac:dyDescent="0.25">
      <c r="A1861" s="28"/>
      <c r="B1861" s="28"/>
      <c r="C1861" s="28"/>
      <c r="D1861" s="28"/>
      <c r="E1861" s="28"/>
      <c r="F1861" s="28"/>
      <c r="G1861" s="28"/>
      <c r="H1861" s="28"/>
      <c r="I1861" s="28"/>
      <c r="J1861" s="28"/>
      <c r="K1861" s="28"/>
      <c r="L1861" s="28"/>
      <c r="M1861" s="28"/>
      <c r="N1861" s="28"/>
      <c r="O1861" s="28"/>
      <c r="P1861" s="28"/>
      <c r="Q1861" s="28"/>
      <c r="R1861" s="28"/>
      <c r="S1861" s="28"/>
    </row>
    <row r="1862" spans="1:19" x14ac:dyDescent="0.25">
      <c r="A1862" s="28"/>
      <c r="B1862" s="28"/>
      <c r="C1862" s="28"/>
      <c r="D1862" s="28"/>
      <c r="E1862" s="28"/>
      <c r="F1862" s="28"/>
      <c r="G1862" s="28"/>
      <c r="H1862" s="28"/>
      <c r="I1862" s="28"/>
      <c r="J1862" s="28"/>
      <c r="K1862" s="28"/>
      <c r="L1862" s="28"/>
      <c r="M1862" s="28"/>
      <c r="N1862" s="28"/>
      <c r="O1862" s="28"/>
      <c r="P1862" s="28"/>
      <c r="Q1862" s="28"/>
      <c r="R1862" s="28"/>
      <c r="S1862" s="28"/>
    </row>
    <row r="1863" spans="1:19" x14ac:dyDescent="0.25">
      <c r="A1863" s="28"/>
      <c r="B1863" s="28"/>
      <c r="C1863" s="28"/>
      <c r="D1863" s="28"/>
      <c r="E1863" s="28"/>
      <c r="F1863" s="28"/>
      <c r="G1863" s="28"/>
      <c r="H1863" s="28"/>
      <c r="I1863" s="28"/>
      <c r="J1863" s="28"/>
      <c r="K1863" s="28"/>
      <c r="L1863" s="28"/>
      <c r="M1863" s="28"/>
      <c r="N1863" s="28"/>
      <c r="O1863" s="28"/>
      <c r="P1863" s="28"/>
      <c r="Q1863" s="28"/>
      <c r="R1863" s="28"/>
      <c r="S1863" s="28"/>
    </row>
    <row r="1864" spans="1:19" x14ac:dyDescent="0.25">
      <c r="A1864" s="28"/>
      <c r="B1864" s="28"/>
      <c r="C1864" s="28"/>
      <c r="D1864" s="28"/>
      <c r="E1864" s="28"/>
      <c r="F1864" s="28"/>
      <c r="G1864" s="28"/>
      <c r="H1864" s="28"/>
      <c r="I1864" s="28"/>
      <c r="J1864" s="28"/>
      <c r="K1864" s="28"/>
      <c r="L1864" s="28"/>
      <c r="M1864" s="28"/>
      <c r="N1864" s="28"/>
      <c r="O1864" s="28"/>
      <c r="P1864" s="28"/>
      <c r="Q1864" s="28"/>
      <c r="R1864" s="28"/>
      <c r="S1864" s="28"/>
    </row>
    <row r="1865" spans="1:19" x14ac:dyDescent="0.25">
      <c r="A1865" s="28"/>
      <c r="B1865" s="28"/>
      <c r="C1865" s="28"/>
      <c r="D1865" s="28"/>
      <c r="E1865" s="28"/>
      <c r="F1865" s="28"/>
      <c r="G1865" s="28"/>
      <c r="H1865" s="28"/>
      <c r="I1865" s="28"/>
      <c r="J1865" s="28"/>
      <c r="K1865" s="28"/>
      <c r="L1865" s="28"/>
      <c r="M1865" s="28"/>
      <c r="N1865" s="28"/>
      <c r="O1865" s="28"/>
      <c r="P1865" s="28"/>
      <c r="Q1865" s="28"/>
      <c r="R1865" s="28"/>
      <c r="S1865" s="28"/>
    </row>
    <row r="1866" spans="1:19" x14ac:dyDescent="0.25">
      <c r="A1866" s="28"/>
      <c r="B1866" s="28"/>
      <c r="C1866" s="28"/>
      <c r="D1866" s="28"/>
      <c r="E1866" s="28"/>
      <c r="F1866" s="28"/>
      <c r="G1866" s="28"/>
      <c r="H1866" s="28"/>
      <c r="I1866" s="28"/>
      <c r="J1866" s="28"/>
      <c r="K1866" s="28"/>
      <c r="L1866" s="28"/>
      <c r="M1866" s="28"/>
      <c r="N1866" s="28"/>
      <c r="O1866" s="28"/>
      <c r="P1866" s="28"/>
      <c r="Q1866" s="28"/>
      <c r="R1866" s="28"/>
      <c r="S1866" s="28"/>
    </row>
    <row r="1867" spans="1:19" x14ac:dyDescent="0.25">
      <c r="A1867" s="28"/>
      <c r="B1867" s="28"/>
      <c r="C1867" s="28"/>
      <c r="D1867" s="28"/>
      <c r="E1867" s="28"/>
      <c r="F1867" s="28"/>
      <c r="G1867" s="28"/>
      <c r="H1867" s="28"/>
      <c r="I1867" s="28"/>
      <c r="J1867" s="28"/>
      <c r="K1867" s="28"/>
      <c r="L1867" s="28"/>
      <c r="M1867" s="28"/>
      <c r="N1867" s="28"/>
      <c r="O1867" s="28"/>
      <c r="P1867" s="28"/>
      <c r="Q1867" s="28"/>
      <c r="R1867" s="28"/>
      <c r="S1867" s="28"/>
    </row>
    <row r="1868" spans="1:19" x14ac:dyDescent="0.25">
      <c r="A1868" s="28"/>
      <c r="B1868" s="28"/>
      <c r="C1868" s="28"/>
      <c r="D1868" s="28"/>
      <c r="E1868" s="28"/>
      <c r="F1868" s="28"/>
      <c r="G1868" s="28"/>
      <c r="H1868" s="28"/>
      <c r="I1868" s="28"/>
      <c r="J1868" s="28"/>
      <c r="K1868" s="28"/>
      <c r="L1868" s="28"/>
      <c r="M1868" s="28"/>
      <c r="N1868" s="28"/>
      <c r="O1868" s="28"/>
      <c r="P1868" s="28"/>
      <c r="Q1868" s="28"/>
      <c r="R1868" s="28"/>
      <c r="S1868" s="28"/>
    </row>
    <row r="1869" spans="1:19" x14ac:dyDescent="0.25">
      <c r="A1869" s="28"/>
      <c r="B1869" s="28"/>
      <c r="C1869" s="28"/>
      <c r="D1869" s="28"/>
      <c r="E1869" s="28"/>
      <c r="F1869" s="28"/>
      <c r="G1869" s="28"/>
      <c r="H1869" s="28"/>
      <c r="I1869" s="28"/>
      <c r="J1869" s="28"/>
      <c r="K1869" s="28"/>
      <c r="L1869" s="28"/>
      <c r="M1869" s="28"/>
      <c r="N1869" s="28"/>
      <c r="O1869" s="28"/>
      <c r="P1869" s="28"/>
      <c r="Q1869" s="28"/>
      <c r="R1869" s="28"/>
      <c r="S1869" s="28"/>
    </row>
    <row r="1870" spans="1:19" x14ac:dyDescent="0.25">
      <c r="A1870" s="28"/>
      <c r="B1870" s="28"/>
      <c r="C1870" s="28"/>
      <c r="D1870" s="28"/>
      <c r="E1870" s="28"/>
      <c r="F1870" s="28"/>
      <c r="G1870" s="28"/>
      <c r="H1870" s="28"/>
      <c r="I1870" s="28"/>
      <c r="J1870" s="28"/>
      <c r="K1870" s="28"/>
      <c r="L1870" s="28"/>
      <c r="M1870" s="28"/>
      <c r="N1870" s="28"/>
      <c r="O1870" s="28"/>
      <c r="P1870" s="28"/>
      <c r="Q1870" s="28"/>
      <c r="R1870" s="28"/>
      <c r="S1870" s="28"/>
    </row>
    <row r="1871" spans="1:19" x14ac:dyDescent="0.25">
      <c r="A1871" s="28"/>
      <c r="B1871" s="28"/>
      <c r="C1871" s="28"/>
      <c r="D1871" s="28"/>
      <c r="E1871" s="28"/>
      <c r="F1871" s="28"/>
      <c r="G1871" s="28"/>
      <c r="H1871" s="28"/>
      <c r="I1871" s="28"/>
      <c r="J1871" s="28"/>
      <c r="K1871" s="28"/>
      <c r="L1871" s="28"/>
      <c r="M1871" s="28"/>
      <c r="N1871" s="28"/>
      <c r="O1871" s="28"/>
      <c r="P1871" s="28"/>
      <c r="Q1871" s="28"/>
      <c r="R1871" s="28"/>
      <c r="S1871" s="28"/>
    </row>
    <row r="1872" spans="1:19" x14ac:dyDescent="0.25">
      <c r="A1872" s="28"/>
      <c r="B1872" s="28"/>
      <c r="C1872" s="28"/>
      <c r="D1872" s="28"/>
      <c r="E1872" s="28"/>
      <c r="F1872" s="28"/>
      <c r="G1872" s="28"/>
      <c r="H1872" s="28"/>
      <c r="I1872" s="28"/>
      <c r="J1872" s="28"/>
      <c r="K1872" s="28"/>
      <c r="L1872" s="28"/>
      <c r="M1872" s="28"/>
      <c r="N1872" s="28"/>
      <c r="O1872" s="28"/>
      <c r="P1872" s="28"/>
      <c r="Q1872" s="28"/>
      <c r="R1872" s="28"/>
      <c r="S1872" s="28"/>
    </row>
    <row r="1873" spans="1:19" x14ac:dyDescent="0.25">
      <c r="A1873" s="28"/>
      <c r="B1873" s="28"/>
      <c r="C1873" s="28"/>
      <c r="D1873" s="28"/>
      <c r="E1873" s="28"/>
      <c r="F1873" s="28"/>
      <c r="G1873" s="28"/>
      <c r="H1873" s="28"/>
      <c r="I1873" s="28"/>
      <c r="J1873" s="28"/>
      <c r="K1873" s="28"/>
      <c r="L1873" s="28"/>
      <c r="M1873" s="28"/>
      <c r="N1873" s="28"/>
      <c r="O1873" s="28"/>
      <c r="P1873" s="28"/>
      <c r="Q1873" s="28"/>
      <c r="R1873" s="28"/>
      <c r="S1873" s="28"/>
    </row>
    <row r="1874" spans="1:19" x14ac:dyDescent="0.25">
      <c r="A1874" s="28"/>
      <c r="B1874" s="28"/>
      <c r="C1874" s="28"/>
      <c r="D1874" s="28"/>
      <c r="E1874" s="28"/>
      <c r="F1874" s="28"/>
      <c r="G1874" s="28"/>
      <c r="H1874" s="28"/>
      <c r="I1874" s="28"/>
      <c r="J1874" s="28"/>
      <c r="K1874" s="28"/>
      <c r="L1874" s="28"/>
      <c r="M1874" s="28"/>
      <c r="N1874" s="28"/>
      <c r="O1874" s="28"/>
      <c r="P1874" s="28"/>
      <c r="Q1874" s="28"/>
      <c r="R1874" s="28"/>
      <c r="S1874" s="28"/>
    </row>
    <row r="1875" spans="1:19" x14ac:dyDescent="0.25">
      <c r="A1875" s="28"/>
      <c r="B1875" s="28"/>
      <c r="C1875" s="28"/>
      <c r="D1875" s="28"/>
      <c r="E1875" s="28"/>
      <c r="F1875" s="28"/>
      <c r="G1875" s="28"/>
      <c r="H1875" s="28"/>
      <c r="I1875" s="28"/>
      <c r="J1875" s="28"/>
      <c r="K1875" s="28"/>
      <c r="L1875" s="28"/>
      <c r="M1875" s="28"/>
      <c r="N1875" s="28"/>
      <c r="O1875" s="28"/>
      <c r="P1875" s="28"/>
      <c r="Q1875" s="28"/>
      <c r="R1875" s="28"/>
      <c r="S1875" s="28"/>
    </row>
    <row r="1876" spans="1:19" x14ac:dyDescent="0.25">
      <c r="A1876" s="28"/>
      <c r="B1876" s="28"/>
      <c r="C1876" s="28"/>
      <c r="D1876" s="28"/>
      <c r="E1876" s="28"/>
      <c r="F1876" s="28"/>
      <c r="G1876" s="28"/>
      <c r="H1876" s="28"/>
      <c r="I1876" s="28"/>
      <c r="J1876" s="28"/>
      <c r="K1876" s="28"/>
      <c r="L1876" s="28"/>
      <c r="M1876" s="28"/>
      <c r="N1876" s="28"/>
      <c r="O1876" s="28"/>
      <c r="P1876" s="28"/>
      <c r="Q1876" s="28"/>
      <c r="R1876" s="28"/>
      <c r="S1876" s="28"/>
    </row>
    <row r="1877" spans="1:19" x14ac:dyDescent="0.25">
      <c r="A1877" s="28"/>
      <c r="B1877" s="28"/>
      <c r="C1877" s="28"/>
      <c r="D1877" s="28"/>
      <c r="E1877" s="28"/>
      <c r="F1877" s="28"/>
      <c r="G1877" s="28"/>
      <c r="H1877" s="28"/>
      <c r="I1877" s="28"/>
      <c r="J1877" s="28"/>
      <c r="K1877" s="28"/>
      <c r="L1877" s="28"/>
      <c r="M1877" s="28"/>
      <c r="N1877" s="28"/>
      <c r="O1877" s="28"/>
      <c r="P1877" s="28"/>
      <c r="Q1877" s="28"/>
      <c r="R1877" s="28"/>
      <c r="S1877" s="28"/>
    </row>
    <row r="1878" spans="1:19" x14ac:dyDescent="0.25">
      <c r="A1878" s="28"/>
      <c r="B1878" s="28"/>
      <c r="C1878" s="28"/>
      <c r="D1878" s="28"/>
      <c r="E1878" s="28"/>
      <c r="F1878" s="28"/>
      <c r="G1878" s="28"/>
      <c r="H1878" s="28"/>
      <c r="I1878" s="28"/>
      <c r="J1878" s="28"/>
      <c r="K1878" s="28"/>
      <c r="L1878" s="28"/>
      <c r="M1878" s="28"/>
      <c r="N1878" s="28"/>
      <c r="O1878" s="28"/>
      <c r="P1878" s="28"/>
      <c r="Q1878" s="28"/>
      <c r="R1878" s="28"/>
      <c r="S1878" s="28"/>
    </row>
    <row r="1879" spans="1:19" x14ac:dyDescent="0.25">
      <c r="A1879" s="28"/>
      <c r="B1879" s="28"/>
      <c r="C1879" s="28"/>
      <c r="D1879" s="28"/>
      <c r="E1879" s="28"/>
      <c r="F1879" s="28"/>
      <c r="G1879" s="28"/>
      <c r="H1879" s="28"/>
      <c r="I1879" s="28"/>
      <c r="J1879" s="28"/>
      <c r="K1879" s="28"/>
      <c r="L1879" s="28"/>
      <c r="M1879" s="28"/>
      <c r="N1879" s="28"/>
      <c r="O1879" s="28"/>
      <c r="P1879" s="28"/>
      <c r="Q1879" s="28"/>
      <c r="R1879" s="28"/>
      <c r="S1879" s="28"/>
    </row>
    <row r="1880" spans="1:19" x14ac:dyDescent="0.25">
      <c r="A1880" s="28"/>
      <c r="B1880" s="28"/>
      <c r="C1880" s="28"/>
      <c r="D1880" s="28"/>
      <c r="E1880" s="28"/>
      <c r="F1880" s="28"/>
      <c r="G1880" s="28"/>
      <c r="H1880" s="28"/>
      <c r="I1880" s="28"/>
      <c r="J1880" s="28"/>
      <c r="K1880" s="28"/>
      <c r="L1880" s="28"/>
      <c r="M1880" s="28"/>
      <c r="N1880" s="28"/>
      <c r="O1880" s="28"/>
      <c r="P1880" s="28"/>
      <c r="Q1880" s="28"/>
      <c r="R1880" s="28"/>
      <c r="S1880" s="28"/>
    </row>
    <row r="1881" spans="1:19" x14ac:dyDescent="0.25">
      <c r="A1881" s="28"/>
      <c r="B1881" s="28"/>
      <c r="C1881" s="28"/>
      <c r="D1881" s="28"/>
      <c r="E1881" s="28"/>
      <c r="F1881" s="28"/>
      <c r="G1881" s="28"/>
      <c r="H1881" s="28"/>
      <c r="I1881" s="28"/>
      <c r="J1881" s="28"/>
      <c r="K1881" s="28"/>
      <c r="L1881" s="28"/>
      <c r="M1881" s="28"/>
      <c r="N1881" s="28"/>
      <c r="O1881" s="28"/>
      <c r="P1881" s="28"/>
      <c r="Q1881" s="28"/>
      <c r="R1881" s="28"/>
      <c r="S1881" s="28"/>
    </row>
    <row r="1882" spans="1:19" x14ac:dyDescent="0.25">
      <c r="A1882" s="28"/>
      <c r="B1882" s="28"/>
      <c r="C1882" s="28"/>
      <c r="D1882" s="28"/>
      <c r="E1882" s="28"/>
      <c r="F1882" s="28"/>
      <c r="G1882" s="28"/>
      <c r="H1882" s="28"/>
      <c r="I1882" s="28"/>
      <c r="J1882" s="28"/>
      <c r="K1882" s="28"/>
      <c r="L1882" s="28"/>
      <c r="M1882" s="28"/>
      <c r="N1882" s="28"/>
      <c r="O1882" s="28"/>
      <c r="P1882" s="28"/>
      <c r="Q1882" s="28"/>
      <c r="R1882" s="28"/>
      <c r="S1882" s="28"/>
    </row>
    <row r="1883" spans="1:19" x14ac:dyDescent="0.25">
      <c r="A1883" s="28"/>
      <c r="B1883" s="28"/>
      <c r="C1883" s="28"/>
      <c r="D1883" s="28"/>
      <c r="E1883" s="28"/>
      <c r="F1883" s="28"/>
      <c r="G1883" s="28"/>
      <c r="H1883" s="28"/>
      <c r="I1883" s="28"/>
      <c r="J1883" s="28"/>
      <c r="K1883" s="28"/>
      <c r="L1883" s="28"/>
      <c r="M1883" s="28"/>
      <c r="N1883" s="28"/>
      <c r="O1883" s="28"/>
      <c r="P1883" s="28"/>
      <c r="Q1883" s="28"/>
      <c r="R1883" s="28"/>
      <c r="S1883" s="28"/>
    </row>
    <row r="1884" spans="1:19" x14ac:dyDescent="0.25">
      <c r="A1884" s="28"/>
      <c r="B1884" s="28"/>
      <c r="C1884" s="28"/>
      <c r="D1884" s="28"/>
      <c r="E1884" s="28"/>
      <c r="F1884" s="28"/>
      <c r="G1884" s="28"/>
      <c r="H1884" s="28"/>
      <c r="I1884" s="28"/>
      <c r="J1884" s="28"/>
      <c r="K1884" s="28"/>
      <c r="L1884" s="28"/>
      <c r="M1884" s="28"/>
      <c r="N1884" s="28"/>
      <c r="O1884" s="28"/>
      <c r="P1884" s="28"/>
      <c r="Q1884" s="28"/>
      <c r="R1884" s="28"/>
      <c r="S1884" s="28"/>
    </row>
    <row r="1885" spans="1:19" x14ac:dyDescent="0.25">
      <c r="A1885" s="28"/>
      <c r="B1885" s="28"/>
      <c r="C1885" s="28"/>
      <c r="D1885" s="28"/>
      <c r="E1885" s="28"/>
      <c r="F1885" s="28"/>
      <c r="G1885" s="28"/>
      <c r="H1885" s="28"/>
      <c r="I1885" s="28"/>
      <c r="J1885" s="28"/>
      <c r="K1885" s="28"/>
      <c r="L1885" s="28"/>
      <c r="M1885" s="28"/>
      <c r="N1885" s="28"/>
      <c r="O1885" s="28"/>
      <c r="P1885" s="28"/>
      <c r="Q1885" s="28"/>
      <c r="R1885" s="28"/>
      <c r="S1885" s="28"/>
    </row>
    <row r="1886" spans="1:19" x14ac:dyDescent="0.25">
      <c r="A1886" s="28"/>
      <c r="B1886" s="28"/>
      <c r="C1886" s="28"/>
      <c r="D1886" s="28"/>
      <c r="E1886" s="28"/>
      <c r="F1886" s="28"/>
      <c r="G1886" s="28"/>
      <c r="H1886" s="28"/>
      <c r="I1886" s="28"/>
      <c r="J1886" s="28"/>
      <c r="K1886" s="28"/>
      <c r="L1886" s="28"/>
      <c r="M1886" s="28"/>
      <c r="N1886" s="28"/>
      <c r="O1886" s="28"/>
      <c r="P1886" s="28"/>
      <c r="Q1886" s="28"/>
      <c r="R1886" s="28"/>
      <c r="S1886" s="28"/>
    </row>
    <row r="1887" spans="1:19" x14ac:dyDescent="0.25">
      <c r="A1887" s="28"/>
      <c r="B1887" s="28"/>
      <c r="C1887" s="28"/>
      <c r="D1887" s="28"/>
      <c r="E1887" s="28"/>
      <c r="F1887" s="28"/>
      <c r="G1887" s="28"/>
      <c r="H1887" s="28"/>
      <c r="I1887" s="28"/>
      <c r="J1887" s="28"/>
      <c r="K1887" s="28"/>
      <c r="L1887" s="28"/>
      <c r="M1887" s="28"/>
      <c r="N1887" s="28"/>
      <c r="O1887" s="28"/>
      <c r="P1887" s="28"/>
      <c r="Q1887" s="28"/>
      <c r="R1887" s="28"/>
      <c r="S1887" s="28"/>
    </row>
    <row r="1888" spans="1:19" x14ac:dyDescent="0.25">
      <c r="A1888" s="28"/>
      <c r="B1888" s="28"/>
      <c r="C1888" s="28"/>
      <c r="D1888" s="28"/>
      <c r="E1888" s="28"/>
      <c r="F1888" s="28"/>
      <c r="G1888" s="28"/>
      <c r="H1888" s="28"/>
      <c r="I1888" s="28"/>
      <c r="J1888" s="28"/>
      <c r="K1888" s="28"/>
      <c r="L1888" s="28"/>
      <c r="M1888" s="28"/>
      <c r="N1888" s="28"/>
      <c r="O1888" s="28"/>
      <c r="P1888" s="28"/>
      <c r="Q1888" s="28"/>
      <c r="R1888" s="28"/>
      <c r="S1888" s="28"/>
    </row>
    <row r="1889" spans="1:19" x14ac:dyDescent="0.25">
      <c r="A1889" s="28"/>
      <c r="B1889" s="28"/>
      <c r="C1889" s="28"/>
      <c r="D1889" s="28"/>
      <c r="E1889" s="28"/>
      <c r="F1889" s="28"/>
      <c r="G1889" s="28"/>
      <c r="H1889" s="28"/>
      <c r="I1889" s="28"/>
      <c r="J1889" s="28"/>
      <c r="K1889" s="28"/>
      <c r="L1889" s="28"/>
      <c r="M1889" s="28"/>
      <c r="N1889" s="28"/>
      <c r="O1889" s="28"/>
      <c r="P1889" s="28"/>
      <c r="Q1889" s="28"/>
      <c r="R1889" s="28"/>
      <c r="S1889" s="28"/>
    </row>
    <row r="1890" spans="1:19" x14ac:dyDescent="0.25">
      <c r="A1890" s="28"/>
      <c r="B1890" s="28"/>
      <c r="C1890" s="28"/>
      <c r="D1890" s="28"/>
      <c r="E1890" s="28"/>
      <c r="F1890" s="28"/>
      <c r="G1890" s="28"/>
      <c r="H1890" s="28"/>
      <c r="I1890" s="28"/>
      <c r="J1890" s="28"/>
      <c r="K1890" s="28"/>
      <c r="L1890" s="28"/>
      <c r="M1890" s="28"/>
      <c r="N1890" s="28"/>
      <c r="O1890" s="28"/>
      <c r="P1890" s="28"/>
      <c r="Q1890" s="28"/>
      <c r="R1890" s="28"/>
      <c r="S1890" s="28"/>
    </row>
    <row r="1891" spans="1:19" x14ac:dyDescent="0.25">
      <c r="A1891" s="28"/>
      <c r="B1891" s="28"/>
      <c r="C1891" s="28"/>
      <c r="D1891" s="28"/>
      <c r="E1891" s="28"/>
      <c r="F1891" s="28"/>
      <c r="G1891" s="28"/>
      <c r="H1891" s="28"/>
      <c r="I1891" s="28"/>
      <c r="J1891" s="28"/>
      <c r="K1891" s="28"/>
      <c r="L1891" s="28"/>
      <c r="M1891" s="28"/>
      <c r="N1891" s="28"/>
      <c r="O1891" s="28"/>
      <c r="P1891" s="28"/>
      <c r="Q1891" s="28"/>
      <c r="R1891" s="28"/>
      <c r="S1891" s="28"/>
    </row>
    <row r="1892" spans="1:19" x14ac:dyDescent="0.25">
      <c r="A1892" s="28"/>
      <c r="B1892" s="28"/>
      <c r="C1892" s="28"/>
      <c r="D1892" s="28"/>
      <c r="E1892" s="28"/>
      <c r="F1892" s="28"/>
      <c r="G1892" s="28"/>
      <c r="H1892" s="28"/>
      <c r="I1892" s="28"/>
      <c r="J1892" s="28"/>
      <c r="K1892" s="28"/>
      <c r="L1892" s="28"/>
      <c r="M1892" s="28"/>
      <c r="N1892" s="28"/>
      <c r="O1892" s="28"/>
      <c r="P1892" s="28"/>
      <c r="Q1892" s="28"/>
      <c r="R1892" s="28"/>
      <c r="S1892" s="28"/>
    </row>
    <row r="1893" spans="1:19" x14ac:dyDescent="0.25">
      <c r="A1893" s="28"/>
      <c r="B1893" s="28"/>
      <c r="C1893" s="28"/>
      <c r="D1893" s="28"/>
      <c r="E1893" s="28"/>
      <c r="F1893" s="28"/>
      <c r="G1893" s="28"/>
      <c r="H1893" s="28"/>
      <c r="I1893" s="28"/>
      <c r="J1893" s="28"/>
      <c r="K1893" s="28"/>
      <c r="L1893" s="28"/>
      <c r="M1893" s="28"/>
      <c r="N1893" s="28"/>
      <c r="O1893" s="28"/>
      <c r="P1893" s="28"/>
      <c r="Q1893" s="28"/>
      <c r="R1893" s="28"/>
      <c r="S1893" s="28"/>
    </row>
    <row r="1894" spans="1:19" x14ac:dyDescent="0.25">
      <c r="A1894" s="28"/>
      <c r="B1894" s="28"/>
      <c r="C1894" s="28"/>
      <c r="D1894" s="28"/>
      <c r="E1894" s="28"/>
      <c r="F1894" s="28"/>
      <c r="G1894" s="28"/>
      <c r="H1894" s="28"/>
      <c r="I1894" s="28"/>
      <c r="J1894" s="28"/>
      <c r="K1894" s="28"/>
      <c r="L1894" s="28"/>
      <c r="M1894" s="28"/>
      <c r="N1894" s="28"/>
      <c r="O1894" s="28"/>
      <c r="P1894" s="28"/>
      <c r="Q1894" s="28"/>
      <c r="R1894" s="28"/>
      <c r="S1894" s="28"/>
    </row>
    <row r="1895" spans="1:19" x14ac:dyDescent="0.25">
      <c r="A1895" s="28"/>
      <c r="B1895" s="28"/>
      <c r="C1895" s="28"/>
      <c r="D1895" s="28"/>
      <c r="E1895" s="28"/>
      <c r="F1895" s="28"/>
      <c r="G1895" s="28"/>
      <c r="H1895" s="28"/>
      <c r="I1895" s="28"/>
      <c r="J1895" s="28"/>
      <c r="K1895" s="28"/>
      <c r="L1895" s="28"/>
      <c r="M1895" s="28"/>
      <c r="N1895" s="28"/>
      <c r="O1895" s="28"/>
      <c r="P1895" s="28"/>
      <c r="Q1895" s="28"/>
      <c r="R1895" s="28"/>
      <c r="S1895" s="28"/>
    </row>
    <row r="1896" spans="1:19" x14ac:dyDescent="0.25">
      <c r="A1896" s="28"/>
      <c r="B1896" s="28"/>
      <c r="C1896" s="28"/>
      <c r="D1896" s="28"/>
      <c r="E1896" s="28"/>
      <c r="F1896" s="28"/>
      <c r="G1896" s="28"/>
      <c r="H1896" s="28"/>
      <c r="I1896" s="28"/>
      <c r="J1896" s="28"/>
      <c r="K1896" s="28"/>
      <c r="L1896" s="28"/>
      <c r="M1896" s="28"/>
      <c r="N1896" s="28"/>
      <c r="O1896" s="28"/>
      <c r="P1896" s="28"/>
      <c r="Q1896" s="28"/>
      <c r="R1896" s="28"/>
      <c r="S1896" s="28"/>
    </row>
    <row r="1897" spans="1:19" x14ac:dyDescent="0.25">
      <c r="A1897" s="28"/>
      <c r="B1897" s="28"/>
      <c r="C1897" s="28"/>
      <c r="D1897" s="28"/>
      <c r="E1897" s="28"/>
      <c r="F1897" s="28"/>
      <c r="G1897" s="28"/>
      <c r="H1897" s="28"/>
      <c r="I1897" s="28"/>
      <c r="J1897" s="28"/>
      <c r="K1897" s="28"/>
      <c r="L1897" s="28"/>
      <c r="M1897" s="28"/>
      <c r="N1897" s="28"/>
      <c r="O1897" s="28"/>
      <c r="P1897" s="28"/>
      <c r="Q1897" s="28"/>
      <c r="R1897" s="28"/>
      <c r="S1897" s="28"/>
    </row>
    <row r="1898" spans="1:19" x14ac:dyDescent="0.25">
      <c r="A1898" s="28"/>
      <c r="B1898" s="28"/>
      <c r="C1898" s="28"/>
      <c r="D1898" s="28"/>
      <c r="E1898" s="28"/>
      <c r="F1898" s="28"/>
      <c r="G1898" s="28"/>
      <c r="H1898" s="28"/>
      <c r="I1898" s="28"/>
      <c r="J1898" s="28"/>
      <c r="K1898" s="28"/>
      <c r="L1898" s="28"/>
      <c r="M1898" s="28"/>
      <c r="N1898" s="28"/>
      <c r="O1898" s="28"/>
      <c r="P1898" s="28"/>
      <c r="Q1898" s="28"/>
      <c r="R1898" s="28"/>
      <c r="S1898" s="28"/>
    </row>
    <row r="1899" spans="1:19" x14ac:dyDescent="0.25">
      <c r="A1899" s="28"/>
      <c r="B1899" s="28"/>
      <c r="C1899" s="28"/>
      <c r="D1899" s="28"/>
      <c r="E1899" s="28"/>
      <c r="F1899" s="28"/>
      <c r="G1899" s="28"/>
      <c r="H1899" s="28"/>
      <c r="I1899" s="28"/>
      <c r="J1899" s="28"/>
      <c r="K1899" s="28"/>
      <c r="L1899" s="28"/>
      <c r="M1899" s="28"/>
      <c r="N1899" s="28"/>
      <c r="O1899" s="28"/>
      <c r="P1899" s="28"/>
      <c r="Q1899" s="28"/>
      <c r="R1899" s="28"/>
      <c r="S1899" s="28"/>
    </row>
    <row r="1900" spans="1:19" x14ac:dyDescent="0.25">
      <c r="A1900" s="28"/>
      <c r="B1900" s="28"/>
      <c r="C1900" s="28"/>
      <c r="D1900" s="28"/>
      <c r="E1900" s="28"/>
      <c r="F1900" s="28"/>
      <c r="G1900" s="28"/>
      <c r="H1900" s="28"/>
      <c r="I1900" s="28"/>
      <c r="J1900" s="28"/>
      <c r="K1900" s="28"/>
      <c r="L1900" s="28"/>
      <c r="M1900" s="28"/>
      <c r="N1900" s="28"/>
      <c r="O1900" s="28"/>
      <c r="P1900" s="28"/>
      <c r="Q1900" s="28"/>
      <c r="R1900" s="28"/>
      <c r="S1900" s="28"/>
    </row>
    <row r="1901" spans="1:19" x14ac:dyDescent="0.25">
      <c r="A1901" s="28"/>
      <c r="B1901" s="28"/>
      <c r="C1901" s="28"/>
      <c r="D1901" s="28"/>
      <c r="E1901" s="28"/>
      <c r="F1901" s="28"/>
      <c r="G1901" s="28"/>
      <c r="H1901" s="28"/>
      <c r="I1901" s="28"/>
      <c r="J1901" s="28"/>
      <c r="K1901" s="28"/>
      <c r="L1901" s="28"/>
      <c r="M1901" s="28"/>
      <c r="N1901" s="28"/>
      <c r="O1901" s="28"/>
      <c r="P1901" s="28"/>
      <c r="Q1901" s="28"/>
      <c r="R1901" s="28"/>
      <c r="S1901" s="28"/>
    </row>
    <row r="1902" spans="1:19" x14ac:dyDescent="0.25">
      <c r="A1902" s="28"/>
      <c r="B1902" s="28"/>
      <c r="C1902" s="28"/>
      <c r="D1902" s="28"/>
      <c r="E1902" s="28"/>
      <c r="F1902" s="28"/>
      <c r="G1902" s="28"/>
      <c r="H1902" s="28"/>
      <c r="I1902" s="28"/>
      <c r="J1902" s="28"/>
      <c r="K1902" s="28"/>
      <c r="L1902" s="28"/>
      <c r="M1902" s="28"/>
      <c r="N1902" s="28"/>
      <c r="O1902" s="28"/>
      <c r="P1902" s="28"/>
      <c r="Q1902" s="28"/>
      <c r="R1902" s="28"/>
      <c r="S1902" s="28"/>
    </row>
    <row r="1903" spans="1:19" x14ac:dyDescent="0.25">
      <c r="A1903" s="28"/>
      <c r="B1903" s="28"/>
      <c r="C1903" s="28"/>
      <c r="D1903" s="28"/>
      <c r="E1903" s="28"/>
      <c r="F1903" s="28"/>
      <c r="G1903" s="28"/>
      <c r="H1903" s="28"/>
      <c r="I1903" s="28"/>
      <c r="J1903" s="28"/>
      <c r="K1903" s="28"/>
      <c r="L1903" s="28"/>
      <c r="M1903" s="28"/>
      <c r="N1903" s="28"/>
      <c r="O1903" s="28"/>
      <c r="P1903" s="28"/>
      <c r="Q1903" s="28"/>
      <c r="R1903" s="28"/>
      <c r="S1903" s="28"/>
    </row>
    <row r="1904" spans="1:19" x14ac:dyDescent="0.25">
      <c r="A1904" s="28"/>
      <c r="B1904" s="28"/>
      <c r="C1904" s="28"/>
      <c r="D1904" s="28"/>
      <c r="E1904" s="28"/>
      <c r="F1904" s="28"/>
      <c r="G1904" s="28"/>
      <c r="H1904" s="28"/>
      <c r="I1904" s="28"/>
      <c r="J1904" s="28"/>
      <c r="K1904" s="28"/>
      <c r="L1904" s="28"/>
      <c r="M1904" s="28"/>
      <c r="N1904" s="28"/>
      <c r="O1904" s="28"/>
      <c r="P1904" s="28"/>
      <c r="Q1904" s="28"/>
      <c r="R1904" s="28"/>
      <c r="S1904" s="28"/>
    </row>
    <row r="1905" spans="1:19" x14ac:dyDescent="0.25">
      <c r="A1905" s="28"/>
      <c r="B1905" s="28"/>
      <c r="C1905" s="28"/>
      <c r="D1905" s="28"/>
      <c r="E1905" s="28"/>
      <c r="F1905" s="28"/>
      <c r="G1905" s="28"/>
      <c r="H1905" s="28"/>
      <c r="I1905" s="28"/>
      <c r="J1905" s="28"/>
      <c r="K1905" s="28"/>
      <c r="L1905" s="28"/>
      <c r="M1905" s="28"/>
      <c r="N1905" s="28"/>
      <c r="O1905" s="28"/>
      <c r="P1905" s="28"/>
      <c r="Q1905" s="28"/>
      <c r="R1905" s="28"/>
      <c r="S1905" s="28"/>
    </row>
    <row r="1906" spans="1:19" x14ac:dyDescent="0.25">
      <c r="A1906" s="28"/>
      <c r="B1906" s="28"/>
      <c r="C1906" s="28"/>
      <c r="D1906" s="28"/>
      <c r="E1906" s="28"/>
      <c r="F1906" s="28"/>
      <c r="G1906" s="28"/>
      <c r="H1906" s="28"/>
      <c r="I1906" s="28"/>
      <c r="J1906" s="28"/>
      <c r="K1906" s="28"/>
      <c r="L1906" s="28"/>
      <c r="M1906" s="28"/>
      <c r="N1906" s="28"/>
      <c r="O1906" s="28"/>
      <c r="P1906" s="28"/>
      <c r="Q1906" s="28"/>
      <c r="R1906" s="28"/>
      <c r="S1906" s="28"/>
    </row>
    <row r="1907" spans="1:19" x14ac:dyDescent="0.25">
      <c r="A1907" s="28"/>
      <c r="B1907" s="28"/>
      <c r="C1907" s="28"/>
      <c r="D1907" s="28"/>
      <c r="E1907" s="28"/>
      <c r="F1907" s="28"/>
      <c r="G1907" s="28"/>
      <c r="H1907" s="28"/>
      <c r="I1907" s="28"/>
      <c r="J1907" s="28"/>
      <c r="K1907" s="28"/>
      <c r="L1907" s="28"/>
      <c r="M1907" s="28"/>
      <c r="N1907" s="28"/>
      <c r="O1907" s="28"/>
      <c r="P1907" s="28"/>
      <c r="Q1907" s="28"/>
      <c r="R1907" s="28"/>
      <c r="S1907" s="28"/>
    </row>
    <row r="1908" spans="1:19" x14ac:dyDescent="0.25">
      <c r="A1908" s="28"/>
      <c r="B1908" s="28"/>
      <c r="C1908" s="28"/>
      <c r="D1908" s="28"/>
      <c r="E1908" s="28"/>
      <c r="F1908" s="28"/>
      <c r="G1908" s="28"/>
      <c r="H1908" s="28"/>
      <c r="I1908" s="28"/>
      <c r="J1908" s="28"/>
      <c r="K1908" s="28"/>
      <c r="L1908" s="28"/>
      <c r="M1908" s="28"/>
      <c r="N1908" s="28"/>
      <c r="O1908" s="28"/>
      <c r="P1908" s="28"/>
      <c r="Q1908" s="28"/>
      <c r="R1908" s="28"/>
      <c r="S1908" s="28"/>
    </row>
    <row r="1909" spans="1:19" x14ac:dyDescent="0.25">
      <c r="A1909" s="28"/>
      <c r="B1909" s="28"/>
      <c r="C1909" s="28"/>
      <c r="D1909" s="28"/>
      <c r="E1909" s="28"/>
      <c r="F1909" s="28"/>
      <c r="G1909" s="28"/>
      <c r="H1909" s="28"/>
      <c r="I1909" s="28"/>
      <c r="J1909" s="28"/>
      <c r="K1909" s="28"/>
      <c r="L1909" s="28"/>
      <c r="M1909" s="28"/>
      <c r="N1909" s="28"/>
      <c r="O1909" s="28"/>
      <c r="P1909" s="28"/>
      <c r="Q1909" s="28"/>
      <c r="R1909" s="28"/>
      <c r="S1909" s="28"/>
    </row>
    <row r="1910" spans="1:19" x14ac:dyDescent="0.25">
      <c r="A1910" s="28"/>
      <c r="B1910" s="28"/>
      <c r="C1910" s="28"/>
      <c r="D1910" s="28"/>
      <c r="E1910" s="28"/>
      <c r="F1910" s="28"/>
      <c r="G1910" s="28"/>
      <c r="H1910" s="28"/>
      <c r="I1910" s="28"/>
      <c r="J1910" s="28"/>
      <c r="K1910" s="28"/>
      <c r="L1910" s="28"/>
      <c r="M1910" s="28"/>
      <c r="N1910" s="28"/>
      <c r="O1910" s="28"/>
      <c r="P1910" s="28"/>
      <c r="Q1910" s="28"/>
      <c r="R1910" s="28"/>
      <c r="S1910" s="28"/>
    </row>
    <row r="1911" spans="1:19" x14ac:dyDescent="0.25">
      <c r="A1911" s="28"/>
      <c r="B1911" s="28"/>
      <c r="C1911" s="28"/>
      <c r="D1911" s="28"/>
      <c r="E1911" s="28"/>
      <c r="F1911" s="28"/>
      <c r="G1911" s="28"/>
      <c r="H1911" s="28"/>
      <c r="I1911" s="28"/>
      <c r="J1911" s="28"/>
      <c r="K1911" s="28"/>
      <c r="L1911" s="28"/>
      <c r="M1911" s="28"/>
      <c r="N1911" s="28"/>
      <c r="O1911" s="28"/>
      <c r="P1911" s="28"/>
      <c r="Q1911" s="28"/>
      <c r="R1911" s="28"/>
      <c r="S1911" s="28"/>
    </row>
    <row r="1912" spans="1:19" x14ac:dyDescent="0.25">
      <c r="A1912" s="28"/>
      <c r="B1912" s="28"/>
      <c r="C1912" s="28"/>
      <c r="D1912" s="28"/>
      <c r="E1912" s="28"/>
      <c r="F1912" s="28"/>
      <c r="G1912" s="28"/>
      <c r="H1912" s="28"/>
      <c r="I1912" s="28"/>
      <c r="J1912" s="28"/>
      <c r="K1912" s="28"/>
      <c r="L1912" s="28"/>
      <c r="M1912" s="28"/>
      <c r="N1912" s="28"/>
      <c r="O1912" s="28"/>
      <c r="P1912" s="28"/>
      <c r="Q1912" s="28"/>
      <c r="R1912" s="28"/>
      <c r="S1912" s="28"/>
    </row>
    <row r="1913" spans="1:19" x14ac:dyDescent="0.25">
      <c r="A1913" s="28"/>
      <c r="B1913" s="28"/>
      <c r="C1913" s="28"/>
      <c r="D1913" s="28"/>
      <c r="E1913" s="28"/>
      <c r="F1913" s="28"/>
      <c r="G1913" s="28"/>
      <c r="H1913" s="28"/>
      <c r="I1913" s="28"/>
      <c r="J1913" s="28"/>
      <c r="K1913" s="28"/>
      <c r="L1913" s="28"/>
      <c r="M1913" s="28"/>
      <c r="N1913" s="28"/>
      <c r="O1913" s="28"/>
      <c r="P1913" s="28"/>
      <c r="Q1913" s="28"/>
      <c r="R1913" s="28"/>
      <c r="S1913" s="28"/>
    </row>
    <row r="1914" spans="1:19" x14ac:dyDescent="0.25">
      <c r="A1914" s="28"/>
      <c r="B1914" s="28"/>
      <c r="C1914" s="28"/>
      <c r="D1914" s="28"/>
      <c r="E1914" s="28"/>
      <c r="F1914" s="28"/>
      <c r="G1914" s="28"/>
      <c r="H1914" s="28"/>
      <c r="I1914" s="28"/>
      <c r="J1914" s="28"/>
      <c r="K1914" s="28"/>
      <c r="L1914" s="28"/>
      <c r="M1914" s="28"/>
      <c r="N1914" s="28"/>
      <c r="O1914" s="28"/>
      <c r="P1914" s="28"/>
      <c r="Q1914" s="28"/>
      <c r="R1914" s="28"/>
      <c r="S1914" s="28"/>
    </row>
    <row r="1915" spans="1:19" x14ac:dyDescent="0.25">
      <c r="A1915" s="28"/>
      <c r="B1915" s="28"/>
      <c r="C1915" s="28"/>
      <c r="D1915" s="28"/>
      <c r="E1915" s="28"/>
      <c r="F1915" s="28"/>
      <c r="G1915" s="28"/>
      <c r="H1915" s="28"/>
      <c r="I1915" s="28"/>
      <c r="J1915" s="28"/>
      <c r="K1915" s="28"/>
      <c r="L1915" s="28"/>
      <c r="M1915" s="28"/>
      <c r="N1915" s="28"/>
      <c r="O1915" s="28"/>
      <c r="P1915" s="28"/>
      <c r="Q1915" s="28"/>
      <c r="R1915" s="28"/>
      <c r="S1915" s="28"/>
    </row>
    <row r="1916" spans="1:19" x14ac:dyDescent="0.25">
      <c r="A1916" s="28"/>
      <c r="B1916" s="28"/>
      <c r="C1916" s="28"/>
      <c r="D1916" s="28"/>
      <c r="E1916" s="28"/>
      <c r="F1916" s="28"/>
      <c r="G1916" s="28"/>
      <c r="H1916" s="28"/>
      <c r="I1916" s="28"/>
      <c r="J1916" s="28"/>
      <c r="K1916" s="28"/>
      <c r="L1916" s="28"/>
      <c r="M1916" s="28"/>
      <c r="N1916" s="28"/>
      <c r="O1916" s="28"/>
      <c r="P1916" s="28"/>
      <c r="Q1916" s="28"/>
      <c r="R1916" s="28"/>
      <c r="S1916" s="28"/>
    </row>
    <row r="1917" spans="1:19" x14ac:dyDescent="0.25">
      <c r="A1917" s="28"/>
      <c r="B1917" s="28"/>
      <c r="C1917" s="28"/>
      <c r="D1917" s="28"/>
      <c r="E1917" s="28"/>
      <c r="F1917" s="28"/>
      <c r="G1917" s="28"/>
      <c r="H1917" s="28"/>
      <c r="I1917" s="28"/>
      <c r="J1917" s="28"/>
      <c r="K1917" s="28"/>
      <c r="L1917" s="28"/>
      <c r="M1917" s="28"/>
      <c r="N1917" s="28"/>
      <c r="O1917" s="28"/>
      <c r="P1917" s="28"/>
      <c r="Q1917" s="28"/>
      <c r="R1917" s="28"/>
      <c r="S1917" s="28"/>
    </row>
    <row r="1918" spans="1:19" x14ac:dyDescent="0.25">
      <c r="A1918" s="28"/>
      <c r="B1918" s="28"/>
      <c r="C1918" s="28"/>
      <c r="D1918" s="28"/>
      <c r="E1918" s="28"/>
      <c r="F1918" s="28"/>
      <c r="G1918" s="28"/>
      <c r="H1918" s="28"/>
      <c r="I1918" s="28"/>
      <c r="J1918" s="28"/>
      <c r="K1918" s="28"/>
      <c r="L1918" s="28"/>
      <c r="M1918" s="28"/>
      <c r="N1918" s="28"/>
      <c r="O1918" s="28"/>
      <c r="P1918" s="28"/>
      <c r="Q1918" s="28"/>
      <c r="R1918" s="28"/>
      <c r="S1918" s="28"/>
    </row>
    <row r="1919" spans="1:19" x14ac:dyDescent="0.25">
      <c r="A1919" s="28"/>
      <c r="B1919" s="28"/>
      <c r="C1919" s="28"/>
      <c r="D1919" s="28"/>
      <c r="E1919" s="28"/>
      <c r="F1919" s="28"/>
      <c r="G1919" s="28"/>
      <c r="H1919" s="28"/>
      <c r="I1919" s="28"/>
      <c r="J1919" s="28"/>
      <c r="K1919" s="28"/>
      <c r="L1919" s="28"/>
      <c r="M1919" s="28"/>
      <c r="N1919" s="28"/>
      <c r="O1919" s="28"/>
      <c r="P1919" s="28"/>
      <c r="Q1919" s="28"/>
      <c r="R1919" s="28"/>
      <c r="S1919" s="28"/>
    </row>
    <row r="1920" spans="1:19" x14ac:dyDescent="0.25">
      <c r="A1920" s="28"/>
      <c r="B1920" s="28"/>
      <c r="C1920" s="28"/>
      <c r="D1920" s="28"/>
      <c r="E1920" s="28"/>
      <c r="F1920" s="28"/>
      <c r="G1920" s="28"/>
      <c r="H1920" s="28"/>
      <c r="I1920" s="28"/>
      <c r="J1920" s="28"/>
      <c r="K1920" s="28"/>
      <c r="L1920" s="28"/>
      <c r="M1920" s="28"/>
      <c r="N1920" s="28"/>
      <c r="O1920" s="28"/>
      <c r="P1920" s="28"/>
      <c r="Q1920" s="28"/>
      <c r="R1920" s="28"/>
      <c r="S1920" s="28"/>
    </row>
    <row r="1921" spans="1:19" x14ac:dyDescent="0.25">
      <c r="A1921" s="28"/>
      <c r="B1921" s="28"/>
      <c r="C1921" s="28"/>
      <c r="D1921" s="28"/>
      <c r="E1921" s="28"/>
      <c r="F1921" s="28"/>
      <c r="G1921" s="28"/>
      <c r="H1921" s="28"/>
      <c r="I1921" s="28"/>
      <c r="J1921" s="28"/>
      <c r="K1921" s="28"/>
      <c r="L1921" s="28"/>
      <c r="M1921" s="28"/>
      <c r="N1921" s="28"/>
      <c r="O1921" s="28"/>
      <c r="P1921" s="28"/>
      <c r="Q1921" s="28"/>
      <c r="R1921" s="28"/>
      <c r="S1921" s="28"/>
    </row>
    <row r="1922" spans="1:19" x14ac:dyDescent="0.25">
      <c r="A1922" s="28"/>
      <c r="B1922" s="28"/>
      <c r="C1922" s="28"/>
      <c r="D1922" s="28"/>
      <c r="E1922" s="28"/>
      <c r="F1922" s="28"/>
      <c r="G1922" s="28"/>
      <c r="H1922" s="28"/>
      <c r="I1922" s="28"/>
      <c r="J1922" s="28"/>
      <c r="K1922" s="28"/>
      <c r="L1922" s="28"/>
      <c r="M1922" s="28"/>
      <c r="N1922" s="28"/>
      <c r="O1922" s="28"/>
      <c r="P1922" s="28"/>
      <c r="Q1922" s="28"/>
      <c r="R1922" s="28"/>
      <c r="S1922" s="28"/>
    </row>
    <row r="1923" spans="1:19" x14ac:dyDescent="0.25">
      <c r="A1923" s="28"/>
      <c r="B1923" s="28"/>
      <c r="C1923" s="28"/>
      <c r="D1923" s="28"/>
      <c r="E1923" s="28"/>
      <c r="F1923" s="28"/>
      <c r="G1923" s="28"/>
      <c r="H1923" s="28"/>
      <c r="I1923" s="28"/>
      <c r="J1923" s="28"/>
      <c r="K1923" s="28"/>
      <c r="L1923" s="28"/>
      <c r="M1923" s="28"/>
      <c r="N1923" s="28"/>
      <c r="O1923" s="28"/>
      <c r="P1923" s="28"/>
      <c r="Q1923" s="28"/>
      <c r="R1923" s="28"/>
      <c r="S1923" s="28"/>
    </row>
    <row r="1924" spans="1:19" x14ac:dyDescent="0.25">
      <c r="A1924" s="28"/>
      <c r="B1924" s="28"/>
      <c r="C1924" s="28"/>
      <c r="D1924" s="28"/>
      <c r="E1924" s="28"/>
      <c r="F1924" s="28"/>
      <c r="G1924" s="28"/>
      <c r="H1924" s="28"/>
      <c r="I1924" s="28"/>
      <c r="J1924" s="28"/>
      <c r="K1924" s="28"/>
      <c r="L1924" s="28"/>
      <c r="M1924" s="28"/>
      <c r="N1924" s="28"/>
      <c r="O1924" s="28"/>
      <c r="P1924" s="28"/>
      <c r="Q1924" s="28"/>
      <c r="R1924" s="28"/>
      <c r="S1924" s="28"/>
    </row>
    <row r="1925" spans="1:19" x14ac:dyDescent="0.25">
      <c r="A1925" s="28"/>
      <c r="B1925" s="28"/>
      <c r="C1925" s="28"/>
      <c r="D1925" s="28"/>
      <c r="E1925" s="28"/>
      <c r="F1925" s="28"/>
      <c r="G1925" s="28"/>
      <c r="H1925" s="28"/>
      <c r="I1925" s="28"/>
      <c r="J1925" s="28"/>
      <c r="K1925" s="28"/>
      <c r="L1925" s="28"/>
      <c r="M1925" s="28"/>
      <c r="N1925" s="28"/>
      <c r="O1925" s="28"/>
      <c r="P1925" s="28"/>
      <c r="Q1925" s="28"/>
      <c r="R1925" s="28"/>
      <c r="S1925" s="28"/>
    </row>
    <row r="1926" spans="1:19" x14ac:dyDescent="0.25">
      <c r="A1926" s="28"/>
      <c r="B1926" s="28"/>
      <c r="C1926" s="28"/>
      <c r="D1926" s="28"/>
      <c r="E1926" s="28"/>
      <c r="F1926" s="28"/>
      <c r="G1926" s="28"/>
      <c r="H1926" s="28"/>
      <c r="I1926" s="28"/>
      <c r="J1926" s="28"/>
      <c r="K1926" s="28"/>
      <c r="L1926" s="28"/>
      <c r="M1926" s="28"/>
      <c r="N1926" s="28"/>
      <c r="O1926" s="28"/>
      <c r="P1926" s="28"/>
      <c r="Q1926" s="28"/>
      <c r="R1926" s="28"/>
      <c r="S1926" s="28"/>
    </row>
    <row r="1927" spans="1:19" x14ac:dyDescent="0.25">
      <c r="A1927" s="28"/>
      <c r="B1927" s="28"/>
      <c r="C1927" s="28"/>
      <c r="D1927" s="28"/>
      <c r="E1927" s="28"/>
      <c r="F1927" s="28"/>
      <c r="G1927" s="28"/>
      <c r="H1927" s="28"/>
      <c r="I1927" s="28"/>
      <c r="J1927" s="28"/>
      <c r="K1927" s="28"/>
      <c r="L1927" s="28"/>
      <c r="M1927" s="28"/>
      <c r="N1927" s="28"/>
      <c r="O1927" s="28"/>
      <c r="P1927" s="28"/>
      <c r="Q1927" s="28"/>
      <c r="R1927" s="28"/>
      <c r="S1927" s="28"/>
    </row>
    <row r="1928" spans="1:19" x14ac:dyDescent="0.25">
      <c r="A1928" s="28"/>
      <c r="B1928" s="28"/>
      <c r="C1928" s="28"/>
      <c r="D1928" s="28"/>
      <c r="E1928" s="28"/>
      <c r="F1928" s="28"/>
      <c r="G1928" s="28"/>
      <c r="H1928" s="28"/>
      <c r="I1928" s="28"/>
      <c r="J1928" s="28"/>
      <c r="K1928" s="28"/>
      <c r="L1928" s="28"/>
      <c r="M1928" s="28"/>
      <c r="N1928" s="28"/>
      <c r="O1928" s="28"/>
      <c r="P1928" s="28"/>
      <c r="Q1928" s="28"/>
      <c r="R1928" s="28"/>
      <c r="S1928" s="28"/>
    </row>
    <row r="1929" spans="1:19" x14ac:dyDescent="0.25">
      <c r="A1929" s="28"/>
      <c r="B1929" s="28"/>
      <c r="C1929" s="28"/>
      <c r="D1929" s="28"/>
      <c r="E1929" s="28"/>
      <c r="F1929" s="28"/>
      <c r="G1929" s="28"/>
      <c r="H1929" s="28"/>
      <c r="I1929" s="28"/>
      <c r="J1929" s="28"/>
      <c r="K1929" s="28"/>
      <c r="L1929" s="28"/>
      <c r="M1929" s="28"/>
      <c r="N1929" s="28"/>
      <c r="O1929" s="28"/>
      <c r="P1929" s="28"/>
      <c r="Q1929" s="28"/>
      <c r="R1929" s="28"/>
      <c r="S1929" s="28"/>
    </row>
    <row r="1930" spans="1:19" x14ac:dyDescent="0.25">
      <c r="A1930" s="28"/>
      <c r="B1930" s="28"/>
      <c r="C1930" s="28"/>
      <c r="D1930" s="28"/>
      <c r="E1930" s="28"/>
      <c r="F1930" s="28"/>
      <c r="G1930" s="28"/>
      <c r="H1930" s="28"/>
      <c r="I1930" s="28"/>
      <c r="J1930" s="28"/>
      <c r="K1930" s="28"/>
      <c r="L1930" s="28"/>
      <c r="M1930" s="28"/>
      <c r="N1930" s="28"/>
      <c r="O1930" s="28"/>
      <c r="P1930" s="28"/>
      <c r="Q1930" s="28"/>
      <c r="R1930" s="28"/>
      <c r="S1930" s="28"/>
    </row>
    <row r="1931" spans="1:19" x14ac:dyDescent="0.25">
      <c r="A1931" s="28"/>
      <c r="B1931" s="28"/>
      <c r="C1931" s="28"/>
      <c r="D1931" s="28"/>
      <c r="E1931" s="28"/>
      <c r="F1931" s="28"/>
      <c r="G1931" s="28"/>
      <c r="H1931" s="28"/>
      <c r="I1931" s="28"/>
      <c r="J1931" s="28"/>
      <c r="K1931" s="28"/>
      <c r="L1931" s="28"/>
      <c r="M1931" s="28"/>
      <c r="N1931" s="28"/>
      <c r="O1931" s="28"/>
      <c r="P1931" s="28"/>
      <c r="Q1931" s="28"/>
      <c r="R1931" s="28"/>
      <c r="S1931" s="28"/>
    </row>
    <row r="1932" spans="1:19" x14ac:dyDescent="0.25">
      <c r="A1932" s="28"/>
      <c r="B1932" s="28"/>
      <c r="C1932" s="28"/>
      <c r="D1932" s="28"/>
      <c r="E1932" s="28"/>
      <c r="F1932" s="28"/>
      <c r="G1932" s="28"/>
      <c r="H1932" s="28"/>
      <c r="I1932" s="28"/>
      <c r="J1932" s="28"/>
      <c r="K1932" s="28"/>
      <c r="L1932" s="28"/>
      <c r="M1932" s="28"/>
      <c r="N1932" s="28"/>
      <c r="O1932" s="28"/>
      <c r="P1932" s="28"/>
      <c r="Q1932" s="28"/>
      <c r="R1932" s="28"/>
      <c r="S1932" s="28"/>
    </row>
    <row r="1933" spans="1:19" x14ac:dyDescent="0.25">
      <c r="A1933" s="28"/>
      <c r="B1933" s="28"/>
      <c r="C1933" s="28"/>
      <c r="D1933" s="28"/>
      <c r="E1933" s="28"/>
      <c r="F1933" s="28"/>
      <c r="G1933" s="28"/>
      <c r="H1933" s="28"/>
      <c r="I1933" s="28"/>
      <c r="J1933" s="28"/>
      <c r="K1933" s="28"/>
      <c r="L1933" s="28"/>
      <c r="M1933" s="28"/>
      <c r="N1933" s="28"/>
      <c r="O1933" s="28"/>
      <c r="P1933" s="28"/>
      <c r="Q1933" s="28"/>
      <c r="R1933" s="28"/>
      <c r="S1933" s="28"/>
    </row>
    <row r="1934" spans="1:19" x14ac:dyDescent="0.25">
      <c r="A1934" s="28"/>
      <c r="B1934" s="28"/>
      <c r="C1934" s="28"/>
      <c r="D1934" s="28"/>
      <c r="E1934" s="28"/>
      <c r="F1934" s="28"/>
      <c r="G1934" s="28"/>
      <c r="H1934" s="28"/>
      <c r="I1934" s="28"/>
      <c r="J1934" s="28"/>
      <c r="K1934" s="28"/>
      <c r="L1934" s="28"/>
      <c r="M1934" s="28"/>
      <c r="N1934" s="28"/>
      <c r="O1934" s="28"/>
      <c r="P1934" s="28"/>
      <c r="Q1934" s="28"/>
      <c r="R1934" s="28"/>
      <c r="S1934" s="28"/>
    </row>
    <row r="1935" spans="1:19" x14ac:dyDescent="0.25">
      <c r="A1935" s="28"/>
      <c r="B1935" s="28"/>
      <c r="C1935" s="28"/>
      <c r="D1935" s="28"/>
      <c r="E1935" s="28"/>
      <c r="F1935" s="28"/>
      <c r="G1935" s="28"/>
      <c r="H1935" s="28"/>
      <c r="I1935" s="28"/>
      <c r="J1935" s="28"/>
      <c r="K1935" s="28"/>
      <c r="L1935" s="28"/>
      <c r="M1935" s="28"/>
      <c r="N1935" s="28"/>
      <c r="O1935" s="28"/>
      <c r="P1935" s="28"/>
      <c r="Q1935" s="28"/>
      <c r="R1935" s="28"/>
      <c r="S1935" s="28"/>
    </row>
    <row r="1936" spans="1:19" x14ac:dyDescent="0.25">
      <c r="A1936" s="28"/>
      <c r="B1936" s="28"/>
      <c r="C1936" s="28"/>
      <c r="D1936" s="28"/>
      <c r="E1936" s="28"/>
      <c r="F1936" s="28"/>
      <c r="G1936" s="28"/>
      <c r="H1936" s="28"/>
      <c r="I1936" s="28"/>
      <c r="J1936" s="28"/>
      <c r="K1936" s="28"/>
      <c r="L1936" s="28"/>
      <c r="M1936" s="28"/>
      <c r="N1936" s="28"/>
      <c r="O1936" s="28"/>
      <c r="P1936" s="28"/>
      <c r="Q1936" s="28"/>
      <c r="R1936" s="28"/>
      <c r="S1936" s="28"/>
    </row>
    <row r="1937" spans="1:19" x14ac:dyDescent="0.25">
      <c r="A1937" s="28"/>
      <c r="B1937" s="28"/>
      <c r="C1937" s="28"/>
      <c r="D1937" s="28"/>
      <c r="E1937" s="28"/>
      <c r="F1937" s="28"/>
      <c r="G1937" s="28"/>
      <c r="H1937" s="28"/>
      <c r="I1937" s="28"/>
      <c r="J1937" s="28"/>
      <c r="K1937" s="28"/>
      <c r="L1937" s="28"/>
      <c r="M1937" s="28"/>
      <c r="N1937" s="28"/>
      <c r="O1937" s="28"/>
      <c r="P1937" s="28"/>
      <c r="Q1937" s="28"/>
      <c r="R1937" s="28"/>
      <c r="S1937" s="28"/>
    </row>
    <row r="1938" spans="1:19" x14ac:dyDescent="0.25">
      <c r="A1938" s="28"/>
      <c r="B1938" s="28"/>
      <c r="C1938" s="28"/>
      <c r="D1938" s="28"/>
      <c r="E1938" s="28"/>
      <c r="F1938" s="28"/>
      <c r="G1938" s="28"/>
      <c r="H1938" s="28"/>
      <c r="I1938" s="28"/>
      <c r="J1938" s="28"/>
      <c r="K1938" s="28"/>
      <c r="L1938" s="28"/>
      <c r="M1938" s="28"/>
      <c r="N1938" s="28"/>
      <c r="O1938" s="28"/>
      <c r="P1938" s="28"/>
      <c r="Q1938" s="28"/>
      <c r="R1938" s="28"/>
      <c r="S1938" s="28"/>
    </row>
    <row r="1939" spans="1:19" x14ac:dyDescent="0.25">
      <c r="A1939" s="28"/>
      <c r="B1939" s="28"/>
      <c r="C1939" s="28"/>
      <c r="D1939" s="28"/>
      <c r="E1939" s="28"/>
      <c r="F1939" s="28"/>
      <c r="G1939" s="28"/>
      <c r="H1939" s="28"/>
      <c r="I1939" s="28"/>
      <c r="J1939" s="28"/>
      <c r="K1939" s="28"/>
      <c r="L1939" s="28"/>
      <c r="M1939" s="28"/>
      <c r="N1939" s="28"/>
      <c r="O1939" s="28"/>
      <c r="P1939" s="28"/>
      <c r="Q1939" s="28"/>
      <c r="R1939" s="28"/>
      <c r="S1939" s="28"/>
    </row>
    <row r="1940" spans="1:19" x14ac:dyDescent="0.25">
      <c r="A1940" s="28"/>
      <c r="B1940" s="28"/>
      <c r="C1940" s="28"/>
      <c r="D1940" s="28"/>
      <c r="E1940" s="28"/>
      <c r="F1940" s="28"/>
      <c r="G1940" s="28"/>
      <c r="H1940" s="28"/>
      <c r="I1940" s="28"/>
      <c r="J1940" s="28"/>
      <c r="K1940" s="28"/>
      <c r="L1940" s="28"/>
      <c r="M1940" s="28"/>
      <c r="N1940" s="28"/>
      <c r="O1940" s="28"/>
      <c r="P1940" s="28"/>
      <c r="Q1940" s="28"/>
      <c r="R1940" s="28"/>
      <c r="S1940" s="28"/>
    </row>
    <row r="1941" spans="1:19" x14ac:dyDescent="0.25">
      <c r="A1941" s="28"/>
      <c r="B1941" s="28"/>
      <c r="C1941" s="28"/>
      <c r="D1941" s="28"/>
      <c r="E1941" s="28"/>
      <c r="F1941" s="28"/>
      <c r="G1941" s="28"/>
      <c r="H1941" s="28"/>
      <c r="I1941" s="28"/>
      <c r="J1941" s="28"/>
      <c r="K1941" s="28"/>
      <c r="L1941" s="28"/>
      <c r="M1941" s="28"/>
      <c r="N1941" s="28"/>
      <c r="O1941" s="28"/>
      <c r="P1941" s="28"/>
      <c r="Q1941" s="28"/>
      <c r="R1941" s="28"/>
      <c r="S1941" s="28"/>
    </row>
    <row r="1942" spans="1:19" x14ac:dyDescent="0.25">
      <c r="A1942" s="28"/>
      <c r="B1942" s="28"/>
      <c r="C1942" s="28"/>
      <c r="D1942" s="28"/>
      <c r="E1942" s="28"/>
      <c r="F1942" s="28"/>
      <c r="G1942" s="28"/>
      <c r="H1942" s="28"/>
      <c r="I1942" s="28"/>
      <c r="J1942" s="28"/>
      <c r="K1942" s="28"/>
      <c r="L1942" s="28"/>
      <c r="M1942" s="28"/>
      <c r="N1942" s="28"/>
      <c r="O1942" s="28"/>
      <c r="P1942" s="28"/>
      <c r="Q1942" s="28"/>
      <c r="R1942" s="28"/>
      <c r="S1942" s="28"/>
    </row>
    <row r="1943" spans="1:19" x14ac:dyDescent="0.25">
      <c r="A1943" s="28"/>
      <c r="B1943" s="28"/>
      <c r="C1943" s="28"/>
      <c r="D1943" s="28"/>
      <c r="E1943" s="28"/>
      <c r="F1943" s="28"/>
      <c r="G1943" s="28"/>
      <c r="H1943" s="28"/>
      <c r="I1943" s="28"/>
      <c r="J1943" s="28"/>
      <c r="K1943" s="28"/>
      <c r="L1943" s="28"/>
      <c r="M1943" s="28"/>
      <c r="N1943" s="28"/>
      <c r="O1943" s="28"/>
      <c r="P1943" s="28"/>
      <c r="Q1943" s="28"/>
      <c r="R1943" s="28"/>
      <c r="S1943" s="28"/>
    </row>
    <row r="1944" spans="1:19" x14ac:dyDescent="0.25">
      <c r="A1944" s="28"/>
      <c r="B1944" s="28"/>
      <c r="C1944" s="28"/>
      <c r="D1944" s="28"/>
      <c r="E1944" s="28"/>
      <c r="F1944" s="28"/>
      <c r="G1944" s="28"/>
      <c r="H1944" s="28"/>
      <c r="I1944" s="28"/>
      <c r="J1944" s="28"/>
      <c r="K1944" s="28"/>
      <c r="L1944" s="28"/>
      <c r="M1944" s="28"/>
      <c r="N1944" s="28"/>
      <c r="O1944" s="28"/>
      <c r="P1944" s="28"/>
      <c r="Q1944" s="28"/>
      <c r="R1944" s="28"/>
      <c r="S1944" s="28"/>
    </row>
    <row r="1945" spans="1:19" x14ac:dyDescent="0.25">
      <c r="A1945" s="28"/>
      <c r="B1945" s="28"/>
      <c r="C1945" s="28"/>
      <c r="D1945" s="28"/>
      <c r="E1945" s="28"/>
      <c r="F1945" s="28"/>
      <c r="G1945" s="28"/>
      <c r="H1945" s="28"/>
      <c r="I1945" s="28"/>
      <c r="J1945" s="28"/>
      <c r="K1945" s="28"/>
      <c r="L1945" s="28"/>
      <c r="M1945" s="28"/>
      <c r="N1945" s="28"/>
      <c r="O1945" s="28"/>
      <c r="P1945" s="28"/>
      <c r="Q1945" s="28"/>
      <c r="R1945" s="28"/>
      <c r="S1945" s="28"/>
    </row>
    <row r="1946" spans="1:19" x14ac:dyDescent="0.25">
      <c r="A1946" s="28"/>
      <c r="B1946" s="28"/>
      <c r="C1946" s="28"/>
      <c r="D1946" s="28"/>
      <c r="E1946" s="28"/>
      <c r="F1946" s="28"/>
      <c r="G1946" s="28"/>
      <c r="H1946" s="28"/>
      <c r="I1946" s="28"/>
      <c r="J1946" s="28"/>
      <c r="K1946" s="28"/>
      <c r="L1946" s="28"/>
      <c r="M1946" s="28"/>
      <c r="N1946" s="28"/>
      <c r="O1946" s="28"/>
      <c r="P1946" s="28"/>
      <c r="Q1946" s="28"/>
      <c r="R1946" s="28"/>
      <c r="S1946" s="28"/>
    </row>
    <row r="1947" spans="1:19" x14ac:dyDescent="0.25">
      <c r="A1947" s="28"/>
      <c r="B1947" s="28"/>
      <c r="C1947" s="28"/>
      <c r="D1947" s="28"/>
      <c r="E1947" s="28"/>
      <c r="F1947" s="28"/>
      <c r="G1947" s="28"/>
      <c r="H1947" s="28"/>
      <c r="I1947" s="28"/>
      <c r="J1947" s="28"/>
      <c r="K1947" s="28"/>
      <c r="L1947" s="28"/>
      <c r="M1947" s="28"/>
      <c r="N1947" s="28"/>
      <c r="O1947" s="28"/>
      <c r="P1947" s="28"/>
      <c r="Q1947" s="28"/>
      <c r="R1947" s="28"/>
      <c r="S1947" s="28"/>
    </row>
    <row r="1948" spans="1:19" x14ac:dyDescent="0.25">
      <c r="A1948" s="28"/>
      <c r="B1948" s="28"/>
      <c r="C1948" s="28"/>
      <c r="D1948" s="28"/>
      <c r="E1948" s="28"/>
      <c r="F1948" s="28"/>
      <c r="G1948" s="28"/>
      <c r="H1948" s="28"/>
      <c r="I1948" s="28"/>
      <c r="J1948" s="28"/>
      <c r="K1948" s="28"/>
      <c r="L1948" s="28"/>
      <c r="M1948" s="28"/>
      <c r="N1948" s="28"/>
      <c r="O1948" s="28"/>
      <c r="P1948" s="28"/>
      <c r="Q1948" s="28"/>
      <c r="R1948" s="28"/>
      <c r="S1948" s="28"/>
    </row>
    <row r="1949" spans="1:19" x14ac:dyDescent="0.25">
      <c r="A1949" s="28"/>
      <c r="B1949" s="28"/>
      <c r="C1949" s="28"/>
      <c r="D1949" s="28"/>
      <c r="E1949" s="28"/>
      <c r="F1949" s="28"/>
      <c r="G1949" s="28"/>
      <c r="H1949" s="28"/>
      <c r="I1949" s="28"/>
      <c r="J1949" s="28"/>
      <c r="K1949" s="28"/>
      <c r="L1949" s="28"/>
      <c r="M1949" s="28"/>
      <c r="N1949" s="28"/>
      <c r="O1949" s="28"/>
      <c r="P1949" s="28"/>
      <c r="Q1949" s="28"/>
      <c r="R1949" s="28"/>
      <c r="S1949" s="28"/>
    </row>
    <row r="1950" spans="1:19" x14ac:dyDescent="0.25">
      <c r="A1950" s="28"/>
      <c r="B1950" s="28"/>
      <c r="C1950" s="28"/>
      <c r="D1950" s="28"/>
      <c r="E1950" s="28"/>
      <c r="F1950" s="28"/>
      <c r="G1950" s="28"/>
      <c r="H1950" s="28"/>
      <c r="I1950" s="28"/>
      <c r="J1950" s="28"/>
      <c r="K1950" s="28"/>
      <c r="L1950" s="28"/>
      <c r="M1950" s="28"/>
      <c r="N1950" s="28"/>
      <c r="O1950" s="28"/>
      <c r="P1950" s="28"/>
      <c r="Q1950" s="28"/>
      <c r="R1950" s="28"/>
      <c r="S1950" s="28"/>
    </row>
    <row r="1951" spans="1:19" x14ac:dyDescent="0.25">
      <c r="A1951" s="28"/>
      <c r="B1951" s="28"/>
      <c r="C1951" s="28"/>
      <c r="D1951" s="28"/>
      <c r="E1951" s="28"/>
      <c r="F1951" s="28"/>
      <c r="G1951" s="28"/>
      <c r="H1951" s="28"/>
      <c r="I1951" s="28"/>
      <c r="J1951" s="28"/>
      <c r="K1951" s="28"/>
      <c r="L1951" s="28"/>
      <c r="M1951" s="28"/>
      <c r="N1951" s="28"/>
      <c r="O1951" s="28"/>
      <c r="P1951" s="28"/>
      <c r="Q1951" s="28"/>
      <c r="R1951" s="28"/>
      <c r="S1951" s="28"/>
    </row>
    <row r="1952" spans="1:19" x14ac:dyDescent="0.25">
      <c r="A1952" s="28"/>
      <c r="B1952" s="28"/>
      <c r="C1952" s="28"/>
      <c r="D1952" s="28"/>
      <c r="E1952" s="28"/>
      <c r="F1952" s="28"/>
      <c r="G1952" s="28"/>
      <c r="H1952" s="28"/>
      <c r="I1952" s="28"/>
      <c r="J1952" s="28"/>
      <c r="K1952" s="28"/>
      <c r="L1952" s="28"/>
      <c r="M1952" s="28"/>
      <c r="N1952" s="28"/>
      <c r="O1952" s="28"/>
      <c r="P1952" s="28"/>
      <c r="Q1952" s="28"/>
      <c r="R1952" s="28"/>
      <c r="S1952" s="28"/>
    </row>
    <row r="1953" spans="1:19" x14ac:dyDescent="0.25">
      <c r="A1953" s="28"/>
      <c r="B1953" s="28"/>
      <c r="C1953" s="28"/>
      <c r="D1953" s="28"/>
      <c r="E1953" s="28"/>
      <c r="F1953" s="28"/>
      <c r="G1953" s="28"/>
      <c r="H1953" s="28"/>
      <c r="I1953" s="28"/>
      <c r="J1953" s="28"/>
      <c r="K1953" s="28"/>
      <c r="L1953" s="28"/>
      <c r="M1953" s="28"/>
      <c r="N1953" s="28"/>
      <c r="O1953" s="28"/>
      <c r="P1953" s="28"/>
      <c r="Q1953" s="28"/>
      <c r="R1953" s="28"/>
      <c r="S1953" s="28"/>
    </row>
    <row r="1954" spans="1:19" x14ac:dyDescent="0.25">
      <c r="A1954" s="28"/>
      <c r="B1954" s="28"/>
      <c r="C1954" s="28"/>
      <c r="D1954" s="28"/>
      <c r="E1954" s="28"/>
      <c r="F1954" s="28"/>
      <c r="G1954" s="28"/>
      <c r="H1954" s="28"/>
      <c r="I1954" s="28"/>
      <c r="J1954" s="28"/>
      <c r="K1954" s="28"/>
      <c r="L1954" s="28"/>
      <c r="M1954" s="28"/>
      <c r="N1954" s="28"/>
      <c r="O1954" s="28"/>
      <c r="P1954" s="28"/>
      <c r="Q1954" s="28"/>
      <c r="R1954" s="28"/>
      <c r="S1954" s="28"/>
    </row>
    <row r="1955" spans="1:19" x14ac:dyDescent="0.25">
      <c r="A1955" s="28"/>
      <c r="B1955" s="28"/>
      <c r="C1955" s="28"/>
      <c r="D1955" s="28"/>
      <c r="E1955" s="28"/>
      <c r="F1955" s="28"/>
      <c r="G1955" s="28"/>
      <c r="H1955" s="28"/>
      <c r="I1955" s="28"/>
      <c r="J1955" s="28"/>
      <c r="K1955" s="28"/>
      <c r="L1955" s="28"/>
      <c r="M1955" s="28"/>
      <c r="N1955" s="28"/>
      <c r="O1955" s="28"/>
      <c r="P1955" s="28"/>
      <c r="Q1955" s="28"/>
      <c r="R1955" s="28"/>
      <c r="S1955" s="28"/>
    </row>
    <row r="1956" spans="1:19" x14ac:dyDescent="0.25">
      <c r="A1956" s="28"/>
      <c r="B1956" s="28"/>
      <c r="C1956" s="28"/>
      <c r="D1956" s="28"/>
      <c r="E1956" s="28"/>
      <c r="F1956" s="28"/>
      <c r="G1956" s="28"/>
      <c r="H1956" s="28"/>
      <c r="I1956" s="28"/>
      <c r="J1956" s="28"/>
      <c r="K1956" s="28"/>
      <c r="L1956" s="28"/>
      <c r="M1956" s="28"/>
      <c r="N1956" s="28"/>
      <c r="O1956" s="28"/>
      <c r="P1956" s="28"/>
      <c r="Q1956" s="28"/>
      <c r="R1956" s="28"/>
      <c r="S1956" s="28"/>
    </row>
    <row r="1957" spans="1:19" x14ac:dyDescent="0.25">
      <c r="A1957" s="28"/>
      <c r="B1957" s="28"/>
      <c r="C1957" s="28"/>
      <c r="D1957" s="28"/>
      <c r="E1957" s="28"/>
      <c r="F1957" s="28"/>
      <c r="G1957" s="28"/>
      <c r="H1957" s="28"/>
      <c r="I1957" s="28"/>
      <c r="J1957" s="28"/>
      <c r="K1957" s="28"/>
      <c r="L1957" s="28"/>
      <c r="M1957" s="28"/>
      <c r="N1957" s="28"/>
      <c r="O1957" s="28"/>
      <c r="P1957" s="28"/>
      <c r="Q1957" s="28"/>
      <c r="R1957" s="28"/>
      <c r="S1957" s="28"/>
    </row>
    <row r="1958" spans="1:19" x14ac:dyDescent="0.25">
      <c r="A1958" s="28"/>
      <c r="B1958" s="28"/>
      <c r="C1958" s="28"/>
      <c r="D1958" s="28"/>
      <c r="E1958" s="28"/>
      <c r="F1958" s="28"/>
      <c r="G1958" s="28"/>
      <c r="H1958" s="28"/>
      <c r="I1958" s="28"/>
      <c r="J1958" s="28"/>
      <c r="K1958" s="28"/>
      <c r="L1958" s="28"/>
      <c r="M1958" s="28"/>
      <c r="N1958" s="28"/>
      <c r="O1958" s="28"/>
      <c r="P1958" s="28"/>
      <c r="Q1958" s="28"/>
      <c r="R1958" s="28"/>
      <c r="S1958" s="28"/>
    </row>
    <row r="1959" spans="1:19" x14ac:dyDescent="0.25">
      <c r="A1959" s="28"/>
      <c r="B1959" s="28"/>
      <c r="C1959" s="28"/>
      <c r="D1959" s="28"/>
      <c r="E1959" s="28"/>
      <c r="F1959" s="28"/>
      <c r="G1959" s="28"/>
      <c r="H1959" s="28"/>
      <c r="I1959" s="28"/>
      <c r="J1959" s="28"/>
      <c r="K1959" s="28"/>
      <c r="L1959" s="28"/>
      <c r="M1959" s="28"/>
      <c r="N1959" s="28"/>
      <c r="O1959" s="28"/>
      <c r="P1959" s="28"/>
      <c r="Q1959" s="28"/>
      <c r="R1959" s="28"/>
      <c r="S1959" s="28"/>
    </row>
    <row r="1960" spans="1:19" x14ac:dyDescent="0.25">
      <c r="A1960" s="28"/>
      <c r="B1960" s="28"/>
      <c r="C1960" s="28"/>
      <c r="D1960" s="28"/>
      <c r="E1960" s="28"/>
      <c r="F1960" s="28"/>
      <c r="G1960" s="28"/>
      <c r="H1960" s="28"/>
      <c r="I1960" s="28"/>
      <c r="J1960" s="28"/>
      <c r="K1960" s="28"/>
      <c r="L1960" s="28"/>
      <c r="M1960" s="28"/>
      <c r="N1960" s="28"/>
      <c r="O1960" s="28"/>
      <c r="P1960" s="28"/>
      <c r="Q1960" s="28"/>
      <c r="R1960" s="28"/>
      <c r="S1960" s="28"/>
    </row>
    <row r="1961" spans="1:19" x14ac:dyDescent="0.25">
      <c r="A1961" s="28"/>
      <c r="B1961" s="28"/>
      <c r="C1961" s="28"/>
      <c r="D1961" s="28"/>
      <c r="E1961" s="28"/>
      <c r="F1961" s="28"/>
      <c r="G1961" s="28"/>
      <c r="H1961" s="28"/>
      <c r="I1961" s="28"/>
      <c r="J1961" s="28"/>
      <c r="K1961" s="28"/>
      <c r="L1961" s="28"/>
      <c r="M1961" s="28"/>
      <c r="N1961" s="28"/>
      <c r="O1961" s="28"/>
      <c r="P1961" s="28"/>
      <c r="Q1961" s="28"/>
      <c r="R1961" s="28"/>
      <c r="S1961" s="28"/>
    </row>
    <row r="1962" spans="1:19" x14ac:dyDescent="0.25">
      <c r="A1962" s="28"/>
      <c r="B1962" s="28"/>
      <c r="C1962" s="28"/>
      <c r="D1962" s="28"/>
      <c r="E1962" s="28"/>
      <c r="F1962" s="28"/>
      <c r="G1962" s="28"/>
      <c r="H1962" s="28"/>
      <c r="I1962" s="28"/>
      <c r="J1962" s="28"/>
      <c r="K1962" s="28"/>
      <c r="L1962" s="28"/>
      <c r="M1962" s="28"/>
      <c r="N1962" s="28"/>
      <c r="O1962" s="28"/>
      <c r="P1962" s="28"/>
      <c r="Q1962" s="28"/>
      <c r="R1962" s="28"/>
      <c r="S1962" s="28"/>
    </row>
    <row r="1963" spans="1:19" x14ac:dyDescent="0.25">
      <c r="A1963" s="28"/>
      <c r="B1963" s="28"/>
      <c r="C1963" s="28"/>
      <c r="D1963" s="28"/>
      <c r="E1963" s="28"/>
      <c r="F1963" s="28"/>
      <c r="G1963" s="28"/>
      <c r="H1963" s="28"/>
      <c r="I1963" s="28"/>
      <c r="J1963" s="28"/>
      <c r="K1963" s="28"/>
      <c r="L1963" s="28"/>
      <c r="M1963" s="28"/>
      <c r="N1963" s="28"/>
      <c r="O1963" s="28"/>
      <c r="P1963" s="28"/>
      <c r="Q1963" s="28"/>
      <c r="R1963" s="28"/>
      <c r="S1963" s="28"/>
    </row>
    <row r="1964" spans="1:19" x14ac:dyDescent="0.25">
      <c r="A1964" s="28"/>
      <c r="B1964" s="28"/>
      <c r="C1964" s="28"/>
      <c r="D1964" s="28"/>
      <c r="E1964" s="28"/>
      <c r="F1964" s="28"/>
      <c r="G1964" s="28"/>
      <c r="H1964" s="28"/>
      <c r="I1964" s="28"/>
      <c r="J1964" s="28"/>
      <c r="K1964" s="28"/>
      <c r="L1964" s="28"/>
      <c r="M1964" s="28"/>
      <c r="N1964" s="28"/>
      <c r="O1964" s="28"/>
      <c r="P1964" s="28"/>
      <c r="Q1964" s="28"/>
      <c r="R1964" s="28"/>
      <c r="S1964" s="28"/>
    </row>
    <row r="1965" spans="1:19" x14ac:dyDescent="0.25">
      <c r="A1965" s="28"/>
      <c r="B1965" s="28"/>
      <c r="C1965" s="28"/>
      <c r="D1965" s="28"/>
      <c r="E1965" s="28"/>
      <c r="F1965" s="28"/>
      <c r="G1965" s="28"/>
      <c r="H1965" s="28"/>
      <c r="I1965" s="28"/>
      <c r="J1965" s="28"/>
      <c r="K1965" s="28"/>
      <c r="L1965" s="28"/>
      <c r="M1965" s="28"/>
      <c r="N1965" s="28"/>
      <c r="O1965" s="28"/>
      <c r="P1965" s="28"/>
      <c r="Q1965" s="28"/>
      <c r="R1965" s="28"/>
      <c r="S1965" s="28"/>
    </row>
    <row r="1966" spans="1:19" x14ac:dyDescent="0.25">
      <c r="A1966" s="28"/>
      <c r="B1966" s="28"/>
      <c r="C1966" s="28"/>
      <c r="D1966" s="28"/>
      <c r="E1966" s="28"/>
      <c r="F1966" s="28"/>
      <c r="G1966" s="28"/>
      <c r="H1966" s="28"/>
      <c r="I1966" s="28"/>
      <c r="J1966" s="28"/>
      <c r="K1966" s="28"/>
      <c r="L1966" s="28"/>
      <c r="M1966" s="28"/>
      <c r="N1966" s="28"/>
      <c r="O1966" s="28"/>
      <c r="P1966" s="28"/>
      <c r="Q1966" s="28"/>
      <c r="R1966" s="28"/>
      <c r="S1966" s="28"/>
    </row>
    <row r="1967" spans="1:19" x14ac:dyDescent="0.25">
      <c r="A1967" s="28"/>
      <c r="B1967" s="28"/>
      <c r="C1967" s="28"/>
      <c r="D1967" s="28"/>
      <c r="E1967" s="28"/>
      <c r="F1967" s="28"/>
      <c r="G1967" s="28"/>
      <c r="H1967" s="28"/>
      <c r="I1967" s="28"/>
      <c r="J1967" s="28"/>
      <c r="K1967" s="28"/>
      <c r="L1967" s="28"/>
      <c r="M1967" s="28"/>
      <c r="N1967" s="28"/>
      <c r="O1967" s="28"/>
      <c r="P1967" s="28"/>
      <c r="Q1967" s="28"/>
      <c r="R1967" s="28"/>
      <c r="S1967" s="28"/>
    </row>
    <row r="1968" spans="1:19" x14ac:dyDescent="0.25">
      <c r="A1968" s="28"/>
      <c r="B1968" s="28"/>
      <c r="C1968" s="28"/>
      <c r="D1968" s="28"/>
      <c r="E1968" s="28"/>
      <c r="F1968" s="28"/>
      <c r="G1968" s="28"/>
      <c r="H1968" s="28"/>
      <c r="I1968" s="28"/>
      <c r="J1968" s="28"/>
      <c r="K1968" s="28"/>
      <c r="L1968" s="28"/>
      <c r="M1968" s="28"/>
      <c r="N1968" s="28"/>
      <c r="O1968" s="28"/>
      <c r="P1968" s="28"/>
      <c r="Q1968" s="28"/>
      <c r="R1968" s="28"/>
      <c r="S1968" s="28"/>
    </row>
    <row r="1969" spans="1:19" x14ac:dyDescent="0.25">
      <c r="A1969" s="28"/>
      <c r="B1969" s="28"/>
      <c r="C1969" s="28"/>
      <c r="D1969" s="28"/>
      <c r="E1969" s="28"/>
      <c r="F1969" s="28"/>
      <c r="G1969" s="28"/>
      <c r="H1969" s="28"/>
      <c r="I1969" s="28"/>
      <c r="J1969" s="28"/>
      <c r="K1969" s="28"/>
      <c r="L1969" s="28"/>
      <c r="M1969" s="28"/>
      <c r="N1969" s="28"/>
      <c r="O1969" s="28"/>
      <c r="P1969" s="28"/>
      <c r="Q1969" s="28"/>
      <c r="R1969" s="28"/>
      <c r="S1969" s="28"/>
    </row>
    <row r="1970" spans="1:19" x14ac:dyDescent="0.25">
      <c r="A1970" s="28"/>
      <c r="B1970" s="28"/>
      <c r="C1970" s="28"/>
      <c r="D1970" s="28"/>
      <c r="E1970" s="28"/>
      <c r="F1970" s="28"/>
      <c r="G1970" s="28"/>
      <c r="H1970" s="28"/>
      <c r="I1970" s="28"/>
      <c r="J1970" s="28"/>
      <c r="K1970" s="28"/>
      <c r="L1970" s="28"/>
      <c r="M1970" s="28"/>
      <c r="N1970" s="28"/>
      <c r="O1970" s="28"/>
      <c r="P1970" s="28"/>
      <c r="Q1970" s="28"/>
      <c r="R1970" s="28"/>
      <c r="S1970" s="28"/>
    </row>
    <row r="1971" spans="1:19" x14ac:dyDescent="0.25">
      <c r="A1971" s="28"/>
      <c r="B1971" s="28"/>
      <c r="C1971" s="28"/>
      <c r="D1971" s="28"/>
      <c r="E1971" s="28"/>
      <c r="F1971" s="28"/>
      <c r="G1971" s="28"/>
      <c r="H1971" s="28"/>
      <c r="I1971" s="28"/>
      <c r="J1971" s="28"/>
      <c r="K1971" s="28"/>
      <c r="L1971" s="28"/>
      <c r="M1971" s="28"/>
      <c r="N1971" s="28"/>
      <c r="O1971" s="28"/>
      <c r="P1971" s="28"/>
      <c r="Q1971" s="28"/>
      <c r="R1971" s="28"/>
      <c r="S1971" s="28"/>
    </row>
    <row r="1972" spans="1:19" x14ac:dyDescent="0.25">
      <c r="A1972" s="28"/>
      <c r="B1972" s="28"/>
      <c r="C1972" s="28"/>
      <c r="D1972" s="28"/>
      <c r="E1972" s="28"/>
      <c r="F1972" s="28"/>
      <c r="G1972" s="28"/>
      <c r="H1972" s="28"/>
      <c r="I1972" s="28"/>
      <c r="J1972" s="28"/>
      <c r="K1972" s="28"/>
      <c r="L1972" s="28"/>
      <c r="M1972" s="28"/>
      <c r="N1972" s="28"/>
      <c r="O1972" s="28"/>
      <c r="P1972" s="28"/>
      <c r="Q1972" s="28"/>
      <c r="R1972" s="28"/>
      <c r="S1972" s="28"/>
    </row>
    <row r="1973" spans="1:19" x14ac:dyDescent="0.25">
      <c r="A1973" s="28"/>
      <c r="B1973" s="28"/>
      <c r="C1973" s="28"/>
      <c r="D1973" s="28"/>
      <c r="E1973" s="28"/>
      <c r="F1973" s="28"/>
      <c r="G1973" s="28"/>
      <c r="H1973" s="28"/>
      <c r="I1973" s="28"/>
      <c r="J1973" s="28"/>
      <c r="K1973" s="28"/>
      <c r="L1973" s="28"/>
      <c r="M1973" s="28"/>
      <c r="N1973" s="28"/>
      <c r="O1973" s="28"/>
      <c r="P1973" s="28"/>
      <c r="Q1973" s="28"/>
      <c r="R1973" s="28"/>
      <c r="S1973" s="28"/>
    </row>
    <row r="1974" spans="1:19" x14ac:dyDescent="0.25">
      <c r="A1974" s="28"/>
      <c r="B1974" s="28"/>
      <c r="C1974" s="28"/>
      <c r="D1974" s="28"/>
      <c r="E1974" s="28"/>
      <c r="F1974" s="28"/>
      <c r="G1974" s="28"/>
      <c r="H1974" s="28"/>
      <c r="I1974" s="28"/>
      <c r="J1974" s="28"/>
      <c r="K1974" s="28"/>
      <c r="L1974" s="28"/>
      <c r="M1974" s="28"/>
      <c r="N1974" s="28"/>
      <c r="O1974" s="28"/>
      <c r="P1974" s="28"/>
      <c r="Q1974" s="28"/>
      <c r="R1974" s="28"/>
      <c r="S1974" s="28"/>
    </row>
    <row r="1975" spans="1:19" x14ac:dyDescent="0.25">
      <c r="A1975" s="28"/>
      <c r="B1975" s="28"/>
      <c r="C1975" s="28"/>
      <c r="D1975" s="28"/>
      <c r="E1975" s="28"/>
      <c r="F1975" s="28"/>
      <c r="G1975" s="28"/>
      <c r="H1975" s="28"/>
      <c r="I1975" s="28"/>
      <c r="J1975" s="28"/>
      <c r="K1975" s="28"/>
      <c r="L1975" s="28"/>
      <c r="M1975" s="28"/>
      <c r="N1975" s="28"/>
      <c r="O1975" s="28"/>
      <c r="P1975" s="28"/>
      <c r="Q1975" s="28"/>
      <c r="R1975" s="28"/>
      <c r="S1975" s="28"/>
    </row>
    <row r="1976" spans="1:19" x14ac:dyDescent="0.25">
      <c r="A1976" s="28"/>
      <c r="B1976" s="28"/>
      <c r="C1976" s="28"/>
      <c r="D1976" s="28"/>
      <c r="E1976" s="28"/>
      <c r="F1976" s="28"/>
      <c r="G1976" s="28"/>
      <c r="H1976" s="28"/>
      <c r="I1976" s="28"/>
      <c r="J1976" s="28"/>
      <c r="K1976" s="28"/>
      <c r="L1976" s="28"/>
      <c r="M1976" s="28"/>
      <c r="N1976" s="28"/>
      <c r="O1976" s="28"/>
      <c r="P1976" s="28"/>
      <c r="Q1976" s="28"/>
      <c r="R1976" s="28"/>
      <c r="S1976" s="28"/>
    </row>
    <row r="1977" spans="1:19" x14ac:dyDescent="0.25">
      <c r="A1977" s="28"/>
      <c r="B1977" s="28"/>
      <c r="C1977" s="28"/>
      <c r="D1977" s="28"/>
      <c r="E1977" s="28"/>
      <c r="F1977" s="28"/>
      <c r="G1977" s="28"/>
      <c r="H1977" s="28"/>
      <c r="I1977" s="28"/>
      <c r="J1977" s="28"/>
      <c r="K1977" s="28"/>
      <c r="L1977" s="28"/>
      <c r="M1977" s="28"/>
      <c r="N1977" s="28"/>
      <c r="O1977" s="28"/>
      <c r="P1977" s="28"/>
      <c r="Q1977" s="28"/>
      <c r="R1977" s="28"/>
      <c r="S1977" s="28"/>
    </row>
    <row r="1978" spans="1:19" x14ac:dyDescent="0.25">
      <c r="A1978" s="28"/>
      <c r="B1978" s="28"/>
      <c r="C1978" s="28"/>
      <c r="D1978" s="28"/>
      <c r="E1978" s="28"/>
      <c r="F1978" s="28"/>
      <c r="G1978" s="28"/>
      <c r="H1978" s="28"/>
      <c r="I1978" s="28"/>
      <c r="J1978" s="28"/>
      <c r="K1978" s="28"/>
      <c r="L1978" s="28"/>
      <c r="M1978" s="28"/>
      <c r="N1978" s="28"/>
      <c r="O1978" s="28"/>
      <c r="P1978" s="28"/>
      <c r="Q1978" s="28"/>
      <c r="R1978" s="28"/>
      <c r="S1978" s="28"/>
    </row>
    <row r="1979" spans="1:19" x14ac:dyDescent="0.25">
      <c r="A1979" s="28"/>
      <c r="B1979" s="28"/>
      <c r="C1979" s="28"/>
      <c r="D1979" s="28"/>
      <c r="E1979" s="28"/>
      <c r="F1979" s="28"/>
      <c r="G1979" s="28"/>
      <c r="H1979" s="28"/>
      <c r="I1979" s="28"/>
      <c r="J1979" s="28"/>
      <c r="K1979" s="28"/>
      <c r="L1979" s="28"/>
      <c r="M1979" s="28"/>
      <c r="N1979" s="28"/>
      <c r="O1979" s="28"/>
      <c r="P1979" s="28"/>
      <c r="Q1979" s="28"/>
      <c r="R1979" s="28"/>
      <c r="S1979" s="28"/>
    </row>
    <row r="1980" spans="1:19" x14ac:dyDescent="0.25">
      <c r="A1980" s="28"/>
      <c r="B1980" s="28"/>
      <c r="C1980" s="28"/>
      <c r="D1980" s="28"/>
      <c r="E1980" s="28"/>
      <c r="F1980" s="28"/>
      <c r="G1980" s="28"/>
      <c r="H1980" s="28"/>
      <c r="I1980" s="28"/>
      <c r="J1980" s="28"/>
      <c r="K1980" s="28"/>
      <c r="L1980" s="28"/>
      <c r="M1980" s="28"/>
      <c r="N1980" s="28"/>
      <c r="O1980" s="28"/>
      <c r="P1980" s="28"/>
      <c r="Q1980" s="28"/>
      <c r="R1980" s="28"/>
      <c r="S1980" s="28"/>
    </row>
    <row r="1981" spans="1:19" x14ac:dyDescent="0.25">
      <c r="A1981" s="28"/>
      <c r="B1981" s="28"/>
      <c r="C1981" s="28"/>
      <c r="D1981" s="28"/>
      <c r="E1981" s="28"/>
      <c r="F1981" s="28"/>
      <c r="G1981" s="28"/>
      <c r="H1981" s="28"/>
      <c r="I1981" s="28"/>
      <c r="J1981" s="28"/>
      <c r="K1981" s="28"/>
      <c r="L1981" s="28"/>
      <c r="M1981" s="28"/>
      <c r="N1981" s="28"/>
      <c r="O1981" s="28"/>
      <c r="P1981" s="28"/>
      <c r="Q1981" s="28"/>
      <c r="R1981" s="28"/>
      <c r="S1981" s="28"/>
    </row>
    <row r="1982" spans="1:19" x14ac:dyDescent="0.25">
      <c r="A1982" s="28"/>
      <c r="B1982" s="28"/>
      <c r="C1982" s="28"/>
      <c r="D1982" s="28"/>
      <c r="E1982" s="28"/>
      <c r="F1982" s="28"/>
      <c r="G1982" s="28"/>
      <c r="H1982" s="28"/>
      <c r="I1982" s="28"/>
      <c r="J1982" s="28"/>
      <c r="K1982" s="28"/>
      <c r="L1982" s="28"/>
      <c r="M1982" s="28"/>
      <c r="N1982" s="28"/>
      <c r="O1982" s="28"/>
      <c r="P1982" s="28"/>
      <c r="Q1982" s="28"/>
      <c r="R1982" s="28"/>
      <c r="S1982" s="28"/>
    </row>
    <row r="1983" spans="1:19" x14ac:dyDescent="0.25">
      <c r="A1983" s="28"/>
      <c r="B1983" s="28"/>
      <c r="C1983" s="28"/>
      <c r="D1983" s="28"/>
      <c r="E1983" s="28"/>
      <c r="F1983" s="28"/>
      <c r="G1983" s="28"/>
      <c r="H1983" s="28"/>
      <c r="I1983" s="28"/>
      <c r="J1983" s="28"/>
      <c r="K1983" s="28"/>
      <c r="L1983" s="28"/>
      <c r="M1983" s="28"/>
      <c r="N1983" s="28"/>
      <c r="O1983" s="28"/>
      <c r="P1983" s="28"/>
      <c r="Q1983" s="28"/>
      <c r="R1983" s="28"/>
      <c r="S1983" s="28"/>
    </row>
    <row r="1984" spans="1:19" x14ac:dyDescent="0.25">
      <c r="A1984" s="28"/>
      <c r="B1984" s="28"/>
      <c r="C1984" s="28"/>
      <c r="D1984" s="28"/>
      <c r="E1984" s="28"/>
      <c r="F1984" s="28"/>
      <c r="G1984" s="28"/>
      <c r="H1984" s="28"/>
      <c r="I1984" s="28"/>
      <c r="J1984" s="28"/>
      <c r="K1984" s="28"/>
      <c r="L1984" s="28"/>
      <c r="M1984" s="28"/>
      <c r="N1984" s="28"/>
      <c r="O1984" s="28"/>
      <c r="P1984" s="28"/>
      <c r="Q1984" s="28"/>
      <c r="R1984" s="28"/>
      <c r="S1984" s="28"/>
    </row>
    <row r="1985" spans="1:19" x14ac:dyDescent="0.25">
      <c r="A1985" s="28"/>
      <c r="B1985" s="28"/>
      <c r="C1985" s="28"/>
      <c r="D1985" s="28"/>
      <c r="E1985" s="28"/>
      <c r="F1985" s="28"/>
      <c r="G1985" s="28"/>
      <c r="H1985" s="28"/>
      <c r="I1985" s="28"/>
      <c r="J1985" s="28"/>
      <c r="K1985" s="28"/>
      <c r="L1985" s="28"/>
      <c r="M1985" s="28"/>
      <c r="N1985" s="28"/>
      <c r="O1985" s="28"/>
      <c r="P1985" s="28"/>
      <c r="Q1985" s="28"/>
      <c r="R1985" s="28"/>
      <c r="S1985" s="28"/>
    </row>
    <row r="1986" spans="1:19" x14ac:dyDescent="0.25">
      <c r="A1986" s="28"/>
      <c r="B1986" s="28"/>
      <c r="C1986" s="28"/>
      <c r="D1986" s="28"/>
      <c r="E1986" s="28"/>
      <c r="F1986" s="28"/>
      <c r="G1986" s="28"/>
      <c r="H1986" s="28"/>
      <c r="I1986" s="28"/>
      <c r="J1986" s="28"/>
      <c r="K1986" s="28"/>
      <c r="L1986" s="28"/>
      <c r="M1986" s="28"/>
      <c r="N1986" s="28"/>
      <c r="O1986" s="28"/>
      <c r="P1986" s="28"/>
      <c r="Q1986" s="28"/>
      <c r="R1986" s="28"/>
      <c r="S1986" s="28"/>
    </row>
    <row r="1987" spans="1:19" x14ac:dyDescent="0.25">
      <c r="A1987" s="28"/>
      <c r="B1987" s="28"/>
      <c r="C1987" s="28"/>
      <c r="D1987" s="28"/>
      <c r="E1987" s="28"/>
      <c r="F1987" s="28"/>
      <c r="G1987" s="28"/>
      <c r="H1987" s="28"/>
      <c r="I1987" s="28"/>
      <c r="J1987" s="28"/>
      <c r="K1987" s="28"/>
      <c r="L1987" s="28"/>
      <c r="M1987" s="28"/>
      <c r="N1987" s="28"/>
      <c r="O1987" s="28"/>
      <c r="P1987" s="28"/>
      <c r="Q1987" s="28"/>
      <c r="R1987" s="28"/>
      <c r="S1987" s="28"/>
    </row>
    <row r="1988" spans="1:19" x14ac:dyDescent="0.25">
      <c r="A1988" s="28"/>
      <c r="B1988" s="28"/>
      <c r="C1988" s="28"/>
      <c r="D1988" s="28"/>
      <c r="E1988" s="28"/>
      <c r="F1988" s="28"/>
      <c r="G1988" s="28"/>
      <c r="H1988" s="28"/>
      <c r="I1988" s="28"/>
      <c r="J1988" s="28"/>
      <c r="K1988" s="28"/>
      <c r="L1988" s="28"/>
      <c r="M1988" s="28"/>
      <c r="N1988" s="28"/>
      <c r="O1988" s="28"/>
      <c r="P1988" s="28"/>
      <c r="Q1988" s="28"/>
      <c r="R1988" s="28"/>
      <c r="S1988" s="28"/>
    </row>
    <row r="1989" spans="1:19" x14ac:dyDescent="0.25">
      <c r="A1989" s="28"/>
      <c r="B1989" s="28"/>
      <c r="C1989" s="28"/>
      <c r="D1989" s="28"/>
      <c r="E1989" s="28"/>
      <c r="F1989" s="28"/>
      <c r="G1989" s="28"/>
      <c r="H1989" s="28"/>
      <c r="I1989" s="28"/>
      <c r="J1989" s="28"/>
      <c r="K1989" s="28"/>
      <c r="L1989" s="28"/>
      <c r="M1989" s="28"/>
      <c r="N1989" s="28"/>
      <c r="O1989" s="28"/>
      <c r="P1989" s="28"/>
      <c r="Q1989" s="28"/>
      <c r="R1989" s="28"/>
      <c r="S1989" s="28"/>
    </row>
    <row r="1990" spans="1:19" x14ac:dyDescent="0.25">
      <c r="A1990" s="28"/>
      <c r="B1990" s="28"/>
      <c r="C1990" s="28"/>
      <c r="D1990" s="28"/>
      <c r="E1990" s="28"/>
      <c r="F1990" s="28"/>
      <c r="G1990" s="28"/>
      <c r="H1990" s="28"/>
      <c r="I1990" s="28"/>
      <c r="J1990" s="28"/>
      <c r="K1990" s="28"/>
      <c r="L1990" s="28"/>
      <c r="M1990" s="28"/>
      <c r="N1990" s="28"/>
      <c r="O1990" s="28"/>
      <c r="P1990" s="28"/>
      <c r="Q1990" s="28"/>
      <c r="R1990" s="28"/>
      <c r="S1990" s="28"/>
    </row>
    <row r="1991" spans="1:19" x14ac:dyDescent="0.25">
      <c r="A1991" s="28"/>
      <c r="B1991" s="28"/>
      <c r="C1991" s="28"/>
      <c r="D1991" s="28"/>
      <c r="E1991" s="28"/>
      <c r="F1991" s="28"/>
      <c r="G1991" s="28"/>
      <c r="H1991" s="28"/>
      <c r="I1991" s="28"/>
      <c r="J1991" s="28"/>
      <c r="K1991" s="28"/>
      <c r="L1991" s="28"/>
      <c r="M1991" s="28"/>
      <c r="N1991" s="28"/>
      <c r="O1991" s="28"/>
      <c r="P1991" s="28"/>
      <c r="Q1991" s="28"/>
      <c r="R1991" s="28"/>
      <c r="S1991" s="28"/>
    </row>
    <row r="1992" spans="1:19" x14ac:dyDescent="0.25">
      <c r="A1992" s="28"/>
      <c r="B1992" s="28"/>
      <c r="C1992" s="28"/>
      <c r="D1992" s="28"/>
      <c r="E1992" s="28"/>
      <c r="F1992" s="28"/>
      <c r="G1992" s="28"/>
      <c r="H1992" s="28"/>
      <c r="I1992" s="28"/>
      <c r="J1992" s="28"/>
      <c r="K1992" s="28"/>
      <c r="L1992" s="28"/>
      <c r="M1992" s="28"/>
      <c r="N1992" s="28"/>
      <c r="O1992" s="28"/>
      <c r="P1992" s="28"/>
      <c r="Q1992" s="28"/>
      <c r="R1992" s="28"/>
      <c r="S1992" s="28"/>
    </row>
    <row r="1993" spans="1:19" x14ac:dyDescent="0.25">
      <c r="A1993" s="28"/>
      <c r="B1993" s="28"/>
      <c r="C1993" s="28"/>
      <c r="D1993" s="28"/>
      <c r="E1993" s="28"/>
      <c r="F1993" s="28"/>
      <c r="G1993" s="28"/>
      <c r="H1993" s="28"/>
      <c r="I1993" s="28"/>
      <c r="J1993" s="28"/>
      <c r="K1993" s="28"/>
      <c r="L1993" s="28"/>
      <c r="M1993" s="28"/>
      <c r="N1993" s="28"/>
      <c r="O1993" s="28"/>
      <c r="P1993" s="28"/>
      <c r="Q1993" s="28"/>
      <c r="R1993" s="28"/>
      <c r="S1993" s="28"/>
    </row>
    <row r="1994" spans="1:19" x14ac:dyDescent="0.25">
      <c r="A1994" s="28"/>
      <c r="B1994" s="28"/>
      <c r="C1994" s="28"/>
      <c r="D1994" s="28"/>
      <c r="E1994" s="28"/>
      <c r="F1994" s="28"/>
      <c r="G1994" s="28"/>
      <c r="H1994" s="28"/>
      <c r="I1994" s="28"/>
      <c r="J1994" s="28"/>
      <c r="K1994" s="28"/>
      <c r="L1994" s="28"/>
      <c r="M1994" s="28"/>
      <c r="N1994" s="28"/>
      <c r="O1994" s="28"/>
      <c r="P1994" s="28"/>
      <c r="Q1994" s="28"/>
      <c r="R1994" s="28"/>
      <c r="S1994" s="28"/>
    </row>
    <row r="1995" spans="1:19" x14ac:dyDescent="0.25">
      <c r="A1995" s="28"/>
      <c r="B1995" s="28"/>
      <c r="C1995" s="28"/>
      <c r="D1995" s="28"/>
      <c r="E1995" s="28"/>
      <c r="F1995" s="28"/>
      <c r="G1995" s="28"/>
      <c r="H1995" s="28"/>
      <c r="I1995" s="28"/>
      <c r="J1995" s="28"/>
      <c r="K1995" s="28"/>
      <c r="L1995" s="28"/>
      <c r="M1995" s="28"/>
      <c r="N1995" s="28"/>
      <c r="O1995" s="28"/>
      <c r="P1995" s="28"/>
      <c r="Q1995" s="28"/>
      <c r="R1995" s="28"/>
      <c r="S1995" s="28"/>
    </row>
    <row r="1996" spans="1:19" x14ac:dyDescent="0.25">
      <c r="A1996" s="28"/>
      <c r="B1996" s="28"/>
      <c r="C1996" s="28"/>
      <c r="D1996" s="28"/>
      <c r="E1996" s="28"/>
      <c r="F1996" s="28"/>
      <c r="G1996" s="28"/>
      <c r="H1996" s="28"/>
      <c r="I1996" s="28"/>
      <c r="J1996" s="28"/>
      <c r="K1996" s="28"/>
      <c r="L1996" s="28"/>
      <c r="M1996" s="28"/>
      <c r="N1996" s="28"/>
      <c r="O1996" s="28"/>
      <c r="P1996" s="28"/>
      <c r="Q1996" s="28"/>
      <c r="R1996" s="28"/>
      <c r="S1996" s="28"/>
    </row>
    <row r="1997" spans="1:19" x14ac:dyDescent="0.25">
      <c r="A1997" s="28"/>
      <c r="B1997" s="28"/>
      <c r="C1997" s="28"/>
      <c r="D1997" s="28"/>
      <c r="E1997" s="28"/>
      <c r="F1997" s="28"/>
      <c r="G1997" s="28"/>
      <c r="H1997" s="28"/>
      <c r="I1997" s="28"/>
      <c r="J1997" s="28"/>
      <c r="K1997" s="28"/>
      <c r="L1997" s="28"/>
      <c r="M1997" s="28"/>
      <c r="N1997" s="28"/>
      <c r="O1997" s="28"/>
      <c r="P1997" s="28"/>
      <c r="Q1997" s="28"/>
      <c r="R1997" s="28"/>
      <c r="S1997" s="28"/>
    </row>
    <row r="1998" spans="1:19" x14ac:dyDescent="0.25">
      <c r="A1998" s="28"/>
      <c r="B1998" s="28"/>
      <c r="C1998" s="28"/>
      <c r="D1998" s="28"/>
      <c r="E1998" s="28"/>
      <c r="F1998" s="28"/>
      <c r="G1998" s="28"/>
      <c r="H1998" s="28"/>
      <c r="I1998" s="28"/>
      <c r="J1998" s="28"/>
      <c r="K1998" s="28"/>
      <c r="L1998" s="28"/>
      <c r="M1998" s="28"/>
      <c r="N1998" s="28"/>
      <c r="O1998" s="28"/>
      <c r="P1998" s="28"/>
      <c r="Q1998" s="28"/>
      <c r="R1998" s="28"/>
      <c r="S1998" s="28"/>
    </row>
    <row r="1999" spans="1:19" x14ac:dyDescent="0.25">
      <c r="A1999" s="28"/>
      <c r="B1999" s="28"/>
      <c r="C1999" s="28"/>
      <c r="D1999" s="28"/>
      <c r="E1999" s="28"/>
      <c r="F1999" s="28"/>
      <c r="G1999" s="28"/>
      <c r="H1999" s="28"/>
      <c r="I1999" s="28"/>
      <c r="J1999" s="28"/>
      <c r="K1999" s="28"/>
      <c r="L1999" s="28"/>
      <c r="M1999" s="28"/>
      <c r="N1999" s="28"/>
      <c r="O1999" s="28"/>
      <c r="P1999" s="28"/>
      <c r="Q1999" s="28"/>
      <c r="R1999" s="28"/>
      <c r="S1999" s="28"/>
    </row>
    <row r="2000" spans="1:19" x14ac:dyDescent="0.25">
      <c r="A2000" s="28"/>
      <c r="B2000" s="28"/>
      <c r="C2000" s="28"/>
      <c r="D2000" s="28"/>
      <c r="E2000" s="28"/>
      <c r="F2000" s="28"/>
      <c r="G2000" s="28"/>
      <c r="H2000" s="28"/>
      <c r="I2000" s="28"/>
      <c r="J2000" s="28"/>
      <c r="K2000" s="28"/>
      <c r="L2000" s="28"/>
      <c r="M2000" s="28"/>
      <c r="N2000" s="28"/>
      <c r="O2000" s="28"/>
      <c r="P2000" s="28"/>
      <c r="Q2000" s="28"/>
      <c r="R2000" s="28"/>
      <c r="S2000" s="28"/>
    </row>
    <row r="2001" spans="1:19" x14ac:dyDescent="0.25">
      <c r="A2001" s="28"/>
      <c r="B2001" s="28"/>
      <c r="C2001" s="28"/>
      <c r="D2001" s="28"/>
      <c r="E2001" s="28"/>
      <c r="F2001" s="28"/>
      <c r="G2001" s="28"/>
      <c r="H2001" s="28"/>
      <c r="I2001" s="28"/>
      <c r="J2001" s="28"/>
      <c r="K2001" s="28"/>
      <c r="L2001" s="28"/>
      <c r="M2001" s="28"/>
      <c r="N2001" s="28"/>
      <c r="O2001" s="28"/>
      <c r="P2001" s="28"/>
      <c r="Q2001" s="28"/>
      <c r="R2001" s="28"/>
      <c r="S2001" s="28"/>
    </row>
    <row r="2002" spans="1:19" x14ac:dyDescent="0.25">
      <c r="A2002" s="28"/>
      <c r="B2002" s="28"/>
      <c r="C2002" s="28"/>
      <c r="D2002" s="28"/>
      <c r="E2002" s="28"/>
      <c r="F2002" s="28"/>
      <c r="G2002" s="28"/>
      <c r="H2002" s="28"/>
      <c r="I2002" s="28"/>
      <c r="J2002" s="28"/>
      <c r="K2002" s="28"/>
      <c r="L2002" s="28"/>
      <c r="M2002" s="28"/>
      <c r="N2002" s="28"/>
      <c r="O2002" s="28"/>
      <c r="P2002" s="28"/>
      <c r="Q2002" s="28"/>
      <c r="R2002" s="28"/>
      <c r="S2002" s="28"/>
    </row>
    <row r="2003" spans="1:19" x14ac:dyDescent="0.25">
      <c r="A2003" s="28"/>
      <c r="B2003" s="28"/>
      <c r="C2003" s="28"/>
      <c r="D2003" s="28"/>
      <c r="E2003" s="28"/>
      <c r="F2003" s="28"/>
      <c r="G2003" s="28"/>
      <c r="H2003" s="28"/>
      <c r="I2003" s="28"/>
      <c r="J2003" s="28"/>
      <c r="K2003" s="28"/>
      <c r="L2003" s="28"/>
      <c r="M2003" s="28"/>
      <c r="N2003" s="28"/>
      <c r="O2003" s="28"/>
      <c r="P2003" s="28"/>
      <c r="Q2003" s="28"/>
      <c r="R2003" s="28"/>
      <c r="S2003" s="28"/>
    </row>
    <row r="2004" spans="1:19" x14ac:dyDescent="0.25">
      <c r="A2004" s="28"/>
      <c r="B2004" s="28"/>
      <c r="C2004" s="28"/>
      <c r="D2004" s="28"/>
      <c r="E2004" s="28"/>
      <c r="F2004" s="28"/>
      <c r="G2004" s="28"/>
      <c r="H2004" s="28"/>
      <c r="I2004" s="28"/>
      <c r="J2004" s="28"/>
      <c r="K2004" s="28"/>
      <c r="L2004" s="28"/>
      <c r="M2004" s="28"/>
      <c r="N2004" s="28"/>
      <c r="O2004" s="28"/>
      <c r="P2004" s="28"/>
      <c r="Q2004" s="28"/>
      <c r="R2004" s="28"/>
      <c r="S2004" s="28"/>
    </row>
    <row r="2005" spans="1:19" x14ac:dyDescent="0.25">
      <c r="A2005" s="28"/>
      <c r="B2005" s="28"/>
      <c r="C2005" s="28"/>
      <c r="D2005" s="28"/>
      <c r="E2005" s="28"/>
      <c r="F2005" s="28"/>
      <c r="G2005" s="28"/>
      <c r="H2005" s="28"/>
      <c r="I2005" s="28"/>
      <c r="J2005" s="28"/>
      <c r="K2005" s="28"/>
      <c r="L2005" s="28"/>
      <c r="M2005" s="28"/>
      <c r="N2005" s="28"/>
      <c r="O2005" s="28"/>
      <c r="P2005" s="28"/>
      <c r="Q2005" s="28"/>
      <c r="R2005" s="28"/>
      <c r="S2005" s="28"/>
    </row>
    <row r="2006" spans="1:19" x14ac:dyDescent="0.25">
      <c r="A2006" s="28"/>
      <c r="B2006" s="28"/>
      <c r="C2006" s="28"/>
      <c r="D2006" s="28"/>
      <c r="E2006" s="28"/>
      <c r="F2006" s="28"/>
      <c r="G2006" s="28"/>
      <c r="H2006" s="28"/>
      <c r="I2006" s="28"/>
      <c r="J2006" s="28"/>
      <c r="K2006" s="28"/>
      <c r="L2006" s="28"/>
      <c r="M2006" s="28"/>
      <c r="N2006" s="28"/>
      <c r="O2006" s="28"/>
      <c r="P2006" s="28"/>
      <c r="Q2006" s="28"/>
      <c r="R2006" s="28"/>
      <c r="S2006" s="28"/>
    </row>
    <row r="2007" spans="1:19" x14ac:dyDescent="0.25">
      <c r="A2007" s="28"/>
      <c r="B2007" s="28"/>
      <c r="C2007" s="28"/>
      <c r="D2007" s="28"/>
      <c r="E2007" s="28"/>
      <c r="F2007" s="28"/>
      <c r="G2007" s="28"/>
      <c r="H2007" s="28"/>
      <c r="I2007" s="28"/>
      <c r="J2007" s="28"/>
      <c r="K2007" s="28"/>
      <c r="L2007" s="28"/>
      <c r="M2007" s="28"/>
      <c r="N2007" s="28"/>
      <c r="O2007" s="28"/>
      <c r="P2007" s="28"/>
      <c r="Q2007" s="28"/>
      <c r="R2007" s="28"/>
      <c r="S2007" s="28"/>
    </row>
    <row r="2008" spans="1:19" x14ac:dyDescent="0.25">
      <c r="A2008" s="28"/>
      <c r="B2008" s="28"/>
      <c r="C2008" s="28"/>
      <c r="D2008" s="28"/>
      <c r="E2008" s="28"/>
      <c r="F2008" s="28"/>
      <c r="G2008" s="28"/>
      <c r="H2008" s="28"/>
      <c r="I2008" s="28"/>
      <c r="J2008" s="28"/>
      <c r="K2008" s="28"/>
      <c r="L2008" s="28"/>
      <c r="M2008" s="28"/>
      <c r="N2008" s="28"/>
      <c r="O2008" s="28"/>
      <c r="P2008" s="28"/>
      <c r="Q2008" s="28"/>
      <c r="R2008" s="28"/>
      <c r="S2008" s="28"/>
    </row>
    <row r="2009" spans="1:19" x14ac:dyDescent="0.25">
      <c r="A2009" s="28"/>
      <c r="B2009" s="28"/>
      <c r="C2009" s="28"/>
      <c r="D2009" s="28"/>
      <c r="E2009" s="28"/>
      <c r="F2009" s="28"/>
      <c r="G2009" s="28"/>
      <c r="H2009" s="28"/>
      <c r="I2009" s="28"/>
      <c r="J2009" s="28"/>
      <c r="K2009" s="28"/>
      <c r="L2009" s="28"/>
      <c r="M2009" s="28"/>
      <c r="N2009" s="28"/>
      <c r="O2009" s="28"/>
      <c r="P2009" s="28"/>
      <c r="Q2009" s="28"/>
      <c r="R2009" s="28"/>
      <c r="S2009" s="28"/>
    </row>
    <row r="2010" spans="1:19" x14ac:dyDescent="0.25">
      <c r="A2010" s="28"/>
      <c r="B2010" s="28"/>
      <c r="C2010" s="28"/>
      <c r="D2010" s="28"/>
      <c r="E2010" s="28"/>
      <c r="F2010" s="28"/>
      <c r="G2010" s="28"/>
      <c r="H2010" s="28"/>
      <c r="I2010" s="28"/>
      <c r="J2010" s="28"/>
      <c r="K2010" s="28"/>
      <c r="L2010" s="28"/>
      <c r="M2010" s="28"/>
      <c r="N2010" s="28"/>
      <c r="O2010" s="28"/>
      <c r="P2010" s="28"/>
      <c r="Q2010" s="28"/>
      <c r="R2010" s="28"/>
      <c r="S2010" s="28"/>
    </row>
    <row r="2011" spans="1:19" x14ac:dyDescent="0.25">
      <c r="A2011" s="28"/>
      <c r="B2011" s="28"/>
      <c r="C2011" s="28"/>
      <c r="D2011" s="28"/>
      <c r="E2011" s="28"/>
      <c r="F2011" s="28"/>
      <c r="G2011" s="28"/>
      <c r="H2011" s="28"/>
      <c r="I2011" s="28"/>
      <c r="J2011" s="28"/>
      <c r="K2011" s="28"/>
      <c r="L2011" s="28"/>
      <c r="M2011" s="28"/>
      <c r="N2011" s="28"/>
      <c r="O2011" s="28"/>
      <c r="P2011" s="28"/>
      <c r="Q2011" s="28"/>
      <c r="R2011" s="28"/>
      <c r="S2011" s="28"/>
    </row>
    <row r="2012" spans="1:19" x14ac:dyDescent="0.25">
      <c r="A2012" s="28"/>
      <c r="B2012" s="28"/>
      <c r="C2012" s="28"/>
      <c r="D2012" s="28"/>
      <c r="E2012" s="28"/>
      <c r="F2012" s="28"/>
      <c r="G2012" s="28"/>
      <c r="H2012" s="28"/>
      <c r="I2012" s="28"/>
      <c r="J2012" s="28"/>
      <c r="K2012" s="28"/>
      <c r="L2012" s="28"/>
      <c r="M2012" s="28"/>
      <c r="N2012" s="28"/>
      <c r="O2012" s="28"/>
      <c r="P2012" s="28"/>
      <c r="Q2012" s="28"/>
      <c r="R2012" s="28"/>
      <c r="S2012" s="28"/>
    </row>
    <row r="2013" spans="1:19" x14ac:dyDescent="0.25">
      <c r="A2013" s="28"/>
      <c r="B2013" s="28"/>
      <c r="C2013" s="28"/>
      <c r="D2013" s="28"/>
      <c r="E2013" s="28"/>
      <c r="F2013" s="28"/>
      <c r="G2013" s="28"/>
      <c r="H2013" s="28"/>
      <c r="I2013" s="28"/>
      <c r="J2013" s="28"/>
      <c r="K2013" s="28"/>
      <c r="L2013" s="28"/>
      <c r="M2013" s="28"/>
      <c r="N2013" s="28"/>
      <c r="O2013" s="28"/>
      <c r="P2013" s="28"/>
      <c r="Q2013" s="28"/>
      <c r="R2013" s="28"/>
      <c r="S2013" s="28"/>
    </row>
    <row r="2014" spans="1:19" x14ac:dyDescent="0.25">
      <c r="A2014" s="28"/>
      <c r="B2014" s="28"/>
      <c r="C2014" s="28"/>
      <c r="D2014" s="28"/>
      <c r="E2014" s="28"/>
      <c r="F2014" s="28"/>
      <c r="G2014" s="28"/>
      <c r="H2014" s="28"/>
      <c r="I2014" s="28"/>
      <c r="J2014" s="28"/>
      <c r="K2014" s="28"/>
      <c r="L2014" s="28"/>
      <c r="M2014" s="28"/>
      <c r="N2014" s="28"/>
      <c r="O2014" s="28"/>
      <c r="P2014" s="28"/>
      <c r="Q2014" s="28"/>
      <c r="R2014" s="28"/>
      <c r="S2014" s="28"/>
    </row>
    <row r="2015" spans="1:19" x14ac:dyDescent="0.25">
      <c r="A2015" s="28"/>
      <c r="B2015" s="28"/>
      <c r="C2015" s="28"/>
      <c r="D2015" s="28"/>
      <c r="E2015" s="28"/>
      <c r="F2015" s="28"/>
      <c r="G2015" s="28"/>
      <c r="H2015" s="28"/>
      <c r="I2015" s="28"/>
      <c r="J2015" s="28"/>
      <c r="K2015" s="28"/>
      <c r="L2015" s="28"/>
      <c r="M2015" s="28"/>
      <c r="N2015" s="28"/>
      <c r="O2015" s="28"/>
      <c r="P2015" s="28"/>
      <c r="Q2015" s="28"/>
      <c r="R2015" s="28"/>
      <c r="S2015" s="28"/>
    </row>
    <row r="2016" spans="1:19" x14ac:dyDescent="0.25">
      <c r="A2016" s="28"/>
      <c r="B2016" s="28"/>
      <c r="C2016" s="28"/>
      <c r="D2016" s="28"/>
      <c r="E2016" s="28"/>
      <c r="F2016" s="28"/>
      <c r="G2016" s="28"/>
      <c r="H2016" s="28"/>
      <c r="I2016" s="28"/>
      <c r="J2016" s="28"/>
      <c r="K2016" s="28"/>
      <c r="L2016" s="28"/>
      <c r="M2016" s="28"/>
      <c r="N2016" s="28"/>
      <c r="O2016" s="28"/>
      <c r="P2016" s="28"/>
      <c r="Q2016" s="28"/>
      <c r="R2016" s="28"/>
      <c r="S2016" s="28"/>
    </row>
    <row r="2017" spans="1:19" x14ac:dyDescent="0.25">
      <c r="A2017" s="28"/>
      <c r="B2017" s="28"/>
      <c r="C2017" s="28"/>
      <c r="D2017" s="28"/>
      <c r="E2017" s="28"/>
      <c r="F2017" s="28"/>
      <c r="G2017" s="28"/>
      <c r="H2017" s="28"/>
      <c r="I2017" s="28"/>
      <c r="J2017" s="28"/>
      <c r="K2017" s="28"/>
      <c r="L2017" s="28"/>
      <c r="M2017" s="28"/>
      <c r="N2017" s="28"/>
      <c r="O2017" s="28"/>
      <c r="P2017" s="28"/>
      <c r="Q2017" s="28"/>
      <c r="R2017" s="28"/>
      <c r="S2017" s="28"/>
    </row>
    <row r="2018" spans="1:19" x14ac:dyDescent="0.25">
      <c r="A2018" s="28"/>
      <c r="B2018" s="28"/>
      <c r="C2018" s="28"/>
      <c r="D2018" s="28"/>
      <c r="E2018" s="28"/>
      <c r="F2018" s="28"/>
      <c r="G2018" s="28"/>
      <c r="H2018" s="28"/>
      <c r="I2018" s="28"/>
      <c r="J2018" s="28"/>
      <c r="K2018" s="28"/>
      <c r="L2018" s="28"/>
      <c r="M2018" s="28"/>
      <c r="N2018" s="28"/>
      <c r="O2018" s="28"/>
      <c r="P2018" s="28"/>
      <c r="Q2018" s="28"/>
      <c r="R2018" s="28"/>
      <c r="S2018" s="28"/>
    </row>
    <row r="2019" spans="1:19" x14ac:dyDescent="0.25">
      <c r="A2019" s="28"/>
      <c r="B2019" s="28"/>
      <c r="C2019" s="28"/>
      <c r="D2019" s="28"/>
      <c r="E2019" s="28"/>
      <c r="F2019" s="28"/>
      <c r="G2019" s="28"/>
      <c r="H2019" s="28"/>
      <c r="I2019" s="28"/>
      <c r="J2019" s="28"/>
      <c r="K2019" s="28"/>
      <c r="L2019" s="28"/>
      <c r="M2019" s="28"/>
      <c r="N2019" s="28"/>
      <c r="O2019" s="28"/>
      <c r="P2019" s="28"/>
      <c r="Q2019" s="28"/>
      <c r="R2019" s="28"/>
      <c r="S2019" s="28"/>
    </row>
    <row r="2020" spans="1:19" x14ac:dyDescent="0.25">
      <c r="A2020" s="28"/>
      <c r="B2020" s="28"/>
      <c r="C2020" s="28"/>
      <c r="D2020" s="28"/>
      <c r="E2020" s="28"/>
      <c r="F2020" s="28"/>
      <c r="G2020" s="28"/>
      <c r="H2020" s="28"/>
      <c r="I2020" s="28"/>
      <c r="J2020" s="28"/>
      <c r="K2020" s="28"/>
      <c r="L2020" s="28"/>
      <c r="M2020" s="28"/>
      <c r="N2020" s="28"/>
      <c r="O2020" s="28"/>
      <c r="P2020" s="28"/>
      <c r="Q2020" s="28"/>
      <c r="R2020" s="28"/>
      <c r="S2020" s="28"/>
    </row>
    <row r="2021" spans="1:19" x14ac:dyDescent="0.25">
      <c r="A2021" s="28"/>
      <c r="B2021" s="28"/>
      <c r="C2021" s="28"/>
      <c r="D2021" s="28"/>
      <c r="E2021" s="28"/>
      <c r="F2021" s="28"/>
      <c r="G2021" s="28"/>
      <c r="H2021" s="28"/>
      <c r="I2021" s="28"/>
      <c r="J2021" s="28"/>
      <c r="K2021" s="28"/>
      <c r="L2021" s="28"/>
      <c r="M2021" s="28"/>
      <c r="N2021" s="28"/>
      <c r="O2021" s="28"/>
      <c r="P2021" s="28"/>
      <c r="Q2021" s="28"/>
      <c r="R2021" s="28"/>
      <c r="S2021" s="28"/>
    </row>
    <row r="2022" spans="1:19" x14ac:dyDescent="0.25">
      <c r="A2022" s="28"/>
      <c r="B2022" s="28"/>
      <c r="C2022" s="28"/>
      <c r="D2022" s="28"/>
      <c r="E2022" s="28"/>
      <c r="F2022" s="28"/>
      <c r="G2022" s="28"/>
      <c r="H2022" s="28"/>
      <c r="I2022" s="28"/>
      <c r="J2022" s="28"/>
      <c r="K2022" s="28"/>
      <c r="L2022" s="28"/>
      <c r="M2022" s="28"/>
      <c r="N2022" s="28"/>
      <c r="O2022" s="28"/>
      <c r="P2022" s="28"/>
      <c r="Q2022" s="28"/>
      <c r="R2022" s="28"/>
      <c r="S2022" s="28"/>
    </row>
    <row r="2023" spans="1:19" x14ac:dyDescent="0.25">
      <c r="A2023" s="28"/>
      <c r="B2023" s="28"/>
      <c r="C2023" s="28"/>
      <c r="D2023" s="28"/>
      <c r="E2023" s="28"/>
      <c r="F2023" s="28"/>
      <c r="G2023" s="28"/>
      <c r="H2023" s="28"/>
      <c r="I2023" s="28"/>
      <c r="J2023" s="28"/>
      <c r="K2023" s="28"/>
      <c r="L2023" s="28"/>
      <c r="M2023" s="28"/>
      <c r="N2023" s="28"/>
      <c r="O2023" s="28"/>
      <c r="P2023" s="28"/>
      <c r="Q2023" s="28"/>
      <c r="R2023" s="28"/>
      <c r="S2023" s="28"/>
    </row>
    <row r="2024" spans="1:19" x14ac:dyDescent="0.25">
      <c r="A2024" s="28"/>
      <c r="B2024" s="28"/>
      <c r="C2024" s="28"/>
      <c r="D2024" s="28"/>
      <c r="E2024" s="28"/>
      <c r="F2024" s="28"/>
      <c r="G2024" s="28"/>
      <c r="H2024" s="28"/>
      <c r="I2024" s="28"/>
      <c r="J2024" s="28"/>
      <c r="K2024" s="28"/>
      <c r="L2024" s="28"/>
      <c r="M2024" s="28"/>
      <c r="N2024" s="28"/>
      <c r="O2024" s="28"/>
      <c r="P2024" s="28"/>
      <c r="Q2024" s="28"/>
      <c r="R2024" s="28"/>
      <c r="S2024" s="28"/>
    </row>
    <row r="2025" spans="1:19" x14ac:dyDescent="0.25">
      <c r="A2025" s="28"/>
      <c r="B2025" s="28"/>
      <c r="C2025" s="28"/>
      <c r="D2025" s="28"/>
      <c r="E2025" s="28"/>
      <c r="F2025" s="28"/>
      <c r="G2025" s="28"/>
      <c r="H2025" s="28"/>
      <c r="I2025" s="28"/>
      <c r="J2025" s="28"/>
      <c r="K2025" s="28"/>
      <c r="L2025" s="28"/>
      <c r="M2025" s="28"/>
      <c r="N2025" s="28"/>
      <c r="O2025" s="28"/>
      <c r="P2025" s="28"/>
      <c r="Q2025" s="28"/>
      <c r="R2025" s="28"/>
      <c r="S2025" s="28"/>
    </row>
    <row r="2026" spans="1:19" x14ac:dyDescent="0.25">
      <c r="A2026" s="28"/>
      <c r="B2026" s="28"/>
      <c r="C2026" s="28"/>
      <c r="D2026" s="28"/>
      <c r="E2026" s="28"/>
      <c r="F2026" s="28"/>
      <c r="G2026" s="28"/>
      <c r="H2026" s="28"/>
      <c r="I2026" s="28"/>
      <c r="J2026" s="28"/>
      <c r="K2026" s="28"/>
      <c r="L2026" s="28"/>
      <c r="M2026" s="28"/>
      <c r="N2026" s="28"/>
      <c r="O2026" s="28"/>
      <c r="P2026" s="28"/>
      <c r="Q2026" s="28"/>
      <c r="R2026" s="28"/>
      <c r="S2026" s="28"/>
    </row>
    <row r="2027" spans="1:19" x14ac:dyDescent="0.25">
      <c r="A2027" s="28"/>
      <c r="B2027" s="28"/>
      <c r="C2027" s="28"/>
      <c r="D2027" s="28"/>
      <c r="E2027" s="28"/>
      <c r="F2027" s="28"/>
      <c r="G2027" s="28"/>
      <c r="H2027" s="28"/>
      <c r="I2027" s="28"/>
      <c r="J2027" s="28"/>
      <c r="K2027" s="28"/>
      <c r="L2027" s="28"/>
      <c r="M2027" s="28"/>
      <c r="N2027" s="28"/>
      <c r="O2027" s="28"/>
      <c r="P2027" s="28"/>
      <c r="Q2027" s="28"/>
      <c r="R2027" s="28"/>
      <c r="S2027" s="28"/>
    </row>
    <row r="2028" spans="1:19" x14ac:dyDescent="0.25">
      <c r="A2028" s="28"/>
      <c r="B2028" s="28"/>
      <c r="C2028" s="28"/>
      <c r="D2028" s="28"/>
      <c r="E2028" s="28"/>
      <c r="F2028" s="28"/>
      <c r="G2028" s="28"/>
      <c r="H2028" s="28"/>
      <c r="I2028" s="28"/>
      <c r="J2028" s="28"/>
      <c r="K2028" s="28"/>
      <c r="L2028" s="28"/>
      <c r="M2028" s="28"/>
      <c r="N2028" s="28"/>
      <c r="O2028" s="28"/>
      <c r="P2028" s="28"/>
      <c r="Q2028" s="28"/>
      <c r="R2028" s="28"/>
      <c r="S2028" s="28"/>
    </row>
    <row r="2029" spans="1:19" x14ac:dyDescent="0.25">
      <c r="A2029" s="28"/>
      <c r="B2029" s="28"/>
      <c r="C2029" s="28"/>
      <c r="D2029" s="28"/>
      <c r="E2029" s="28"/>
      <c r="F2029" s="28"/>
      <c r="G2029" s="28"/>
      <c r="H2029" s="28"/>
      <c r="I2029" s="28"/>
      <c r="J2029" s="28"/>
      <c r="K2029" s="28"/>
      <c r="L2029" s="28"/>
      <c r="M2029" s="28"/>
      <c r="N2029" s="28"/>
      <c r="O2029" s="28"/>
      <c r="P2029" s="28"/>
      <c r="Q2029" s="28"/>
      <c r="R2029" s="28"/>
      <c r="S2029" s="28"/>
    </row>
    <row r="2030" spans="1:19" x14ac:dyDescent="0.25">
      <c r="A2030" s="28"/>
      <c r="B2030" s="28"/>
      <c r="C2030" s="28"/>
      <c r="D2030" s="28"/>
      <c r="E2030" s="28"/>
      <c r="F2030" s="28"/>
      <c r="G2030" s="28"/>
      <c r="H2030" s="28"/>
      <c r="I2030" s="28"/>
      <c r="J2030" s="28"/>
      <c r="K2030" s="28"/>
      <c r="L2030" s="28"/>
      <c r="M2030" s="28"/>
      <c r="N2030" s="28"/>
      <c r="O2030" s="28"/>
      <c r="P2030" s="28"/>
      <c r="Q2030" s="28"/>
      <c r="R2030" s="28"/>
      <c r="S2030" s="28"/>
    </row>
    <row r="2031" spans="1:19" x14ac:dyDescent="0.25">
      <c r="A2031" s="28"/>
      <c r="B2031" s="28"/>
      <c r="C2031" s="28"/>
      <c r="D2031" s="28"/>
      <c r="E2031" s="28"/>
      <c r="F2031" s="28"/>
      <c r="G2031" s="28"/>
      <c r="H2031" s="28"/>
      <c r="I2031" s="28"/>
      <c r="J2031" s="28"/>
      <c r="K2031" s="28"/>
      <c r="L2031" s="28"/>
      <c r="M2031" s="28"/>
      <c r="N2031" s="28"/>
      <c r="O2031" s="28"/>
      <c r="P2031" s="28"/>
      <c r="Q2031" s="28"/>
      <c r="R2031" s="28"/>
      <c r="S2031" s="28"/>
    </row>
    <row r="2032" spans="1:19" x14ac:dyDescent="0.25">
      <c r="A2032" s="28"/>
      <c r="B2032" s="28"/>
      <c r="C2032" s="28"/>
      <c r="D2032" s="28"/>
      <c r="E2032" s="28"/>
      <c r="F2032" s="28"/>
      <c r="G2032" s="28"/>
      <c r="H2032" s="28"/>
      <c r="I2032" s="28"/>
      <c r="J2032" s="28"/>
      <c r="K2032" s="28"/>
      <c r="L2032" s="28"/>
      <c r="M2032" s="28"/>
      <c r="N2032" s="28"/>
      <c r="O2032" s="28"/>
      <c r="P2032" s="28"/>
      <c r="Q2032" s="28"/>
      <c r="R2032" s="28"/>
      <c r="S2032" s="28"/>
    </row>
    <row r="2033" spans="1:19" x14ac:dyDescent="0.25">
      <c r="A2033" s="28"/>
      <c r="B2033" s="28"/>
      <c r="C2033" s="28"/>
      <c r="D2033" s="28"/>
      <c r="E2033" s="28"/>
      <c r="F2033" s="28"/>
      <c r="G2033" s="28"/>
      <c r="H2033" s="28"/>
      <c r="I2033" s="28"/>
      <c r="J2033" s="28"/>
      <c r="K2033" s="28"/>
      <c r="L2033" s="28"/>
      <c r="M2033" s="28"/>
      <c r="N2033" s="28"/>
      <c r="O2033" s="28"/>
      <c r="P2033" s="28"/>
      <c r="Q2033" s="28"/>
      <c r="R2033" s="28"/>
      <c r="S2033" s="28"/>
    </row>
    <row r="2034" spans="1:19" x14ac:dyDescent="0.25">
      <c r="A2034" s="28"/>
      <c r="B2034" s="28"/>
      <c r="C2034" s="28"/>
      <c r="D2034" s="28"/>
      <c r="E2034" s="28"/>
      <c r="F2034" s="28"/>
      <c r="G2034" s="28"/>
      <c r="H2034" s="28"/>
      <c r="I2034" s="28"/>
      <c r="J2034" s="28"/>
      <c r="K2034" s="28"/>
      <c r="L2034" s="28"/>
      <c r="M2034" s="28"/>
      <c r="N2034" s="28"/>
      <c r="O2034" s="28"/>
      <c r="P2034" s="28"/>
      <c r="Q2034" s="28"/>
      <c r="R2034" s="28"/>
      <c r="S2034" s="28"/>
    </row>
    <row r="2035" spans="1:19" x14ac:dyDescent="0.25">
      <c r="A2035" s="28"/>
      <c r="B2035" s="28"/>
      <c r="C2035" s="28"/>
      <c r="D2035" s="28"/>
      <c r="E2035" s="28"/>
      <c r="F2035" s="28"/>
      <c r="G2035" s="28"/>
      <c r="H2035" s="28"/>
      <c r="I2035" s="28"/>
      <c r="J2035" s="28"/>
      <c r="K2035" s="28"/>
      <c r="L2035" s="28"/>
      <c r="M2035" s="28"/>
      <c r="N2035" s="28"/>
      <c r="O2035" s="28"/>
      <c r="P2035" s="28"/>
      <c r="Q2035" s="28"/>
      <c r="R2035" s="28"/>
      <c r="S2035" s="28"/>
    </row>
    <row r="2036" spans="1:19" x14ac:dyDescent="0.25">
      <c r="A2036" s="28"/>
      <c r="B2036" s="28"/>
      <c r="C2036" s="28"/>
      <c r="D2036" s="28"/>
      <c r="E2036" s="28"/>
      <c r="F2036" s="28"/>
      <c r="G2036" s="28"/>
      <c r="H2036" s="28"/>
      <c r="I2036" s="28"/>
      <c r="J2036" s="28"/>
      <c r="K2036" s="28"/>
      <c r="L2036" s="28"/>
      <c r="M2036" s="28"/>
      <c r="N2036" s="28"/>
      <c r="O2036" s="28"/>
      <c r="P2036" s="28"/>
      <c r="Q2036" s="28"/>
      <c r="R2036" s="28"/>
      <c r="S2036" s="28"/>
    </row>
    <row r="2037" spans="1:19" x14ac:dyDescent="0.25">
      <c r="A2037" s="28"/>
      <c r="B2037" s="28"/>
      <c r="C2037" s="28"/>
      <c r="D2037" s="28"/>
      <c r="E2037" s="28"/>
      <c r="F2037" s="28"/>
      <c r="G2037" s="28"/>
      <c r="H2037" s="28"/>
      <c r="I2037" s="28"/>
      <c r="J2037" s="28"/>
      <c r="K2037" s="28"/>
      <c r="L2037" s="28"/>
      <c r="M2037" s="28"/>
      <c r="N2037" s="28"/>
      <c r="O2037" s="28"/>
      <c r="P2037" s="28"/>
      <c r="Q2037" s="28"/>
      <c r="R2037" s="28"/>
      <c r="S2037" s="28"/>
    </row>
    <row r="2038" spans="1:19" x14ac:dyDescent="0.25">
      <c r="A2038" s="28"/>
      <c r="B2038" s="28"/>
      <c r="C2038" s="28"/>
      <c r="D2038" s="28"/>
      <c r="E2038" s="28"/>
      <c r="F2038" s="28"/>
      <c r="G2038" s="28"/>
      <c r="H2038" s="28"/>
      <c r="I2038" s="28"/>
      <c r="J2038" s="28"/>
      <c r="K2038" s="28"/>
      <c r="L2038" s="28"/>
      <c r="M2038" s="28"/>
      <c r="N2038" s="28"/>
      <c r="O2038" s="28"/>
      <c r="P2038" s="28"/>
      <c r="Q2038" s="28"/>
      <c r="R2038" s="28"/>
      <c r="S2038" s="28"/>
    </row>
    <row r="2039" spans="1:19" x14ac:dyDescent="0.25">
      <c r="A2039" s="28"/>
      <c r="B2039" s="28"/>
      <c r="C2039" s="28"/>
      <c r="D2039" s="28"/>
      <c r="E2039" s="28"/>
      <c r="F2039" s="28"/>
      <c r="G2039" s="28"/>
      <c r="H2039" s="28"/>
      <c r="I2039" s="28"/>
      <c r="J2039" s="28"/>
      <c r="K2039" s="28"/>
      <c r="L2039" s="28"/>
      <c r="M2039" s="28"/>
      <c r="N2039" s="28"/>
      <c r="O2039" s="28"/>
      <c r="P2039" s="28"/>
      <c r="Q2039" s="28"/>
      <c r="R2039" s="28"/>
      <c r="S2039" s="28"/>
    </row>
    <row r="2040" spans="1:19" x14ac:dyDescent="0.25">
      <c r="A2040" s="28"/>
      <c r="B2040" s="28"/>
      <c r="C2040" s="28"/>
      <c r="D2040" s="28"/>
      <c r="E2040" s="28"/>
      <c r="F2040" s="28"/>
      <c r="G2040" s="28"/>
      <c r="H2040" s="28"/>
      <c r="I2040" s="28"/>
      <c r="J2040" s="28"/>
      <c r="K2040" s="28"/>
      <c r="L2040" s="28"/>
      <c r="M2040" s="28"/>
      <c r="N2040" s="28"/>
      <c r="O2040" s="28"/>
      <c r="P2040" s="28"/>
      <c r="Q2040" s="28"/>
      <c r="R2040" s="28"/>
      <c r="S2040" s="28"/>
    </row>
    <row r="2041" spans="1:19" x14ac:dyDescent="0.25">
      <c r="A2041" s="28"/>
      <c r="B2041" s="28"/>
      <c r="C2041" s="28"/>
      <c r="D2041" s="28"/>
      <c r="E2041" s="28"/>
      <c r="F2041" s="28"/>
      <c r="G2041" s="28"/>
      <c r="H2041" s="28"/>
      <c r="I2041" s="28"/>
      <c r="J2041" s="28"/>
      <c r="K2041" s="28"/>
      <c r="L2041" s="28"/>
      <c r="M2041" s="28"/>
      <c r="N2041" s="28"/>
      <c r="O2041" s="28"/>
      <c r="P2041" s="28"/>
      <c r="Q2041" s="28"/>
      <c r="R2041" s="28"/>
      <c r="S2041" s="28"/>
    </row>
    <row r="2042" spans="1:19" x14ac:dyDescent="0.25">
      <c r="A2042" s="28"/>
      <c r="B2042" s="28"/>
      <c r="C2042" s="28"/>
      <c r="D2042" s="28"/>
      <c r="E2042" s="28"/>
      <c r="F2042" s="28"/>
      <c r="G2042" s="28"/>
      <c r="H2042" s="28"/>
      <c r="I2042" s="28"/>
      <c r="J2042" s="28"/>
      <c r="K2042" s="28"/>
      <c r="L2042" s="28"/>
      <c r="M2042" s="28"/>
      <c r="N2042" s="28"/>
      <c r="O2042" s="28"/>
      <c r="P2042" s="28"/>
      <c r="Q2042" s="28"/>
      <c r="R2042" s="28"/>
      <c r="S2042" s="28"/>
    </row>
    <row r="2043" spans="1:19" x14ac:dyDescent="0.25">
      <c r="A2043" s="28"/>
      <c r="B2043" s="28"/>
      <c r="C2043" s="28"/>
      <c r="D2043" s="28"/>
      <c r="E2043" s="28"/>
      <c r="F2043" s="28"/>
      <c r="G2043" s="28"/>
      <c r="H2043" s="28"/>
      <c r="I2043" s="28"/>
      <c r="J2043" s="28"/>
      <c r="K2043" s="28"/>
      <c r="L2043" s="28"/>
      <c r="M2043" s="28"/>
      <c r="N2043" s="28"/>
      <c r="O2043" s="28"/>
      <c r="P2043" s="28"/>
      <c r="Q2043" s="28"/>
      <c r="R2043" s="28"/>
      <c r="S2043" s="28"/>
    </row>
    <row r="2044" spans="1:19" x14ac:dyDescent="0.25">
      <c r="A2044" s="28"/>
      <c r="B2044" s="28"/>
      <c r="C2044" s="28"/>
      <c r="D2044" s="28"/>
      <c r="E2044" s="28"/>
      <c r="F2044" s="28"/>
      <c r="G2044" s="28"/>
      <c r="H2044" s="28"/>
      <c r="I2044" s="28"/>
      <c r="J2044" s="28"/>
      <c r="K2044" s="28"/>
      <c r="L2044" s="28"/>
      <c r="M2044" s="28"/>
      <c r="N2044" s="28"/>
      <c r="O2044" s="28"/>
      <c r="P2044" s="28"/>
      <c r="Q2044" s="28"/>
      <c r="R2044" s="28"/>
      <c r="S2044" s="28"/>
    </row>
    <row r="2045" spans="1:19" x14ac:dyDescent="0.25">
      <c r="A2045" s="28"/>
      <c r="B2045" s="28"/>
      <c r="C2045" s="28"/>
      <c r="D2045" s="28"/>
      <c r="E2045" s="28"/>
      <c r="F2045" s="28"/>
      <c r="G2045" s="28"/>
      <c r="H2045" s="28"/>
      <c r="I2045" s="28"/>
      <c r="J2045" s="28"/>
      <c r="K2045" s="28"/>
      <c r="L2045" s="28"/>
      <c r="M2045" s="28"/>
      <c r="N2045" s="28"/>
      <c r="O2045" s="28"/>
      <c r="P2045" s="28"/>
      <c r="Q2045" s="28"/>
      <c r="R2045" s="28"/>
      <c r="S2045" s="28"/>
    </row>
    <row r="2046" spans="1:19" x14ac:dyDescent="0.25">
      <c r="A2046" s="28"/>
      <c r="B2046" s="28"/>
      <c r="C2046" s="28"/>
      <c r="D2046" s="28"/>
      <c r="E2046" s="28"/>
      <c r="F2046" s="28"/>
      <c r="G2046" s="28"/>
      <c r="H2046" s="28"/>
      <c r="I2046" s="28"/>
      <c r="J2046" s="28"/>
      <c r="K2046" s="28"/>
      <c r="L2046" s="28"/>
      <c r="M2046" s="28"/>
      <c r="N2046" s="28"/>
      <c r="O2046" s="28"/>
      <c r="P2046" s="28"/>
      <c r="Q2046" s="28"/>
      <c r="R2046" s="28"/>
      <c r="S2046" s="28"/>
    </row>
    <row r="2047" spans="1:19" x14ac:dyDescent="0.25">
      <c r="A2047" s="28"/>
      <c r="B2047" s="28"/>
      <c r="C2047" s="28"/>
      <c r="D2047" s="28"/>
      <c r="E2047" s="28"/>
      <c r="F2047" s="28"/>
      <c r="G2047" s="28"/>
      <c r="H2047" s="28"/>
      <c r="I2047" s="28"/>
      <c r="J2047" s="28"/>
      <c r="K2047" s="28"/>
      <c r="L2047" s="28"/>
      <c r="M2047" s="28"/>
      <c r="N2047" s="28"/>
      <c r="O2047" s="28"/>
      <c r="P2047" s="28"/>
      <c r="Q2047" s="28"/>
      <c r="R2047" s="28"/>
      <c r="S2047" s="28"/>
    </row>
    <row r="2048" spans="1:19" x14ac:dyDescent="0.25">
      <c r="A2048" s="28"/>
      <c r="B2048" s="28"/>
      <c r="C2048" s="28"/>
      <c r="D2048" s="28"/>
      <c r="E2048" s="28"/>
      <c r="F2048" s="28"/>
      <c r="G2048" s="28"/>
      <c r="H2048" s="28"/>
      <c r="I2048" s="28"/>
      <c r="J2048" s="28"/>
      <c r="K2048" s="28"/>
      <c r="L2048" s="28"/>
      <c r="M2048" s="28"/>
      <c r="N2048" s="28"/>
      <c r="O2048" s="28"/>
      <c r="P2048" s="28"/>
      <c r="Q2048" s="28"/>
      <c r="R2048" s="28"/>
      <c r="S2048" s="28"/>
    </row>
    <row r="2049" spans="1:19" x14ac:dyDescent="0.25">
      <c r="A2049" s="28"/>
      <c r="B2049" s="28"/>
      <c r="C2049" s="28"/>
      <c r="D2049" s="28"/>
      <c r="E2049" s="28"/>
      <c r="F2049" s="28"/>
      <c r="G2049" s="28"/>
      <c r="H2049" s="28"/>
      <c r="I2049" s="28"/>
      <c r="J2049" s="28"/>
      <c r="K2049" s="28"/>
      <c r="L2049" s="28"/>
      <c r="M2049" s="28"/>
      <c r="N2049" s="28"/>
      <c r="O2049" s="28"/>
      <c r="P2049" s="28"/>
      <c r="Q2049" s="28"/>
      <c r="R2049" s="28"/>
      <c r="S2049" s="28"/>
    </row>
    <row r="2050" spans="1:19" x14ac:dyDescent="0.25">
      <c r="A2050" s="28"/>
      <c r="B2050" s="28"/>
      <c r="C2050" s="28"/>
      <c r="D2050" s="28"/>
      <c r="E2050" s="28"/>
      <c r="F2050" s="28"/>
      <c r="G2050" s="28"/>
      <c r="H2050" s="28"/>
      <c r="I2050" s="28"/>
      <c r="J2050" s="28"/>
      <c r="K2050" s="28"/>
      <c r="L2050" s="28"/>
      <c r="M2050" s="28"/>
      <c r="N2050" s="28"/>
      <c r="O2050" s="28"/>
      <c r="P2050" s="28"/>
      <c r="Q2050" s="28"/>
      <c r="R2050" s="28"/>
      <c r="S2050" s="28"/>
    </row>
    <row r="2051" spans="1:19" x14ac:dyDescent="0.25">
      <c r="A2051" s="28"/>
      <c r="B2051" s="28"/>
      <c r="C2051" s="28"/>
      <c r="D2051" s="28"/>
      <c r="E2051" s="28"/>
      <c r="F2051" s="28"/>
      <c r="G2051" s="28"/>
      <c r="H2051" s="28"/>
      <c r="I2051" s="28"/>
      <c r="J2051" s="28"/>
      <c r="K2051" s="28"/>
      <c r="L2051" s="28"/>
      <c r="M2051" s="28"/>
      <c r="N2051" s="28"/>
      <c r="O2051" s="28"/>
      <c r="P2051" s="28"/>
      <c r="Q2051" s="28"/>
      <c r="R2051" s="28"/>
      <c r="S2051" s="28"/>
    </row>
    <row r="2052" spans="1:19" x14ac:dyDescent="0.25">
      <c r="A2052" s="28"/>
      <c r="B2052" s="28"/>
      <c r="C2052" s="28"/>
      <c r="D2052" s="28"/>
      <c r="E2052" s="28"/>
      <c r="F2052" s="28"/>
      <c r="G2052" s="28"/>
      <c r="H2052" s="28"/>
      <c r="I2052" s="28"/>
      <c r="J2052" s="28"/>
      <c r="K2052" s="28"/>
      <c r="L2052" s="28"/>
      <c r="M2052" s="28"/>
      <c r="N2052" s="28"/>
      <c r="O2052" s="28"/>
      <c r="P2052" s="28"/>
      <c r="Q2052" s="28"/>
      <c r="R2052" s="28"/>
      <c r="S2052" s="28"/>
    </row>
    <row r="2053" spans="1:19" x14ac:dyDescent="0.25">
      <c r="A2053" s="28"/>
      <c r="B2053" s="28"/>
      <c r="C2053" s="28"/>
      <c r="D2053" s="28"/>
      <c r="E2053" s="28"/>
      <c r="F2053" s="28"/>
      <c r="G2053" s="28"/>
      <c r="H2053" s="28"/>
      <c r="I2053" s="28"/>
      <c r="J2053" s="28"/>
      <c r="K2053" s="28"/>
      <c r="L2053" s="28"/>
      <c r="M2053" s="28"/>
      <c r="N2053" s="28"/>
      <c r="O2053" s="28"/>
      <c r="P2053" s="28"/>
      <c r="Q2053" s="28"/>
      <c r="R2053" s="28"/>
      <c r="S2053" s="28"/>
    </row>
    <row r="2054" spans="1:19" x14ac:dyDescent="0.25">
      <c r="A2054" s="28"/>
      <c r="B2054" s="28"/>
      <c r="C2054" s="28"/>
      <c r="D2054" s="28"/>
      <c r="E2054" s="28"/>
      <c r="F2054" s="28"/>
      <c r="G2054" s="28"/>
      <c r="H2054" s="28"/>
      <c r="I2054" s="28"/>
      <c r="J2054" s="28"/>
      <c r="K2054" s="28"/>
      <c r="L2054" s="28"/>
      <c r="M2054" s="28"/>
      <c r="N2054" s="28"/>
      <c r="O2054" s="28"/>
      <c r="P2054" s="28"/>
      <c r="Q2054" s="28"/>
      <c r="R2054" s="28"/>
      <c r="S2054" s="28"/>
    </row>
    <row r="2055" spans="1:19" x14ac:dyDescent="0.25">
      <c r="A2055" s="28"/>
      <c r="B2055" s="28"/>
      <c r="C2055" s="28"/>
      <c r="D2055" s="28"/>
      <c r="E2055" s="28"/>
      <c r="F2055" s="28"/>
      <c r="G2055" s="28"/>
      <c r="H2055" s="28"/>
      <c r="I2055" s="28"/>
      <c r="J2055" s="28"/>
      <c r="K2055" s="28"/>
      <c r="L2055" s="28"/>
      <c r="M2055" s="28"/>
      <c r="N2055" s="28"/>
      <c r="O2055" s="28"/>
      <c r="P2055" s="28"/>
      <c r="Q2055" s="28"/>
      <c r="R2055" s="28"/>
      <c r="S2055" s="28"/>
    </row>
    <row r="2056" spans="1:19" x14ac:dyDescent="0.25">
      <c r="A2056" s="28"/>
      <c r="B2056" s="28"/>
      <c r="C2056" s="28"/>
      <c r="D2056" s="28"/>
      <c r="E2056" s="28"/>
      <c r="F2056" s="28"/>
      <c r="G2056" s="28"/>
      <c r="H2056" s="28"/>
      <c r="I2056" s="28"/>
      <c r="J2056" s="28"/>
      <c r="K2056" s="28"/>
      <c r="L2056" s="28"/>
      <c r="M2056" s="28"/>
      <c r="N2056" s="28"/>
      <c r="O2056" s="28"/>
      <c r="P2056" s="28"/>
      <c r="Q2056" s="28"/>
      <c r="R2056" s="28"/>
      <c r="S2056" s="28"/>
    </row>
    <row r="2057" spans="1:19" x14ac:dyDescent="0.25">
      <c r="A2057" s="28"/>
      <c r="B2057" s="28"/>
      <c r="C2057" s="28"/>
      <c r="D2057" s="28"/>
      <c r="E2057" s="28"/>
      <c r="F2057" s="28"/>
      <c r="G2057" s="28"/>
      <c r="H2057" s="28"/>
      <c r="I2057" s="28"/>
      <c r="J2057" s="28"/>
      <c r="K2057" s="28"/>
      <c r="L2057" s="28"/>
      <c r="M2057" s="28"/>
      <c r="N2057" s="28"/>
      <c r="O2057" s="28"/>
      <c r="P2057" s="28"/>
      <c r="Q2057" s="28"/>
      <c r="R2057" s="28"/>
      <c r="S2057" s="28"/>
    </row>
    <row r="2058" spans="1:19" x14ac:dyDescent="0.25">
      <c r="A2058" s="28"/>
      <c r="B2058" s="28"/>
      <c r="C2058" s="28"/>
      <c r="D2058" s="28"/>
      <c r="E2058" s="28"/>
      <c r="F2058" s="28"/>
      <c r="G2058" s="28"/>
      <c r="H2058" s="28"/>
      <c r="I2058" s="28"/>
      <c r="J2058" s="28"/>
      <c r="K2058" s="28"/>
      <c r="L2058" s="28"/>
      <c r="M2058" s="28"/>
      <c r="N2058" s="28"/>
      <c r="O2058" s="28"/>
      <c r="P2058" s="28"/>
      <c r="Q2058" s="28"/>
      <c r="R2058" s="28"/>
      <c r="S2058" s="28"/>
    </row>
    <row r="2059" spans="1:19" x14ac:dyDescent="0.25">
      <c r="A2059" s="28"/>
      <c r="B2059" s="28"/>
      <c r="C2059" s="28"/>
      <c r="D2059" s="28"/>
      <c r="E2059" s="28"/>
      <c r="F2059" s="28"/>
      <c r="G2059" s="28"/>
      <c r="H2059" s="28"/>
      <c r="I2059" s="28"/>
      <c r="J2059" s="28"/>
      <c r="K2059" s="28"/>
      <c r="L2059" s="28"/>
      <c r="M2059" s="28"/>
      <c r="N2059" s="28"/>
      <c r="O2059" s="28"/>
      <c r="P2059" s="28"/>
      <c r="Q2059" s="28"/>
      <c r="R2059" s="28"/>
      <c r="S2059" s="28"/>
    </row>
    <row r="2060" spans="1:19" x14ac:dyDescent="0.25">
      <c r="A2060" s="28"/>
      <c r="B2060" s="28"/>
      <c r="C2060" s="28"/>
      <c r="D2060" s="28"/>
      <c r="E2060" s="28"/>
      <c r="F2060" s="28"/>
      <c r="G2060" s="28"/>
      <c r="H2060" s="28"/>
      <c r="I2060" s="28"/>
      <c r="J2060" s="28"/>
      <c r="K2060" s="28"/>
      <c r="L2060" s="28"/>
      <c r="M2060" s="28"/>
      <c r="N2060" s="28"/>
      <c r="O2060" s="28"/>
      <c r="P2060" s="28"/>
      <c r="Q2060" s="28"/>
      <c r="R2060" s="28"/>
      <c r="S2060" s="28"/>
    </row>
    <row r="2061" spans="1:19" x14ac:dyDescent="0.25">
      <c r="A2061" s="28"/>
      <c r="B2061" s="28"/>
      <c r="C2061" s="28"/>
      <c r="D2061" s="28"/>
      <c r="E2061" s="28"/>
      <c r="F2061" s="28"/>
      <c r="G2061" s="28"/>
      <c r="H2061" s="28"/>
      <c r="I2061" s="28"/>
      <c r="J2061" s="28"/>
      <c r="K2061" s="28"/>
      <c r="L2061" s="28"/>
      <c r="M2061" s="28"/>
      <c r="N2061" s="28"/>
      <c r="O2061" s="28"/>
      <c r="P2061" s="28"/>
      <c r="Q2061" s="28"/>
      <c r="R2061" s="28"/>
      <c r="S2061" s="28"/>
    </row>
    <row r="2062" spans="1:19" x14ac:dyDescent="0.25">
      <c r="A2062" s="28"/>
      <c r="B2062" s="28"/>
      <c r="C2062" s="28"/>
      <c r="D2062" s="28"/>
      <c r="E2062" s="28"/>
      <c r="F2062" s="28"/>
      <c r="G2062" s="28"/>
      <c r="H2062" s="28"/>
      <c r="I2062" s="28"/>
      <c r="J2062" s="28"/>
      <c r="K2062" s="28"/>
      <c r="L2062" s="28"/>
      <c r="M2062" s="28"/>
      <c r="N2062" s="28"/>
      <c r="O2062" s="28"/>
      <c r="P2062" s="28"/>
      <c r="Q2062" s="28"/>
      <c r="R2062" s="28"/>
      <c r="S2062" s="28"/>
    </row>
    <row r="2063" spans="1:19" x14ac:dyDescent="0.25">
      <c r="A2063" s="28"/>
      <c r="B2063" s="28"/>
      <c r="C2063" s="28"/>
      <c r="D2063" s="28"/>
      <c r="E2063" s="28"/>
      <c r="F2063" s="28"/>
      <c r="G2063" s="28"/>
      <c r="H2063" s="28"/>
      <c r="I2063" s="28"/>
      <c r="J2063" s="28"/>
      <c r="K2063" s="28"/>
      <c r="L2063" s="28"/>
      <c r="M2063" s="28"/>
      <c r="N2063" s="28"/>
      <c r="O2063" s="28"/>
      <c r="P2063" s="28"/>
      <c r="Q2063" s="28"/>
      <c r="R2063" s="28"/>
      <c r="S2063" s="28"/>
    </row>
    <row r="2064" spans="1:19" x14ac:dyDescent="0.25">
      <c r="A2064" s="28"/>
      <c r="B2064" s="28"/>
      <c r="C2064" s="28"/>
      <c r="D2064" s="28"/>
      <c r="E2064" s="28"/>
      <c r="F2064" s="28"/>
      <c r="G2064" s="28"/>
      <c r="H2064" s="28"/>
      <c r="I2064" s="28"/>
      <c r="J2064" s="28"/>
      <c r="K2064" s="28"/>
      <c r="L2064" s="28"/>
      <c r="M2064" s="28"/>
      <c r="N2064" s="28"/>
      <c r="O2064" s="28"/>
      <c r="P2064" s="28"/>
      <c r="Q2064" s="28"/>
      <c r="R2064" s="28"/>
      <c r="S2064" s="28"/>
    </row>
    <row r="2065" spans="1:19" x14ac:dyDescent="0.25">
      <c r="A2065" s="28"/>
      <c r="B2065" s="28"/>
      <c r="C2065" s="28"/>
      <c r="D2065" s="28"/>
      <c r="E2065" s="28"/>
      <c r="F2065" s="28"/>
      <c r="G2065" s="28"/>
      <c r="H2065" s="28"/>
      <c r="I2065" s="28"/>
      <c r="J2065" s="28"/>
      <c r="K2065" s="28"/>
      <c r="L2065" s="28"/>
      <c r="M2065" s="28"/>
      <c r="N2065" s="28"/>
      <c r="O2065" s="28"/>
      <c r="P2065" s="28"/>
      <c r="Q2065" s="28"/>
      <c r="R2065" s="28"/>
      <c r="S2065" s="28"/>
    </row>
    <row r="2066" spans="1:19" x14ac:dyDescent="0.25">
      <c r="A2066" s="28"/>
      <c r="B2066" s="28"/>
      <c r="C2066" s="28"/>
      <c r="D2066" s="28"/>
      <c r="E2066" s="28"/>
      <c r="F2066" s="28"/>
      <c r="G2066" s="28"/>
      <c r="H2066" s="28"/>
      <c r="I2066" s="28"/>
      <c r="J2066" s="28"/>
      <c r="K2066" s="28"/>
      <c r="L2066" s="28"/>
      <c r="M2066" s="28"/>
      <c r="N2066" s="28"/>
      <c r="O2066" s="28"/>
      <c r="P2066" s="28"/>
      <c r="Q2066" s="28"/>
      <c r="R2066" s="28"/>
      <c r="S2066" s="28"/>
    </row>
    <row r="2067" spans="1:19" x14ac:dyDescent="0.25">
      <c r="A2067" s="28"/>
      <c r="B2067" s="28"/>
      <c r="C2067" s="28"/>
      <c r="D2067" s="28"/>
      <c r="E2067" s="28"/>
      <c r="F2067" s="28"/>
      <c r="G2067" s="28"/>
      <c r="H2067" s="28"/>
      <c r="I2067" s="28"/>
      <c r="J2067" s="28"/>
      <c r="K2067" s="28"/>
      <c r="L2067" s="28"/>
      <c r="M2067" s="28"/>
      <c r="N2067" s="28"/>
      <c r="O2067" s="28"/>
      <c r="P2067" s="28"/>
      <c r="Q2067" s="28"/>
      <c r="R2067" s="28"/>
      <c r="S2067" s="28"/>
    </row>
    <row r="2068" spans="1:19" x14ac:dyDescent="0.25">
      <c r="A2068" s="28"/>
      <c r="B2068" s="28"/>
      <c r="C2068" s="28"/>
      <c r="D2068" s="28"/>
      <c r="E2068" s="28"/>
      <c r="F2068" s="28"/>
      <c r="G2068" s="28"/>
      <c r="H2068" s="28"/>
      <c r="I2068" s="28"/>
      <c r="J2068" s="28"/>
      <c r="K2068" s="28"/>
      <c r="L2068" s="28"/>
      <c r="M2068" s="28"/>
      <c r="N2068" s="28"/>
      <c r="O2068" s="28"/>
      <c r="P2068" s="28"/>
      <c r="Q2068" s="28"/>
      <c r="R2068" s="28"/>
      <c r="S2068" s="28"/>
    </row>
    <row r="2069" spans="1:19" x14ac:dyDescent="0.25">
      <c r="A2069" s="28"/>
      <c r="B2069" s="28"/>
      <c r="C2069" s="28"/>
      <c r="D2069" s="28"/>
      <c r="E2069" s="28"/>
      <c r="F2069" s="28"/>
      <c r="G2069" s="28"/>
      <c r="H2069" s="28"/>
      <c r="I2069" s="28"/>
      <c r="J2069" s="28"/>
      <c r="K2069" s="28"/>
      <c r="L2069" s="28"/>
      <c r="M2069" s="28"/>
      <c r="N2069" s="28"/>
      <c r="O2069" s="28"/>
      <c r="P2069" s="28"/>
      <c r="Q2069" s="28"/>
      <c r="R2069" s="28"/>
      <c r="S2069" s="28"/>
    </row>
    <row r="2070" spans="1:19" x14ac:dyDescent="0.25">
      <c r="A2070" s="28"/>
      <c r="B2070" s="28"/>
      <c r="C2070" s="28"/>
      <c r="D2070" s="28"/>
      <c r="E2070" s="28"/>
      <c r="F2070" s="28"/>
      <c r="G2070" s="28"/>
      <c r="H2070" s="28"/>
      <c r="I2070" s="28"/>
      <c r="J2070" s="28"/>
      <c r="K2070" s="28"/>
      <c r="L2070" s="28"/>
      <c r="M2070" s="28"/>
      <c r="N2070" s="28"/>
      <c r="O2070" s="28"/>
      <c r="P2070" s="28"/>
      <c r="Q2070" s="28"/>
      <c r="R2070" s="28"/>
      <c r="S2070" s="28"/>
    </row>
    <row r="2071" spans="1:19" x14ac:dyDescent="0.25">
      <c r="A2071" s="28"/>
      <c r="B2071" s="28"/>
      <c r="C2071" s="28"/>
      <c r="D2071" s="28"/>
      <c r="E2071" s="28"/>
      <c r="F2071" s="28"/>
      <c r="G2071" s="28"/>
      <c r="H2071" s="28"/>
      <c r="I2071" s="28"/>
      <c r="J2071" s="28"/>
      <c r="K2071" s="28"/>
      <c r="L2071" s="28"/>
      <c r="M2071" s="28"/>
      <c r="N2071" s="28"/>
      <c r="O2071" s="28"/>
      <c r="P2071" s="28"/>
      <c r="Q2071" s="28"/>
      <c r="R2071" s="28"/>
      <c r="S2071" s="28"/>
    </row>
    <row r="2072" spans="1:19" x14ac:dyDescent="0.25">
      <c r="A2072" s="28"/>
      <c r="B2072" s="28"/>
      <c r="C2072" s="28"/>
      <c r="D2072" s="28"/>
      <c r="E2072" s="28"/>
      <c r="F2072" s="28"/>
      <c r="G2072" s="28"/>
      <c r="H2072" s="28"/>
      <c r="I2072" s="28"/>
      <c r="J2072" s="28"/>
      <c r="K2072" s="28"/>
      <c r="L2072" s="28"/>
      <c r="M2072" s="28"/>
      <c r="N2072" s="28"/>
      <c r="O2072" s="28"/>
      <c r="P2072" s="28"/>
      <c r="Q2072" s="28"/>
      <c r="R2072" s="28"/>
      <c r="S2072" s="28"/>
    </row>
    <row r="2073" spans="1:19" x14ac:dyDescent="0.25">
      <c r="A2073" s="28"/>
      <c r="B2073" s="28"/>
      <c r="C2073" s="28"/>
      <c r="D2073" s="28"/>
      <c r="E2073" s="28"/>
      <c r="F2073" s="28"/>
      <c r="G2073" s="28"/>
      <c r="H2073" s="28"/>
      <c r="I2073" s="28"/>
      <c r="J2073" s="28"/>
      <c r="K2073" s="28"/>
      <c r="L2073" s="28"/>
      <c r="M2073" s="28"/>
      <c r="N2073" s="28"/>
      <c r="O2073" s="28"/>
      <c r="P2073" s="28"/>
      <c r="Q2073" s="28"/>
      <c r="R2073" s="28"/>
      <c r="S2073" s="28"/>
    </row>
    <row r="2074" spans="1:19" x14ac:dyDescent="0.25">
      <c r="A2074" s="28"/>
      <c r="B2074" s="28"/>
      <c r="C2074" s="28"/>
      <c r="D2074" s="28"/>
      <c r="E2074" s="28"/>
      <c r="F2074" s="28"/>
      <c r="G2074" s="28"/>
      <c r="H2074" s="28"/>
      <c r="I2074" s="28"/>
      <c r="J2074" s="28"/>
      <c r="K2074" s="28"/>
      <c r="L2074" s="28"/>
      <c r="M2074" s="28"/>
      <c r="N2074" s="28"/>
      <c r="O2074" s="28"/>
      <c r="P2074" s="28"/>
      <c r="Q2074" s="28"/>
      <c r="R2074" s="28"/>
      <c r="S2074" s="28"/>
    </row>
    <row r="2075" spans="1:19" x14ac:dyDescent="0.25">
      <c r="A2075" s="28"/>
      <c r="B2075" s="28"/>
      <c r="C2075" s="28"/>
      <c r="D2075" s="28"/>
      <c r="E2075" s="28"/>
      <c r="F2075" s="28"/>
      <c r="G2075" s="28"/>
      <c r="H2075" s="28"/>
      <c r="I2075" s="28"/>
      <c r="J2075" s="28"/>
      <c r="K2075" s="28"/>
      <c r="L2075" s="28"/>
      <c r="M2075" s="28"/>
      <c r="N2075" s="28"/>
      <c r="O2075" s="28"/>
      <c r="P2075" s="28"/>
      <c r="Q2075" s="28"/>
      <c r="R2075" s="28"/>
      <c r="S2075" s="28"/>
    </row>
    <row r="2076" spans="1:19" x14ac:dyDescent="0.25">
      <c r="A2076" s="28"/>
      <c r="B2076" s="28"/>
      <c r="C2076" s="28"/>
      <c r="D2076" s="28"/>
      <c r="E2076" s="28"/>
      <c r="F2076" s="28"/>
      <c r="G2076" s="28"/>
      <c r="H2076" s="28"/>
      <c r="I2076" s="28"/>
      <c r="J2076" s="28"/>
      <c r="K2076" s="28"/>
      <c r="L2076" s="28"/>
      <c r="M2076" s="28"/>
      <c r="N2076" s="28"/>
      <c r="O2076" s="28"/>
      <c r="P2076" s="28"/>
      <c r="Q2076" s="28"/>
      <c r="R2076" s="28"/>
      <c r="S2076" s="28"/>
    </row>
    <row r="2077" spans="1:19" x14ac:dyDescent="0.25">
      <c r="A2077" s="28"/>
      <c r="B2077" s="28"/>
      <c r="C2077" s="28"/>
      <c r="D2077" s="28"/>
      <c r="E2077" s="28"/>
      <c r="F2077" s="28"/>
      <c r="G2077" s="28"/>
      <c r="H2077" s="28"/>
      <c r="I2077" s="28"/>
      <c r="J2077" s="28"/>
      <c r="K2077" s="28"/>
      <c r="L2077" s="28"/>
      <c r="M2077" s="28"/>
      <c r="N2077" s="28"/>
      <c r="O2077" s="28"/>
      <c r="P2077" s="28"/>
      <c r="Q2077" s="28"/>
      <c r="R2077" s="28"/>
      <c r="S2077" s="28"/>
    </row>
    <row r="2078" spans="1:19" x14ac:dyDescent="0.25">
      <c r="A2078" s="28"/>
      <c r="B2078" s="28"/>
      <c r="C2078" s="28"/>
      <c r="D2078" s="28"/>
      <c r="E2078" s="28"/>
      <c r="F2078" s="28"/>
      <c r="G2078" s="28"/>
      <c r="H2078" s="28"/>
      <c r="I2078" s="28"/>
      <c r="J2078" s="28"/>
      <c r="K2078" s="28"/>
      <c r="L2078" s="28"/>
      <c r="M2078" s="28"/>
      <c r="N2078" s="28"/>
      <c r="O2078" s="28"/>
      <c r="P2078" s="28"/>
      <c r="Q2078" s="28"/>
      <c r="R2078" s="28"/>
      <c r="S2078" s="28"/>
    </row>
    <row r="2079" spans="1:19" x14ac:dyDescent="0.25">
      <c r="A2079" s="28"/>
      <c r="B2079" s="28"/>
      <c r="C2079" s="28"/>
      <c r="D2079" s="28"/>
      <c r="E2079" s="28"/>
      <c r="F2079" s="28"/>
      <c r="G2079" s="28"/>
      <c r="H2079" s="28"/>
      <c r="I2079" s="28"/>
      <c r="J2079" s="28"/>
      <c r="K2079" s="28"/>
      <c r="L2079" s="28"/>
      <c r="M2079" s="28"/>
      <c r="N2079" s="28"/>
      <c r="O2079" s="28"/>
      <c r="P2079" s="28"/>
      <c r="Q2079" s="28"/>
      <c r="R2079" s="28"/>
      <c r="S2079" s="28"/>
    </row>
    <row r="2080" spans="1:19" x14ac:dyDescent="0.25">
      <c r="A2080" s="28"/>
      <c r="B2080" s="28"/>
      <c r="C2080" s="28"/>
      <c r="D2080" s="28"/>
      <c r="E2080" s="28"/>
      <c r="F2080" s="28"/>
      <c r="G2080" s="28"/>
      <c r="H2080" s="28"/>
      <c r="I2080" s="28"/>
      <c r="J2080" s="28"/>
      <c r="K2080" s="28"/>
      <c r="L2080" s="28"/>
      <c r="M2080" s="28"/>
      <c r="N2080" s="28"/>
      <c r="O2080" s="28"/>
      <c r="P2080" s="28"/>
      <c r="Q2080" s="28"/>
      <c r="R2080" s="28"/>
      <c r="S2080" s="28"/>
    </row>
    <row r="2081" spans="1:19" x14ac:dyDescent="0.25">
      <c r="A2081" s="28"/>
      <c r="B2081" s="28"/>
      <c r="C2081" s="28"/>
      <c r="D2081" s="28"/>
      <c r="E2081" s="28"/>
      <c r="F2081" s="28"/>
      <c r="G2081" s="28"/>
      <c r="H2081" s="28"/>
      <c r="I2081" s="28"/>
      <c r="J2081" s="28"/>
      <c r="K2081" s="28"/>
      <c r="L2081" s="28"/>
      <c r="M2081" s="28"/>
      <c r="N2081" s="28"/>
      <c r="O2081" s="28"/>
      <c r="P2081" s="28"/>
      <c r="Q2081" s="28"/>
      <c r="R2081" s="28"/>
      <c r="S2081" s="28"/>
    </row>
    <row r="2082" spans="1:19" x14ac:dyDescent="0.25">
      <c r="A2082" s="28"/>
      <c r="B2082" s="28"/>
      <c r="C2082" s="28"/>
      <c r="D2082" s="28"/>
      <c r="E2082" s="28"/>
      <c r="F2082" s="28"/>
      <c r="G2082" s="28"/>
      <c r="H2082" s="28"/>
      <c r="I2082" s="28"/>
      <c r="J2082" s="28"/>
      <c r="K2082" s="28"/>
      <c r="L2082" s="28"/>
      <c r="M2082" s="28"/>
      <c r="N2082" s="28"/>
      <c r="O2082" s="28"/>
      <c r="P2082" s="28"/>
      <c r="Q2082" s="28"/>
      <c r="R2082" s="28"/>
      <c r="S2082" s="28"/>
    </row>
    <row r="2083" spans="1:19" x14ac:dyDescent="0.25">
      <c r="A2083" s="28"/>
      <c r="B2083" s="28"/>
      <c r="C2083" s="28"/>
      <c r="D2083" s="28"/>
      <c r="E2083" s="28"/>
      <c r="F2083" s="28"/>
      <c r="G2083" s="28"/>
      <c r="H2083" s="28"/>
      <c r="I2083" s="28"/>
      <c r="J2083" s="28"/>
      <c r="K2083" s="28"/>
      <c r="L2083" s="28"/>
      <c r="M2083" s="28"/>
      <c r="N2083" s="28"/>
      <c r="O2083" s="28"/>
      <c r="P2083" s="28"/>
      <c r="Q2083" s="28"/>
      <c r="R2083" s="28"/>
      <c r="S2083" s="28"/>
    </row>
    <row r="2084" spans="1:19" x14ac:dyDescent="0.25">
      <c r="A2084" s="28"/>
      <c r="B2084" s="28"/>
      <c r="C2084" s="28"/>
      <c r="D2084" s="28"/>
      <c r="E2084" s="28"/>
      <c r="F2084" s="28"/>
      <c r="G2084" s="28"/>
      <c r="H2084" s="28"/>
      <c r="I2084" s="28"/>
      <c r="J2084" s="28"/>
      <c r="K2084" s="28"/>
      <c r="L2084" s="28"/>
      <c r="M2084" s="28"/>
      <c r="N2084" s="28"/>
      <c r="O2084" s="28"/>
      <c r="P2084" s="28"/>
      <c r="Q2084" s="28"/>
      <c r="R2084" s="28"/>
      <c r="S2084" s="28"/>
    </row>
    <row r="2085" spans="1:19" x14ac:dyDescent="0.25">
      <c r="A2085" s="28"/>
      <c r="B2085" s="28"/>
      <c r="C2085" s="28"/>
      <c r="D2085" s="28"/>
      <c r="E2085" s="28"/>
      <c r="F2085" s="28"/>
      <c r="G2085" s="28"/>
      <c r="H2085" s="28"/>
      <c r="I2085" s="28"/>
      <c r="J2085" s="28"/>
      <c r="K2085" s="28"/>
      <c r="L2085" s="28"/>
      <c r="M2085" s="28"/>
      <c r="N2085" s="28"/>
      <c r="O2085" s="28"/>
      <c r="P2085" s="28"/>
      <c r="Q2085" s="28"/>
      <c r="R2085" s="28"/>
      <c r="S2085" s="28"/>
    </row>
    <row r="2086" spans="1:19" x14ac:dyDescent="0.25">
      <c r="A2086" s="28"/>
      <c r="B2086" s="28"/>
      <c r="C2086" s="28"/>
      <c r="D2086" s="28"/>
      <c r="E2086" s="28"/>
      <c r="F2086" s="28"/>
      <c r="G2086" s="28"/>
      <c r="H2086" s="28"/>
      <c r="I2086" s="28"/>
      <c r="J2086" s="28"/>
      <c r="K2086" s="28"/>
      <c r="L2086" s="28"/>
      <c r="M2086" s="28"/>
      <c r="N2086" s="28"/>
      <c r="O2086" s="28"/>
      <c r="P2086" s="28"/>
      <c r="Q2086" s="28"/>
      <c r="R2086" s="28"/>
      <c r="S2086" s="28"/>
    </row>
    <row r="2087" spans="1:19" x14ac:dyDescent="0.25">
      <c r="A2087" s="28"/>
      <c r="B2087" s="28"/>
      <c r="C2087" s="28"/>
      <c r="D2087" s="28"/>
      <c r="E2087" s="28"/>
      <c r="F2087" s="28"/>
      <c r="G2087" s="28"/>
      <c r="H2087" s="28"/>
      <c r="I2087" s="28"/>
      <c r="J2087" s="28"/>
      <c r="K2087" s="28"/>
      <c r="L2087" s="28"/>
      <c r="M2087" s="28"/>
      <c r="N2087" s="28"/>
      <c r="O2087" s="28"/>
      <c r="P2087" s="28"/>
      <c r="Q2087" s="28"/>
      <c r="R2087" s="28"/>
      <c r="S2087" s="28"/>
    </row>
    <row r="2088" spans="1:19" x14ac:dyDescent="0.25">
      <c r="A2088" s="28"/>
      <c r="B2088" s="28"/>
      <c r="C2088" s="28"/>
      <c r="D2088" s="28"/>
      <c r="E2088" s="28"/>
      <c r="F2088" s="28"/>
      <c r="G2088" s="28"/>
      <c r="H2088" s="28"/>
      <c r="I2088" s="28"/>
      <c r="J2088" s="28"/>
      <c r="K2088" s="28"/>
      <c r="L2088" s="28"/>
      <c r="M2088" s="28"/>
      <c r="N2088" s="28"/>
      <c r="O2088" s="28"/>
      <c r="P2088" s="28"/>
      <c r="Q2088" s="28"/>
      <c r="R2088" s="28"/>
      <c r="S2088" s="28"/>
    </row>
    <row r="2089" spans="1:19" x14ac:dyDescent="0.25">
      <c r="A2089" s="28"/>
      <c r="B2089" s="28"/>
      <c r="C2089" s="28"/>
      <c r="D2089" s="28"/>
      <c r="E2089" s="28"/>
      <c r="F2089" s="28"/>
      <c r="G2089" s="28"/>
      <c r="H2089" s="28"/>
      <c r="I2089" s="28"/>
      <c r="J2089" s="28"/>
      <c r="K2089" s="28"/>
      <c r="L2089" s="28"/>
      <c r="M2089" s="28"/>
      <c r="N2089" s="28"/>
      <c r="O2089" s="28"/>
      <c r="P2089" s="28"/>
      <c r="Q2089" s="28"/>
      <c r="R2089" s="28"/>
      <c r="S2089" s="28"/>
    </row>
    <row r="2090" spans="1:19" x14ac:dyDescent="0.25">
      <c r="A2090" s="28"/>
      <c r="B2090" s="28"/>
      <c r="C2090" s="28"/>
      <c r="D2090" s="28"/>
      <c r="E2090" s="28"/>
      <c r="F2090" s="28"/>
      <c r="G2090" s="28"/>
      <c r="H2090" s="28"/>
      <c r="I2090" s="28"/>
      <c r="J2090" s="28"/>
      <c r="K2090" s="28"/>
      <c r="L2090" s="28"/>
      <c r="M2090" s="28"/>
      <c r="N2090" s="28"/>
      <c r="O2090" s="28"/>
      <c r="P2090" s="28"/>
      <c r="Q2090" s="28"/>
      <c r="R2090" s="28"/>
      <c r="S2090" s="28"/>
    </row>
    <row r="2091" spans="1:19" x14ac:dyDescent="0.25">
      <c r="A2091" s="28"/>
      <c r="B2091" s="28"/>
      <c r="C2091" s="28"/>
      <c r="D2091" s="28"/>
      <c r="E2091" s="28"/>
      <c r="F2091" s="28"/>
      <c r="G2091" s="28"/>
      <c r="H2091" s="28"/>
      <c r="I2091" s="28"/>
      <c r="J2091" s="28"/>
      <c r="K2091" s="28"/>
      <c r="L2091" s="28"/>
      <c r="M2091" s="28"/>
      <c r="N2091" s="28"/>
      <c r="O2091" s="28"/>
      <c r="P2091" s="28"/>
      <c r="Q2091" s="28"/>
      <c r="R2091" s="28"/>
      <c r="S2091" s="28"/>
    </row>
    <row r="2092" spans="1:19" x14ac:dyDescent="0.25">
      <c r="A2092" s="28"/>
      <c r="B2092" s="28"/>
      <c r="C2092" s="28"/>
      <c r="D2092" s="28"/>
      <c r="E2092" s="28"/>
      <c r="F2092" s="28"/>
      <c r="G2092" s="28"/>
      <c r="H2092" s="28"/>
      <c r="I2092" s="28"/>
      <c r="J2092" s="28"/>
      <c r="K2092" s="28"/>
      <c r="L2092" s="28"/>
      <c r="M2092" s="28"/>
      <c r="N2092" s="28"/>
      <c r="O2092" s="28"/>
      <c r="P2092" s="28"/>
      <c r="Q2092" s="28"/>
      <c r="R2092" s="28"/>
      <c r="S2092" s="28"/>
    </row>
    <row r="2093" spans="1:19" x14ac:dyDescent="0.25">
      <c r="A2093" s="28"/>
      <c r="B2093" s="28"/>
      <c r="C2093" s="28"/>
      <c r="D2093" s="28"/>
      <c r="E2093" s="28"/>
      <c r="F2093" s="28"/>
      <c r="G2093" s="28"/>
      <c r="H2093" s="28"/>
      <c r="I2093" s="28"/>
      <c r="J2093" s="28"/>
      <c r="K2093" s="28"/>
      <c r="L2093" s="28"/>
      <c r="M2093" s="28"/>
      <c r="N2093" s="28"/>
      <c r="O2093" s="28"/>
      <c r="P2093" s="28"/>
      <c r="Q2093" s="28"/>
      <c r="R2093" s="28"/>
      <c r="S2093" s="28"/>
    </row>
    <row r="2094" spans="1:19" x14ac:dyDescent="0.25">
      <c r="A2094" s="28"/>
      <c r="B2094" s="28"/>
      <c r="C2094" s="28"/>
      <c r="D2094" s="28"/>
      <c r="E2094" s="28"/>
      <c r="F2094" s="28"/>
      <c r="G2094" s="28"/>
      <c r="H2094" s="28"/>
      <c r="I2094" s="28"/>
      <c r="J2094" s="28"/>
      <c r="K2094" s="28"/>
      <c r="L2094" s="28"/>
      <c r="M2094" s="28"/>
      <c r="N2094" s="28"/>
      <c r="O2094" s="28"/>
      <c r="P2094" s="28"/>
      <c r="Q2094" s="28"/>
      <c r="R2094" s="28"/>
      <c r="S2094" s="28"/>
    </row>
    <row r="2095" spans="1:19" x14ac:dyDescent="0.25">
      <c r="A2095" s="28"/>
      <c r="B2095" s="28"/>
      <c r="C2095" s="28"/>
      <c r="D2095" s="28"/>
      <c r="E2095" s="28"/>
      <c r="F2095" s="28"/>
      <c r="G2095" s="28"/>
      <c r="H2095" s="28"/>
      <c r="I2095" s="28"/>
      <c r="J2095" s="28"/>
      <c r="K2095" s="28"/>
      <c r="L2095" s="28"/>
      <c r="M2095" s="28"/>
      <c r="N2095" s="28"/>
      <c r="O2095" s="28"/>
      <c r="P2095" s="28"/>
      <c r="Q2095" s="28"/>
      <c r="R2095" s="28"/>
      <c r="S2095" s="28"/>
    </row>
    <row r="2096" spans="1:19" x14ac:dyDescent="0.25">
      <c r="A2096" s="28"/>
      <c r="B2096" s="28"/>
      <c r="C2096" s="28"/>
      <c r="D2096" s="28"/>
      <c r="E2096" s="28"/>
      <c r="F2096" s="28"/>
      <c r="G2096" s="28"/>
      <c r="H2096" s="28"/>
      <c r="I2096" s="28"/>
      <c r="J2096" s="28"/>
      <c r="K2096" s="28"/>
      <c r="L2096" s="28"/>
      <c r="M2096" s="28"/>
      <c r="N2096" s="28"/>
      <c r="O2096" s="28"/>
      <c r="P2096" s="28"/>
      <c r="Q2096" s="28"/>
      <c r="R2096" s="28"/>
      <c r="S2096" s="28"/>
    </row>
    <row r="2097" spans="1:19" x14ac:dyDescent="0.25">
      <c r="A2097" s="28"/>
      <c r="B2097" s="28"/>
      <c r="C2097" s="28"/>
      <c r="D2097" s="28"/>
      <c r="E2097" s="28"/>
      <c r="F2097" s="28"/>
      <c r="G2097" s="28"/>
      <c r="H2097" s="28"/>
      <c r="I2097" s="28"/>
      <c r="J2097" s="28"/>
      <c r="K2097" s="28"/>
      <c r="L2097" s="28"/>
      <c r="M2097" s="28"/>
      <c r="N2097" s="28"/>
      <c r="O2097" s="28"/>
      <c r="P2097" s="28"/>
      <c r="Q2097" s="28"/>
      <c r="R2097" s="28"/>
      <c r="S2097" s="28"/>
    </row>
    <row r="2098" spans="1:19" x14ac:dyDescent="0.25">
      <c r="A2098" s="28"/>
      <c r="B2098" s="28"/>
      <c r="C2098" s="28"/>
      <c r="D2098" s="28"/>
      <c r="E2098" s="28"/>
      <c r="F2098" s="28"/>
      <c r="G2098" s="28"/>
      <c r="H2098" s="28"/>
      <c r="I2098" s="28"/>
      <c r="J2098" s="28"/>
      <c r="K2098" s="28"/>
      <c r="L2098" s="28"/>
      <c r="M2098" s="28"/>
      <c r="N2098" s="28"/>
      <c r="O2098" s="28"/>
      <c r="P2098" s="28"/>
      <c r="Q2098" s="28"/>
      <c r="R2098" s="28"/>
      <c r="S2098" s="28"/>
    </row>
    <row r="2099" spans="1:19" x14ac:dyDescent="0.25">
      <c r="A2099" s="28"/>
      <c r="B2099" s="28"/>
      <c r="C2099" s="28"/>
      <c r="D2099" s="28"/>
      <c r="E2099" s="28"/>
      <c r="F2099" s="28"/>
      <c r="G2099" s="28"/>
      <c r="H2099" s="28"/>
      <c r="I2099" s="28"/>
      <c r="J2099" s="28"/>
      <c r="K2099" s="28"/>
      <c r="L2099" s="28"/>
      <c r="M2099" s="28"/>
      <c r="N2099" s="28"/>
      <c r="O2099" s="28"/>
      <c r="P2099" s="28"/>
      <c r="Q2099" s="28"/>
      <c r="R2099" s="28"/>
      <c r="S2099" s="28"/>
    </row>
    <row r="2100" spans="1:19" x14ac:dyDescent="0.25">
      <c r="A2100" s="28"/>
      <c r="B2100" s="28"/>
      <c r="C2100" s="28"/>
      <c r="D2100" s="28"/>
      <c r="E2100" s="28"/>
      <c r="F2100" s="28"/>
      <c r="G2100" s="28"/>
      <c r="H2100" s="28"/>
      <c r="I2100" s="28"/>
      <c r="J2100" s="28"/>
      <c r="K2100" s="28"/>
      <c r="L2100" s="28"/>
      <c r="M2100" s="28"/>
      <c r="N2100" s="28"/>
      <c r="O2100" s="28"/>
      <c r="P2100" s="28"/>
      <c r="Q2100" s="28"/>
      <c r="R2100" s="28"/>
      <c r="S2100" s="28"/>
    </row>
    <row r="2101" spans="1:19" x14ac:dyDescent="0.25">
      <c r="A2101" s="28"/>
      <c r="B2101" s="28"/>
      <c r="C2101" s="28"/>
      <c r="D2101" s="28"/>
      <c r="E2101" s="28"/>
      <c r="F2101" s="28"/>
      <c r="G2101" s="28"/>
      <c r="H2101" s="28"/>
      <c r="I2101" s="28"/>
      <c r="J2101" s="28"/>
      <c r="K2101" s="28"/>
      <c r="L2101" s="28"/>
      <c r="M2101" s="28"/>
      <c r="N2101" s="28"/>
      <c r="O2101" s="28"/>
      <c r="P2101" s="28"/>
      <c r="Q2101" s="28"/>
      <c r="R2101" s="28"/>
      <c r="S2101" s="28"/>
    </row>
    <row r="2102" spans="1:19" x14ac:dyDescent="0.25">
      <c r="A2102" s="28"/>
      <c r="B2102" s="28"/>
      <c r="C2102" s="28"/>
      <c r="D2102" s="28"/>
      <c r="E2102" s="28"/>
      <c r="F2102" s="28"/>
      <c r="G2102" s="28"/>
      <c r="H2102" s="28"/>
      <c r="I2102" s="28"/>
      <c r="J2102" s="28"/>
      <c r="K2102" s="28"/>
      <c r="L2102" s="28"/>
      <c r="M2102" s="28"/>
      <c r="N2102" s="28"/>
      <c r="O2102" s="28"/>
      <c r="P2102" s="28"/>
      <c r="Q2102" s="28"/>
      <c r="R2102" s="28"/>
      <c r="S2102" s="28"/>
    </row>
    <row r="2103" spans="1:19" x14ac:dyDescent="0.25">
      <c r="A2103" s="28"/>
      <c r="B2103" s="28"/>
      <c r="C2103" s="28"/>
      <c r="D2103" s="28"/>
      <c r="E2103" s="28"/>
      <c r="F2103" s="28"/>
      <c r="G2103" s="28"/>
      <c r="H2103" s="28"/>
      <c r="I2103" s="28"/>
      <c r="J2103" s="28"/>
      <c r="K2103" s="28"/>
      <c r="L2103" s="28"/>
      <c r="M2103" s="28"/>
      <c r="N2103" s="28"/>
      <c r="O2103" s="28"/>
      <c r="P2103" s="28"/>
      <c r="Q2103" s="28"/>
      <c r="R2103" s="28"/>
      <c r="S2103" s="28"/>
    </row>
    <row r="2104" spans="1:19" x14ac:dyDescent="0.25">
      <c r="A2104" s="28"/>
      <c r="B2104" s="28"/>
      <c r="C2104" s="28"/>
      <c r="D2104" s="28"/>
      <c r="E2104" s="28"/>
      <c r="F2104" s="28"/>
      <c r="G2104" s="28"/>
      <c r="H2104" s="28"/>
      <c r="I2104" s="28"/>
      <c r="J2104" s="28"/>
      <c r="K2104" s="28"/>
      <c r="L2104" s="28"/>
      <c r="M2104" s="28"/>
      <c r="N2104" s="28"/>
      <c r="O2104" s="28"/>
      <c r="P2104" s="28"/>
      <c r="Q2104" s="28"/>
      <c r="R2104" s="28"/>
      <c r="S2104" s="28"/>
    </row>
    <row r="2105" spans="1:19" x14ac:dyDescent="0.25">
      <c r="A2105" s="28"/>
      <c r="B2105" s="28"/>
      <c r="C2105" s="28"/>
      <c r="D2105" s="28"/>
      <c r="E2105" s="28"/>
      <c r="F2105" s="28"/>
      <c r="G2105" s="28"/>
      <c r="H2105" s="28"/>
      <c r="I2105" s="28"/>
      <c r="J2105" s="28"/>
      <c r="K2105" s="28"/>
      <c r="L2105" s="28"/>
      <c r="M2105" s="28"/>
      <c r="N2105" s="28"/>
      <c r="O2105" s="28"/>
      <c r="P2105" s="28"/>
      <c r="Q2105" s="28"/>
      <c r="R2105" s="28"/>
      <c r="S2105" s="28"/>
    </row>
    <row r="2106" spans="1:19" x14ac:dyDescent="0.25">
      <c r="A2106" s="28"/>
      <c r="B2106" s="28"/>
      <c r="C2106" s="28"/>
      <c r="D2106" s="28"/>
      <c r="E2106" s="28"/>
      <c r="F2106" s="28"/>
      <c r="G2106" s="28"/>
      <c r="H2106" s="28"/>
      <c r="I2106" s="28"/>
      <c r="J2106" s="28"/>
      <c r="K2106" s="28"/>
      <c r="L2106" s="28"/>
      <c r="M2106" s="28"/>
      <c r="N2106" s="28"/>
      <c r="O2106" s="28"/>
      <c r="P2106" s="28"/>
      <c r="Q2106" s="28"/>
      <c r="R2106" s="28"/>
      <c r="S2106" s="28"/>
    </row>
    <row r="2107" spans="1:19" x14ac:dyDescent="0.25">
      <c r="A2107" s="28"/>
      <c r="B2107" s="28"/>
      <c r="C2107" s="28"/>
      <c r="D2107" s="28"/>
      <c r="E2107" s="28"/>
      <c r="F2107" s="28"/>
      <c r="G2107" s="28"/>
      <c r="H2107" s="28"/>
      <c r="I2107" s="28"/>
      <c r="J2107" s="28"/>
      <c r="K2107" s="28"/>
      <c r="L2107" s="28"/>
      <c r="M2107" s="28"/>
      <c r="N2107" s="28"/>
      <c r="O2107" s="28"/>
      <c r="P2107" s="28"/>
      <c r="Q2107" s="28"/>
      <c r="R2107" s="28"/>
      <c r="S2107" s="28"/>
    </row>
    <row r="2108" spans="1:19" x14ac:dyDescent="0.25">
      <c r="A2108" s="28"/>
      <c r="B2108" s="28"/>
      <c r="C2108" s="28"/>
      <c r="D2108" s="28"/>
      <c r="E2108" s="28"/>
      <c r="F2108" s="28"/>
      <c r="G2108" s="28"/>
      <c r="H2108" s="28"/>
      <c r="I2108" s="28"/>
      <c r="J2108" s="28"/>
      <c r="K2108" s="28"/>
      <c r="L2108" s="28"/>
      <c r="M2108" s="28"/>
      <c r="N2108" s="28"/>
      <c r="O2108" s="28"/>
      <c r="P2108" s="28"/>
      <c r="Q2108" s="28"/>
      <c r="R2108" s="28"/>
      <c r="S2108" s="28"/>
    </row>
    <row r="2109" spans="1:19" x14ac:dyDescent="0.25">
      <c r="A2109" s="28"/>
      <c r="B2109" s="28"/>
      <c r="C2109" s="28"/>
      <c r="D2109" s="28"/>
      <c r="E2109" s="28"/>
      <c r="F2109" s="28"/>
      <c r="G2109" s="28"/>
      <c r="H2109" s="28"/>
      <c r="I2109" s="28"/>
      <c r="J2109" s="28"/>
      <c r="K2109" s="28"/>
      <c r="L2109" s="28"/>
      <c r="M2109" s="28"/>
      <c r="N2109" s="28"/>
      <c r="O2109" s="28"/>
      <c r="P2109" s="28"/>
      <c r="Q2109" s="28"/>
      <c r="R2109" s="28"/>
      <c r="S2109" s="28"/>
    </row>
    <row r="2110" spans="1:19" x14ac:dyDescent="0.25">
      <c r="A2110" s="28"/>
      <c r="B2110" s="28"/>
      <c r="C2110" s="28"/>
      <c r="D2110" s="28"/>
      <c r="E2110" s="28"/>
      <c r="F2110" s="28"/>
      <c r="G2110" s="28"/>
      <c r="H2110" s="28"/>
      <c r="I2110" s="28"/>
      <c r="J2110" s="28"/>
      <c r="K2110" s="28"/>
      <c r="L2110" s="28"/>
      <c r="M2110" s="28"/>
      <c r="N2110" s="28"/>
      <c r="O2110" s="28"/>
      <c r="P2110" s="28"/>
      <c r="Q2110" s="28"/>
      <c r="R2110" s="28"/>
      <c r="S2110" s="28"/>
    </row>
    <row r="2111" spans="1:19" x14ac:dyDescent="0.25">
      <c r="A2111" s="28"/>
      <c r="B2111" s="28"/>
      <c r="C2111" s="28"/>
      <c r="D2111" s="28"/>
      <c r="E2111" s="28"/>
      <c r="F2111" s="28"/>
      <c r="G2111" s="28"/>
      <c r="H2111" s="28"/>
      <c r="I2111" s="28"/>
      <c r="J2111" s="28"/>
      <c r="K2111" s="28"/>
      <c r="L2111" s="28"/>
      <c r="M2111" s="28"/>
      <c r="N2111" s="28"/>
      <c r="O2111" s="28"/>
      <c r="P2111" s="28"/>
      <c r="Q2111" s="28"/>
      <c r="R2111" s="28"/>
      <c r="S2111" s="28"/>
    </row>
    <row r="2112" spans="1:19" x14ac:dyDescent="0.25">
      <c r="A2112" s="28"/>
      <c r="B2112" s="28"/>
      <c r="C2112" s="28"/>
      <c r="D2112" s="28"/>
      <c r="E2112" s="28"/>
      <c r="F2112" s="28"/>
      <c r="G2112" s="28"/>
      <c r="H2112" s="28"/>
      <c r="I2112" s="28"/>
      <c r="J2112" s="28"/>
      <c r="K2112" s="28"/>
      <c r="L2112" s="28"/>
      <c r="M2112" s="28"/>
      <c r="N2112" s="28"/>
      <c r="O2112" s="28"/>
      <c r="P2112" s="28"/>
      <c r="Q2112" s="28"/>
      <c r="R2112" s="28"/>
      <c r="S2112" s="28"/>
    </row>
    <row r="2113" spans="1:19" x14ac:dyDescent="0.25">
      <c r="A2113" s="28"/>
      <c r="B2113" s="28"/>
      <c r="C2113" s="28"/>
      <c r="D2113" s="28"/>
      <c r="E2113" s="28"/>
      <c r="F2113" s="28"/>
      <c r="G2113" s="28"/>
      <c r="H2113" s="28"/>
      <c r="I2113" s="28"/>
      <c r="J2113" s="28"/>
      <c r="K2113" s="28"/>
      <c r="L2113" s="28"/>
      <c r="M2113" s="28"/>
      <c r="N2113" s="28"/>
      <c r="O2113" s="28"/>
      <c r="P2113" s="28"/>
      <c r="Q2113" s="28"/>
      <c r="R2113" s="28"/>
      <c r="S2113" s="28"/>
    </row>
    <row r="2114" spans="1:19" x14ac:dyDescent="0.25">
      <c r="A2114" s="28"/>
      <c r="B2114" s="28"/>
      <c r="C2114" s="28"/>
      <c r="D2114" s="28"/>
      <c r="E2114" s="28"/>
      <c r="F2114" s="28"/>
      <c r="G2114" s="28"/>
      <c r="H2114" s="28"/>
      <c r="I2114" s="28"/>
      <c r="J2114" s="28"/>
      <c r="K2114" s="28"/>
      <c r="L2114" s="28"/>
      <c r="M2114" s="28"/>
      <c r="N2114" s="28"/>
      <c r="O2114" s="28"/>
      <c r="P2114" s="28"/>
      <c r="Q2114" s="28"/>
      <c r="R2114" s="28"/>
      <c r="S2114" s="28"/>
    </row>
    <row r="2115" spans="1:19" x14ac:dyDescent="0.25">
      <c r="A2115" s="28"/>
      <c r="B2115" s="28"/>
      <c r="C2115" s="28"/>
      <c r="D2115" s="28"/>
      <c r="E2115" s="28"/>
      <c r="F2115" s="28"/>
      <c r="G2115" s="28"/>
      <c r="H2115" s="28"/>
      <c r="I2115" s="28"/>
      <c r="J2115" s="28"/>
      <c r="K2115" s="28"/>
      <c r="L2115" s="28"/>
      <c r="M2115" s="28"/>
      <c r="N2115" s="28"/>
      <c r="O2115" s="28"/>
      <c r="P2115" s="28"/>
      <c r="Q2115" s="28"/>
      <c r="R2115" s="28"/>
      <c r="S2115" s="28"/>
    </row>
    <row r="2116" spans="1:19" x14ac:dyDescent="0.25">
      <c r="A2116" s="28"/>
      <c r="B2116" s="28"/>
      <c r="C2116" s="28"/>
      <c r="D2116" s="28"/>
      <c r="E2116" s="28"/>
      <c r="F2116" s="28"/>
      <c r="G2116" s="28"/>
      <c r="H2116" s="28"/>
      <c r="I2116" s="28"/>
      <c r="J2116" s="28"/>
      <c r="K2116" s="28"/>
      <c r="L2116" s="28"/>
      <c r="M2116" s="28"/>
      <c r="N2116" s="28"/>
      <c r="O2116" s="28"/>
      <c r="P2116" s="28"/>
      <c r="Q2116" s="28"/>
      <c r="R2116" s="28"/>
      <c r="S2116" s="28"/>
    </row>
    <row r="2117" spans="1:19" x14ac:dyDescent="0.25">
      <c r="A2117" s="28"/>
      <c r="B2117" s="28"/>
      <c r="C2117" s="28"/>
      <c r="D2117" s="28"/>
      <c r="E2117" s="28"/>
      <c r="F2117" s="28"/>
      <c r="G2117" s="28"/>
      <c r="H2117" s="28"/>
      <c r="I2117" s="28"/>
      <c r="J2117" s="28"/>
      <c r="K2117" s="28"/>
      <c r="L2117" s="28"/>
      <c r="M2117" s="28"/>
      <c r="N2117" s="28"/>
      <c r="O2117" s="28"/>
      <c r="P2117" s="28"/>
      <c r="Q2117" s="28"/>
      <c r="R2117" s="28"/>
      <c r="S2117" s="28"/>
    </row>
    <row r="2118" spans="1:19" x14ac:dyDescent="0.25">
      <c r="A2118" s="28"/>
      <c r="B2118" s="28"/>
      <c r="C2118" s="28"/>
      <c r="D2118" s="28"/>
      <c r="E2118" s="28"/>
      <c r="F2118" s="28"/>
      <c r="G2118" s="28"/>
      <c r="H2118" s="28"/>
      <c r="I2118" s="28"/>
      <c r="J2118" s="28"/>
      <c r="K2118" s="28"/>
      <c r="L2118" s="28"/>
      <c r="M2118" s="28"/>
      <c r="N2118" s="28"/>
      <c r="O2118" s="28"/>
      <c r="P2118" s="28"/>
      <c r="Q2118" s="28"/>
      <c r="R2118" s="28"/>
      <c r="S2118" s="28"/>
    </row>
    <row r="2119" spans="1:19" x14ac:dyDescent="0.25">
      <c r="A2119" s="28"/>
      <c r="B2119" s="28"/>
      <c r="C2119" s="28"/>
      <c r="D2119" s="28"/>
      <c r="E2119" s="28"/>
      <c r="F2119" s="28"/>
      <c r="G2119" s="28"/>
      <c r="H2119" s="28"/>
      <c r="I2119" s="28"/>
      <c r="J2119" s="28"/>
      <c r="K2119" s="28"/>
      <c r="L2119" s="28"/>
      <c r="M2119" s="28"/>
      <c r="N2119" s="28"/>
      <c r="O2119" s="28"/>
      <c r="P2119" s="28"/>
      <c r="Q2119" s="28"/>
      <c r="R2119" s="28"/>
      <c r="S2119" s="28"/>
    </row>
    <row r="2120" spans="1:19" x14ac:dyDescent="0.25">
      <c r="A2120" s="28"/>
      <c r="B2120" s="28"/>
      <c r="C2120" s="28"/>
      <c r="D2120" s="28"/>
      <c r="E2120" s="28"/>
      <c r="F2120" s="28"/>
      <c r="G2120" s="28"/>
      <c r="H2120" s="28"/>
      <c r="I2120" s="28"/>
      <c r="J2120" s="28"/>
      <c r="K2120" s="28"/>
      <c r="L2120" s="28"/>
      <c r="M2120" s="28"/>
      <c r="N2120" s="28"/>
      <c r="O2120" s="28"/>
      <c r="P2120" s="28"/>
      <c r="Q2120" s="28"/>
      <c r="R2120" s="28"/>
      <c r="S2120" s="28"/>
    </row>
    <row r="2121" spans="1:19" x14ac:dyDescent="0.25">
      <c r="A2121" s="28"/>
      <c r="B2121" s="28"/>
      <c r="C2121" s="28"/>
      <c r="D2121" s="28"/>
      <c r="E2121" s="28"/>
      <c r="F2121" s="28"/>
      <c r="G2121" s="28"/>
      <c r="H2121" s="28"/>
      <c r="I2121" s="28"/>
      <c r="J2121" s="28"/>
      <c r="K2121" s="28"/>
      <c r="L2121" s="28"/>
      <c r="M2121" s="28"/>
      <c r="N2121" s="28"/>
      <c r="O2121" s="28"/>
      <c r="P2121" s="28"/>
      <c r="Q2121" s="28"/>
      <c r="R2121" s="28"/>
      <c r="S2121" s="28"/>
    </row>
    <row r="2122" spans="1:19" x14ac:dyDescent="0.25">
      <c r="A2122" s="28"/>
      <c r="B2122" s="28"/>
      <c r="C2122" s="28"/>
      <c r="D2122" s="28"/>
      <c r="E2122" s="28"/>
      <c r="F2122" s="28"/>
      <c r="G2122" s="28"/>
      <c r="H2122" s="28"/>
      <c r="I2122" s="28"/>
      <c r="J2122" s="28"/>
      <c r="K2122" s="28"/>
      <c r="L2122" s="28"/>
      <c r="M2122" s="28"/>
      <c r="N2122" s="28"/>
      <c r="O2122" s="28"/>
      <c r="P2122" s="28"/>
      <c r="Q2122" s="28"/>
      <c r="R2122" s="28"/>
      <c r="S2122" s="28"/>
    </row>
    <row r="2123" spans="1:19" x14ac:dyDescent="0.25">
      <c r="A2123" s="28"/>
      <c r="B2123" s="28"/>
      <c r="C2123" s="28"/>
      <c r="D2123" s="28"/>
      <c r="E2123" s="28"/>
      <c r="F2123" s="28"/>
      <c r="G2123" s="28"/>
      <c r="H2123" s="28"/>
      <c r="I2123" s="28"/>
      <c r="J2123" s="28"/>
      <c r="K2123" s="28"/>
      <c r="L2123" s="28"/>
      <c r="M2123" s="28"/>
      <c r="N2123" s="28"/>
      <c r="O2123" s="28"/>
      <c r="P2123" s="28"/>
      <c r="Q2123" s="28"/>
      <c r="R2123" s="28"/>
      <c r="S2123" s="28"/>
    </row>
    <row r="2124" spans="1:19" x14ac:dyDescent="0.25">
      <c r="A2124" s="28"/>
      <c r="B2124" s="28"/>
      <c r="C2124" s="28"/>
      <c r="D2124" s="28"/>
      <c r="E2124" s="28"/>
      <c r="F2124" s="28"/>
      <c r="G2124" s="28"/>
      <c r="H2124" s="28"/>
      <c r="I2124" s="28"/>
      <c r="J2124" s="28"/>
      <c r="K2124" s="28"/>
      <c r="L2124" s="28"/>
      <c r="M2124" s="28"/>
      <c r="N2124" s="28"/>
      <c r="O2124" s="28"/>
      <c r="P2124" s="28"/>
      <c r="Q2124" s="28"/>
      <c r="R2124" s="28"/>
      <c r="S2124" s="28"/>
    </row>
    <row r="2125" spans="1:19" x14ac:dyDescent="0.25">
      <c r="A2125" s="28"/>
      <c r="B2125" s="28"/>
      <c r="C2125" s="28"/>
      <c r="D2125" s="28"/>
      <c r="E2125" s="28"/>
      <c r="F2125" s="28"/>
      <c r="G2125" s="28"/>
      <c r="H2125" s="28"/>
      <c r="I2125" s="28"/>
      <c r="J2125" s="28"/>
      <c r="K2125" s="28"/>
      <c r="L2125" s="28"/>
      <c r="M2125" s="28"/>
      <c r="N2125" s="28"/>
      <c r="O2125" s="28"/>
      <c r="P2125" s="28"/>
      <c r="Q2125" s="28"/>
      <c r="R2125" s="28"/>
      <c r="S2125" s="28"/>
    </row>
    <row r="2126" spans="1:19" x14ac:dyDescent="0.25">
      <c r="A2126" s="28"/>
      <c r="B2126" s="28"/>
      <c r="C2126" s="28"/>
      <c r="D2126" s="28"/>
      <c r="E2126" s="28"/>
      <c r="F2126" s="28"/>
      <c r="G2126" s="28"/>
      <c r="H2126" s="28"/>
      <c r="I2126" s="28"/>
      <c r="J2126" s="28"/>
      <c r="K2126" s="28"/>
      <c r="L2126" s="28"/>
      <c r="M2126" s="28"/>
      <c r="N2126" s="28"/>
      <c r="O2126" s="28"/>
      <c r="P2126" s="28"/>
      <c r="Q2126" s="28"/>
      <c r="R2126" s="28"/>
      <c r="S2126" s="28"/>
    </row>
    <row r="2127" spans="1:19" x14ac:dyDescent="0.25">
      <c r="A2127" s="28"/>
      <c r="B2127" s="28"/>
      <c r="C2127" s="28"/>
      <c r="D2127" s="28"/>
      <c r="E2127" s="28"/>
      <c r="F2127" s="28"/>
      <c r="G2127" s="28"/>
      <c r="H2127" s="28"/>
      <c r="I2127" s="28"/>
      <c r="J2127" s="28"/>
      <c r="K2127" s="28"/>
      <c r="L2127" s="28"/>
      <c r="M2127" s="28"/>
      <c r="N2127" s="28"/>
      <c r="O2127" s="28"/>
      <c r="P2127" s="28"/>
      <c r="Q2127" s="28"/>
      <c r="R2127" s="28"/>
      <c r="S2127" s="28"/>
    </row>
    <row r="2128" spans="1:19" x14ac:dyDescent="0.25">
      <c r="A2128" s="28"/>
      <c r="B2128" s="28"/>
      <c r="C2128" s="28"/>
      <c r="D2128" s="28"/>
      <c r="E2128" s="28"/>
      <c r="F2128" s="28"/>
      <c r="G2128" s="28"/>
      <c r="H2128" s="28"/>
      <c r="I2128" s="28"/>
      <c r="J2128" s="28"/>
      <c r="K2128" s="28"/>
      <c r="L2128" s="28"/>
      <c r="M2128" s="28"/>
      <c r="N2128" s="28"/>
      <c r="O2128" s="28"/>
      <c r="P2128" s="28"/>
      <c r="Q2128" s="28"/>
      <c r="R2128" s="28"/>
      <c r="S2128" s="28"/>
    </row>
    <row r="2129" spans="1:19" x14ac:dyDescent="0.25">
      <c r="A2129" s="28"/>
      <c r="B2129" s="28"/>
      <c r="C2129" s="28"/>
      <c r="D2129" s="28"/>
      <c r="E2129" s="28"/>
      <c r="F2129" s="28"/>
      <c r="G2129" s="28"/>
      <c r="H2129" s="28"/>
      <c r="I2129" s="28"/>
      <c r="J2129" s="28"/>
      <c r="K2129" s="28"/>
      <c r="L2129" s="28"/>
      <c r="M2129" s="28"/>
      <c r="N2129" s="28"/>
      <c r="O2129" s="28"/>
      <c r="P2129" s="28"/>
      <c r="Q2129" s="28"/>
      <c r="R2129" s="28"/>
      <c r="S2129" s="28"/>
    </row>
    <row r="2130" spans="1:19" x14ac:dyDescent="0.25">
      <c r="A2130" s="28"/>
      <c r="B2130" s="28"/>
      <c r="C2130" s="28"/>
      <c r="D2130" s="28"/>
      <c r="E2130" s="28"/>
      <c r="F2130" s="28"/>
      <c r="G2130" s="28"/>
      <c r="H2130" s="28"/>
      <c r="I2130" s="28"/>
      <c r="J2130" s="28"/>
      <c r="K2130" s="28"/>
      <c r="L2130" s="28"/>
      <c r="M2130" s="28"/>
      <c r="N2130" s="28"/>
      <c r="O2130" s="28"/>
      <c r="P2130" s="28"/>
      <c r="Q2130" s="28"/>
      <c r="R2130" s="28"/>
      <c r="S2130" s="28"/>
    </row>
    <row r="2131" spans="1:19" x14ac:dyDescent="0.25">
      <c r="A2131" s="28"/>
      <c r="B2131" s="28"/>
      <c r="C2131" s="28"/>
      <c r="D2131" s="28"/>
      <c r="E2131" s="28"/>
      <c r="F2131" s="28"/>
      <c r="G2131" s="28"/>
      <c r="H2131" s="28"/>
      <c r="I2131" s="28"/>
      <c r="J2131" s="28"/>
      <c r="K2131" s="28"/>
      <c r="L2131" s="28"/>
      <c r="M2131" s="28"/>
      <c r="N2131" s="28"/>
      <c r="O2131" s="28"/>
      <c r="P2131" s="28"/>
      <c r="Q2131" s="28"/>
      <c r="R2131" s="28"/>
      <c r="S2131" s="28"/>
    </row>
    <row r="2132" spans="1:19" x14ac:dyDescent="0.25">
      <c r="A2132" s="28"/>
      <c r="B2132" s="28"/>
      <c r="C2132" s="28"/>
      <c r="D2132" s="28"/>
      <c r="E2132" s="28"/>
      <c r="F2132" s="28"/>
      <c r="G2132" s="28"/>
      <c r="H2132" s="28"/>
      <c r="I2132" s="28"/>
      <c r="J2132" s="28"/>
      <c r="K2132" s="28"/>
      <c r="L2132" s="28"/>
      <c r="M2132" s="28"/>
      <c r="N2132" s="28"/>
      <c r="O2132" s="28"/>
      <c r="P2132" s="28"/>
      <c r="Q2132" s="28"/>
      <c r="R2132" s="28"/>
      <c r="S2132" s="28"/>
    </row>
    <row r="2133" spans="1:19" x14ac:dyDescent="0.25">
      <c r="A2133" s="28"/>
      <c r="B2133" s="28"/>
      <c r="C2133" s="28"/>
      <c r="D2133" s="28"/>
      <c r="E2133" s="28"/>
      <c r="F2133" s="28"/>
      <c r="G2133" s="28"/>
      <c r="H2133" s="28"/>
      <c r="I2133" s="28"/>
      <c r="J2133" s="28"/>
      <c r="K2133" s="28"/>
      <c r="L2133" s="28"/>
      <c r="M2133" s="28"/>
      <c r="N2133" s="28"/>
      <c r="O2133" s="28"/>
      <c r="P2133" s="28"/>
      <c r="Q2133" s="28"/>
      <c r="R2133" s="28"/>
      <c r="S2133" s="28"/>
    </row>
    <row r="2134" spans="1:19" x14ac:dyDescent="0.25">
      <c r="A2134" s="28"/>
      <c r="B2134" s="28"/>
      <c r="C2134" s="28"/>
      <c r="D2134" s="28"/>
      <c r="E2134" s="28"/>
      <c r="F2134" s="28"/>
      <c r="G2134" s="28"/>
      <c r="H2134" s="28"/>
      <c r="I2134" s="28"/>
      <c r="J2134" s="28"/>
      <c r="K2134" s="28"/>
      <c r="L2134" s="28"/>
      <c r="M2134" s="28"/>
      <c r="N2134" s="28"/>
      <c r="O2134" s="28"/>
      <c r="P2134" s="28"/>
      <c r="Q2134" s="28"/>
      <c r="R2134" s="28"/>
      <c r="S2134" s="28"/>
    </row>
    <row r="2135" spans="1:19" x14ac:dyDescent="0.25">
      <c r="A2135" s="28"/>
      <c r="B2135" s="28"/>
      <c r="C2135" s="28"/>
      <c r="D2135" s="28"/>
      <c r="E2135" s="28"/>
      <c r="F2135" s="28"/>
      <c r="G2135" s="28"/>
      <c r="H2135" s="28"/>
      <c r="I2135" s="28"/>
      <c r="J2135" s="28"/>
      <c r="K2135" s="28"/>
      <c r="L2135" s="28"/>
      <c r="M2135" s="28"/>
      <c r="N2135" s="28"/>
      <c r="O2135" s="28"/>
      <c r="P2135" s="28"/>
      <c r="Q2135" s="28"/>
      <c r="R2135" s="28"/>
      <c r="S2135" s="28"/>
    </row>
    <row r="2136" spans="1:19" x14ac:dyDescent="0.25">
      <c r="A2136" s="28"/>
      <c r="B2136" s="28"/>
      <c r="C2136" s="28"/>
      <c r="D2136" s="28"/>
      <c r="E2136" s="28"/>
      <c r="F2136" s="28"/>
      <c r="G2136" s="28"/>
      <c r="H2136" s="28"/>
      <c r="I2136" s="28"/>
      <c r="J2136" s="28"/>
      <c r="K2136" s="28"/>
      <c r="L2136" s="28"/>
      <c r="M2136" s="28"/>
      <c r="N2136" s="28"/>
      <c r="O2136" s="28"/>
      <c r="P2136" s="28"/>
      <c r="Q2136" s="28"/>
      <c r="R2136" s="28"/>
      <c r="S2136" s="28"/>
    </row>
    <row r="2137" spans="1:19" x14ac:dyDescent="0.25">
      <c r="A2137" s="28"/>
      <c r="B2137" s="28"/>
      <c r="C2137" s="28"/>
      <c r="D2137" s="28"/>
      <c r="E2137" s="28"/>
      <c r="F2137" s="28"/>
      <c r="G2137" s="28"/>
      <c r="H2137" s="28"/>
      <c r="I2137" s="28"/>
      <c r="J2137" s="28"/>
      <c r="K2137" s="28"/>
      <c r="L2137" s="28"/>
      <c r="M2137" s="28"/>
      <c r="N2137" s="28"/>
      <c r="O2137" s="28"/>
      <c r="P2137" s="28"/>
      <c r="Q2137" s="28"/>
      <c r="R2137" s="28"/>
      <c r="S2137" s="28"/>
    </row>
    <row r="2138" spans="1:19" x14ac:dyDescent="0.25">
      <c r="A2138" s="28"/>
      <c r="B2138" s="28"/>
      <c r="C2138" s="28"/>
      <c r="D2138" s="28"/>
      <c r="E2138" s="28"/>
      <c r="F2138" s="28"/>
      <c r="G2138" s="28"/>
      <c r="H2138" s="28"/>
      <c r="I2138" s="28"/>
      <c r="J2138" s="28"/>
      <c r="K2138" s="28"/>
      <c r="L2138" s="28"/>
      <c r="M2138" s="28"/>
      <c r="N2138" s="28"/>
      <c r="O2138" s="28"/>
      <c r="P2138" s="28"/>
      <c r="Q2138" s="28"/>
      <c r="R2138" s="28"/>
      <c r="S2138" s="28"/>
    </row>
    <row r="2139" spans="1:19" x14ac:dyDescent="0.25">
      <c r="A2139" s="28"/>
      <c r="B2139" s="28"/>
      <c r="C2139" s="28"/>
      <c r="D2139" s="28"/>
      <c r="E2139" s="28"/>
      <c r="F2139" s="28"/>
      <c r="G2139" s="28"/>
      <c r="H2139" s="28"/>
      <c r="I2139" s="28"/>
      <c r="J2139" s="28"/>
      <c r="K2139" s="28"/>
      <c r="L2139" s="28"/>
      <c r="M2139" s="28"/>
      <c r="N2139" s="28"/>
      <c r="O2139" s="28"/>
      <c r="P2139" s="28"/>
      <c r="Q2139" s="28"/>
      <c r="R2139" s="28"/>
      <c r="S2139" s="28"/>
    </row>
    <row r="2140" spans="1:19" x14ac:dyDescent="0.25">
      <c r="A2140" s="28"/>
      <c r="B2140" s="28"/>
      <c r="C2140" s="28"/>
      <c r="D2140" s="28"/>
      <c r="E2140" s="28"/>
      <c r="F2140" s="28"/>
      <c r="G2140" s="28"/>
      <c r="H2140" s="28"/>
      <c r="I2140" s="28"/>
      <c r="J2140" s="28"/>
      <c r="K2140" s="28"/>
      <c r="L2140" s="28"/>
      <c r="M2140" s="28"/>
      <c r="N2140" s="28"/>
      <c r="O2140" s="28"/>
      <c r="P2140" s="28"/>
      <c r="Q2140" s="28"/>
      <c r="R2140" s="28"/>
      <c r="S2140" s="28"/>
    </row>
    <row r="2141" spans="1:19" x14ac:dyDescent="0.25">
      <c r="A2141" s="28"/>
      <c r="B2141" s="28"/>
      <c r="C2141" s="28"/>
      <c r="D2141" s="28"/>
      <c r="E2141" s="28"/>
      <c r="F2141" s="28"/>
      <c r="G2141" s="28"/>
      <c r="H2141" s="28"/>
      <c r="I2141" s="28"/>
      <c r="J2141" s="28"/>
      <c r="K2141" s="28"/>
      <c r="L2141" s="28"/>
      <c r="M2141" s="28"/>
      <c r="N2141" s="28"/>
      <c r="O2141" s="28"/>
      <c r="P2141" s="28"/>
      <c r="Q2141" s="28"/>
      <c r="R2141" s="28"/>
      <c r="S2141" s="28"/>
    </row>
    <row r="2142" spans="1:19" x14ac:dyDescent="0.25">
      <c r="A2142" s="28"/>
      <c r="B2142" s="28"/>
      <c r="C2142" s="28"/>
      <c r="D2142" s="28"/>
      <c r="E2142" s="28"/>
      <c r="F2142" s="28"/>
      <c r="G2142" s="28"/>
      <c r="H2142" s="28"/>
      <c r="I2142" s="28"/>
      <c r="J2142" s="28"/>
      <c r="K2142" s="28"/>
      <c r="L2142" s="28"/>
      <c r="M2142" s="28"/>
      <c r="N2142" s="28"/>
      <c r="O2142" s="28"/>
      <c r="P2142" s="28"/>
      <c r="Q2142" s="28"/>
      <c r="R2142" s="28"/>
      <c r="S2142" s="28"/>
    </row>
    <row r="2143" spans="1:19" x14ac:dyDescent="0.25">
      <c r="A2143" s="28"/>
      <c r="B2143" s="28"/>
      <c r="C2143" s="28"/>
      <c r="D2143" s="28"/>
      <c r="E2143" s="28"/>
      <c r="F2143" s="28"/>
      <c r="G2143" s="28"/>
      <c r="H2143" s="28"/>
      <c r="I2143" s="28"/>
      <c r="J2143" s="28"/>
      <c r="K2143" s="28"/>
      <c r="L2143" s="28"/>
      <c r="M2143" s="28"/>
      <c r="N2143" s="28"/>
      <c r="O2143" s="28"/>
      <c r="P2143" s="28"/>
      <c r="Q2143" s="28"/>
      <c r="R2143" s="28"/>
      <c r="S2143" s="28"/>
    </row>
    <row r="2144" spans="1:19" x14ac:dyDescent="0.25">
      <c r="A2144" s="28"/>
      <c r="B2144" s="28"/>
      <c r="C2144" s="28"/>
      <c r="D2144" s="28"/>
      <c r="E2144" s="28"/>
      <c r="F2144" s="28"/>
      <c r="G2144" s="28"/>
      <c r="H2144" s="28"/>
      <c r="I2144" s="28"/>
      <c r="J2144" s="28"/>
      <c r="K2144" s="28"/>
      <c r="L2144" s="28"/>
      <c r="M2144" s="28"/>
      <c r="N2144" s="28"/>
      <c r="O2144" s="28"/>
      <c r="P2144" s="28"/>
      <c r="Q2144" s="28"/>
      <c r="R2144" s="28"/>
      <c r="S2144" s="28"/>
    </row>
    <row r="2145" spans="1:19" x14ac:dyDescent="0.25">
      <c r="A2145" s="28"/>
      <c r="B2145" s="28"/>
      <c r="C2145" s="28"/>
      <c r="D2145" s="28"/>
      <c r="E2145" s="28"/>
      <c r="F2145" s="28"/>
      <c r="G2145" s="28"/>
      <c r="H2145" s="28"/>
      <c r="I2145" s="28"/>
      <c r="J2145" s="28"/>
      <c r="K2145" s="28"/>
      <c r="L2145" s="28"/>
      <c r="M2145" s="28"/>
      <c r="N2145" s="28"/>
      <c r="O2145" s="28"/>
      <c r="P2145" s="28"/>
      <c r="Q2145" s="28"/>
      <c r="R2145" s="28"/>
      <c r="S2145" s="28"/>
    </row>
    <row r="2146" spans="1:19" x14ac:dyDescent="0.25">
      <c r="A2146" s="28"/>
      <c r="B2146" s="28"/>
      <c r="C2146" s="28"/>
      <c r="D2146" s="28"/>
      <c r="E2146" s="28"/>
      <c r="F2146" s="28"/>
      <c r="G2146" s="28"/>
      <c r="H2146" s="28"/>
      <c r="I2146" s="28"/>
      <c r="J2146" s="28"/>
      <c r="K2146" s="28"/>
      <c r="L2146" s="28"/>
      <c r="M2146" s="28"/>
      <c r="N2146" s="28"/>
      <c r="O2146" s="28"/>
      <c r="P2146" s="28"/>
      <c r="Q2146" s="28"/>
      <c r="R2146" s="28"/>
      <c r="S2146" s="28"/>
    </row>
    <row r="2147" spans="1:19" x14ac:dyDescent="0.25">
      <c r="A2147" s="28"/>
      <c r="B2147" s="28"/>
      <c r="C2147" s="28"/>
      <c r="D2147" s="28"/>
      <c r="E2147" s="28"/>
      <c r="F2147" s="28"/>
      <c r="G2147" s="28"/>
      <c r="H2147" s="28"/>
      <c r="I2147" s="28"/>
      <c r="J2147" s="28"/>
      <c r="K2147" s="28"/>
      <c r="L2147" s="28"/>
      <c r="M2147" s="28"/>
      <c r="N2147" s="28"/>
      <c r="O2147" s="28"/>
      <c r="P2147" s="28"/>
      <c r="Q2147" s="28"/>
      <c r="R2147" s="28"/>
      <c r="S2147" s="28"/>
    </row>
    <row r="2148" spans="1:19" x14ac:dyDescent="0.25">
      <c r="A2148" s="28"/>
      <c r="B2148" s="28"/>
      <c r="C2148" s="28"/>
      <c r="D2148" s="28"/>
      <c r="E2148" s="28"/>
      <c r="F2148" s="28"/>
      <c r="G2148" s="28"/>
      <c r="H2148" s="28"/>
      <c r="I2148" s="28"/>
      <c r="J2148" s="28"/>
      <c r="K2148" s="28"/>
      <c r="L2148" s="28"/>
      <c r="M2148" s="28"/>
      <c r="N2148" s="28"/>
      <c r="O2148" s="28"/>
      <c r="P2148" s="28"/>
      <c r="Q2148" s="28"/>
      <c r="R2148" s="28"/>
      <c r="S2148" s="28"/>
    </row>
    <row r="2149" spans="1:19" x14ac:dyDescent="0.25">
      <c r="A2149" s="28"/>
      <c r="B2149" s="28"/>
      <c r="C2149" s="28"/>
      <c r="D2149" s="28"/>
      <c r="E2149" s="28"/>
      <c r="F2149" s="28"/>
      <c r="G2149" s="28"/>
      <c r="H2149" s="28"/>
      <c r="I2149" s="28"/>
      <c r="J2149" s="28"/>
      <c r="K2149" s="28"/>
      <c r="L2149" s="28"/>
      <c r="M2149" s="28"/>
      <c r="N2149" s="28"/>
      <c r="O2149" s="28"/>
      <c r="P2149" s="28"/>
      <c r="Q2149" s="28"/>
      <c r="R2149" s="28"/>
      <c r="S2149" s="28"/>
    </row>
    <row r="2150" spans="1:19" x14ac:dyDescent="0.25">
      <c r="A2150" s="28"/>
      <c r="B2150" s="28"/>
      <c r="C2150" s="28"/>
      <c r="D2150" s="28"/>
      <c r="E2150" s="28"/>
      <c r="F2150" s="28"/>
      <c r="G2150" s="28"/>
      <c r="H2150" s="28"/>
      <c r="I2150" s="28"/>
      <c r="J2150" s="28"/>
      <c r="K2150" s="28"/>
      <c r="L2150" s="28"/>
      <c r="M2150" s="28"/>
      <c r="N2150" s="28"/>
      <c r="O2150" s="28"/>
      <c r="P2150" s="28"/>
      <c r="Q2150" s="28"/>
      <c r="R2150" s="28"/>
      <c r="S2150" s="28"/>
    </row>
    <row r="2151" spans="1:19" x14ac:dyDescent="0.25">
      <c r="A2151" s="28"/>
      <c r="B2151" s="28"/>
      <c r="C2151" s="28"/>
      <c r="D2151" s="28"/>
      <c r="E2151" s="28"/>
      <c r="F2151" s="28"/>
      <c r="G2151" s="28"/>
      <c r="H2151" s="28"/>
      <c r="I2151" s="28"/>
      <c r="J2151" s="28"/>
      <c r="K2151" s="28"/>
      <c r="L2151" s="28"/>
      <c r="M2151" s="28"/>
      <c r="N2151" s="28"/>
      <c r="O2151" s="28"/>
      <c r="P2151" s="28"/>
      <c r="Q2151" s="28"/>
      <c r="R2151" s="28"/>
      <c r="S2151" s="28"/>
    </row>
    <row r="2152" spans="1:19" x14ac:dyDescent="0.25">
      <c r="A2152" s="28"/>
      <c r="B2152" s="28"/>
      <c r="C2152" s="28"/>
      <c r="D2152" s="28"/>
      <c r="E2152" s="28"/>
      <c r="F2152" s="28"/>
      <c r="G2152" s="28"/>
      <c r="H2152" s="28"/>
      <c r="I2152" s="28"/>
      <c r="J2152" s="28"/>
      <c r="K2152" s="28"/>
      <c r="L2152" s="28"/>
      <c r="M2152" s="28"/>
      <c r="N2152" s="28"/>
      <c r="O2152" s="28"/>
      <c r="P2152" s="28"/>
      <c r="Q2152" s="28"/>
      <c r="R2152" s="28"/>
      <c r="S2152" s="28"/>
    </row>
    <row r="2153" spans="1:19" x14ac:dyDescent="0.25">
      <c r="A2153" s="28"/>
      <c r="B2153" s="28"/>
      <c r="C2153" s="28"/>
      <c r="D2153" s="28"/>
      <c r="E2153" s="28"/>
      <c r="F2153" s="28"/>
      <c r="G2153" s="28"/>
      <c r="H2153" s="28"/>
      <c r="I2153" s="28"/>
      <c r="J2153" s="28"/>
      <c r="K2153" s="28"/>
      <c r="L2153" s="28"/>
      <c r="M2153" s="28"/>
      <c r="N2153" s="28"/>
      <c r="O2153" s="28"/>
      <c r="P2153" s="28"/>
      <c r="Q2153" s="28"/>
      <c r="R2153" s="28"/>
      <c r="S2153" s="28"/>
    </row>
    <row r="2154" spans="1:19" x14ac:dyDescent="0.25">
      <c r="A2154" s="28"/>
      <c r="B2154" s="28"/>
      <c r="C2154" s="28"/>
      <c r="D2154" s="28"/>
      <c r="E2154" s="28"/>
      <c r="F2154" s="28"/>
      <c r="G2154" s="28"/>
      <c r="H2154" s="28"/>
      <c r="I2154" s="28"/>
      <c r="J2154" s="28"/>
      <c r="K2154" s="28"/>
      <c r="L2154" s="28"/>
      <c r="M2154" s="28"/>
      <c r="N2154" s="28"/>
      <c r="O2154" s="28"/>
      <c r="P2154" s="28"/>
      <c r="Q2154" s="28"/>
      <c r="R2154" s="28"/>
      <c r="S2154" s="28"/>
    </row>
    <row r="2155" spans="1:19" x14ac:dyDescent="0.25">
      <c r="A2155" s="28"/>
      <c r="B2155" s="28"/>
      <c r="C2155" s="28"/>
      <c r="D2155" s="28"/>
      <c r="E2155" s="28"/>
      <c r="F2155" s="28"/>
      <c r="G2155" s="28"/>
      <c r="H2155" s="28"/>
      <c r="I2155" s="28"/>
      <c r="J2155" s="28"/>
      <c r="K2155" s="28"/>
      <c r="L2155" s="28"/>
      <c r="M2155" s="28"/>
      <c r="N2155" s="28"/>
      <c r="O2155" s="28"/>
      <c r="P2155" s="28"/>
      <c r="Q2155" s="28"/>
      <c r="R2155" s="28"/>
      <c r="S2155" s="28"/>
    </row>
    <row r="2156" spans="1:19" x14ac:dyDescent="0.25">
      <c r="A2156" s="28"/>
      <c r="B2156" s="28"/>
      <c r="C2156" s="28"/>
      <c r="D2156" s="28"/>
      <c r="E2156" s="28"/>
      <c r="F2156" s="28"/>
      <c r="G2156" s="28"/>
      <c r="H2156" s="28"/>
      <c r="I2156" s="28"/>
      <c r="J2156" s="28"/>
      <c r="K2156" s="28"/>
      <c r="L2156" s="28"/>
      <c r="M2156" s="28"/>
      <c r="N2156" s="28"/>
      <c r="O2156" s="28"/>
      <c r="P2156" s="28"/>
      <c r="Q2156" s="28"/>
      <c r="R2156" s="28"/>
      <c r="S2156" s="28"/>
    </row>
    <row r="2157" spans="1:19" x14ac:dyDescent="0.25">
      <c r="A2157" s="28"/>
      <c r="B2157" s="28"/>
      <c r="C2157" s="28"/>
      <c r="D2157" s="28"/>
      <c r="E2157" s="28"/>
      <c r="F2157" s="28"/>
      <c r="G2157" s="28"/>
      <c r="H2157" s="28"/>
      <c r="I2157" s="28"/>
      <c r="J2157" s="28"/>
      <c r="K2157" s="28"/>
      <c r="L2157" s="28"/>
      <c r="M2157" s="28"/>
      <c r="N2157" s="28"/>
      <c r="O2157" s="28"/>
      <c r="P2157" s="28"/>
      <c r="Q2157" s="28"/>
      <c r="R2157" s="28"/>
      <c r="S2157" s="28"/>
    </row>
    <row r="2158" spans="1:19" x14ac:dyDescent="0.25">
      <c r="A2158" s="28"/>
      <c r="B2158" s="28"/>
      <c r="C2158" s="28"/>
      <c r="D2158" s="28"/>
      <c r="E2158" s="28"/>
      <c r="F2158" s="28"/>
      <c r="G2158" s="28"/>
      <c r="H2158" s="28"/>
      <c r="I2158" s="28"/>
      <c r="J2158" s="28"/>
      <c r="K2158" s="28"/>
      <c r="L2158" s="28"/>
      <c r="M2158" s="28"/>
      <c r="N2158" s="28"/>
      <c r="O2158" s="28"/>
      <c r="P2158" s="28"/>
      <c r="Q2158" s="28"/>
      <c r="R2158" s="28"/>
      <c r="S2158" s="28"/>
    </row>
    <row r="2159" spans="1:19" x14ac:dyDescent="0.25">
      <c r="A2159" s="28"/>
      <c r="B2159" s="28"/>
      <c r="C2159" s="28"/>
      <c r="D2159" s="28"/>
      <c r="E2159" s="28"/>
      <c r="F2159" s="28"/>
      <c r="G2159" s="28"/>
      <c r="H2159" s="28"/>
      <c r="I2159" s="28"/>
      <c r="J2159" s="28"/>
      <c r="K2159" s="28"/>
      <c r="L2159" s="28"/>
      <c r="M2159" s="28"/>
      <c r="N2159" s="28"/>
      <c r="O2159" s="28"/>
      <c r="P2159" s="28"/>
      <c r="Q2159" s="28"/>
      <c r="R2159" s="28"/>
      <c r="S2159" s="28"/>
    </row>
    <row r="2160" spans="1:19" x14ac:dyDescent="0.25">
      <c r="A2160" s="28"/>
      <c r="B2160" s="28"/>
      <c r="C2160" s="28"/>
      <c r="D2160" s="28"/>
      <c r="E2160" s="28"/>
      <c r="F2160" s="28"/>
      <c r="G2160" s="28"/>
      <c r="H2160" s="28"/>
      <c r="I2160" s="28"/>
      <c r="J2160" s="28"/>
      <c r="K2160" s="28"/>
      <c r="L2160" s="28"/>
      <c r="M2160" s="28"/>
      <c r="N2160" s="28"/>
      <c r="O2160" s="28"/>
      <c r="P2160" s="28"/>
      <c r="Q2160" s="28"/>
      <c r="R2160" s="28"/>
      <c r="S2160" s="28"/>
    </row>
    <row r="2161" spans="1:19" x14ac:dyDescent="0.25">
      <c r="A2161" s="28"/>
      <c r="B2161" s="28"/>
      <c r="C2161" s="28"/>
      <c r="D2161" s="28"/>
      <c r="E2161" s="28"/>
      <c r="F2161" s="28"/>
      <c r="G2161" s="28"/>
      <c r="H2161" s="28"/>
      <c r="I2161" s="28"/>
      <c r="J2161" s="28"/>
      <c r="K2161" s="28"/>
      <c r="L2161" s="28"/>
      <c r="M2161" s="28"/>
      <c r="N2161" s="28"/>
      <c r="O2161" s="28"/>
      <c r="P2161" s="28"/>
      <c r="Q2161" s="28"/>
      <c r="R2161" s="28"/>
      <c r="S2161" s="28"/>
    </row>
    <row r="2162" spans="1:19" x14ac:dyDescent="0.25">
      <c r="A2162" s="28"/>
      <c r="B2162" s="28"/>
      <c r="C2162" s="28"/>
      <c r="D2162" s="28"/>
      <c r="E2162" s="28"/>
      <c r="F2162" s="28"/>
      <c r="G2162" s="28"/>
      <c r="H2162" s="28"/>
      <c r="I2162" s="28"/>
      <c r="J2162" s="28"/>
      <c r="K2162" s="28"/>
      <c r="L2162" s="28"/>
      <c r="M2162" s="28"/>
      <c r="N2162" s="28"/>
      <c r="O2162" s="28"/>
      <c r="P2162" s="28"/>
      <c r="Q2162" s="28"/>
      <c r="R2162" s="28"/>
      <c r="S2162" s="28"/>
    </row>
    <row r="2163" spans="1:19" x14ac:dyDescent="0.25">
      <c r="A2163" s="28"/>
      <c r="B2163" s="28"/>
      <c r="C2163" s="28"/>
      <c r="D2163" s="28"/>
      <c r="E2163" s="28"/>
      <c r="F2163" s="28"/>
      <c r="G2163" s="28"/>
      <c r="H2163" s="28"/>
      <c r="I2163" s="28"/>
      <c r="J2163" s="28"/>
      <c r="K2163" s="28"/>
      <c r="L2163" s="28"/>
      <c r="M2163" s="28"/>
      <c r="N2163" s="28"/>
      <c r="O2163" s="28"/>
      <c r="P2163" s="28"/>
      <c r="Q2163" s="28"/>
      <c r="R2163" s="28"/>
      <c r="S2163" s="28"/>
    </row>
    <row r="2164" spans="1:19" x14ac:dyDescent="0.25">
      <c r="A2164" s="28"/>
      <c r="B2164" s="28"/>
      <c r="C2164" s="28"/>
      <c r="D2164" s="28"/>
      <c r="E2164" s="28"/>
      <c r="F2164" s="28"/>
      <c r="G2164" s="28"/>
      <c r="H2164" s="28"/>
      <c r="I2164" s="28"/>
      <c r="J2164" s="28"/>
      <c r="K2164" s="28"/>
      <c r="L2164" s="28"/>
      <c r="M2164" s="28"/>
      <c r="N2164" s="28"/>
      <c r="O2164" s="28"/>
      <c r="P2164" s="28"/>
      <c r="Q2164" s="28"/>
      <c r="R2164" s="28"/>
      <c r="S2164" s="28"/>
    </row>
    <row r="2165" spans="1:19" x14ac:dyDescent="0.25">
      <c r="A2165" s="28"/>
      <c r="B2165" s="28"/>
      <c r="C2165" s="28"/>
      <c r="D2165" s="28"/>
      <c r="E2165" s="28"/>
      <c r="F2165" s="28"/>
      <c r="G2165" s="28"/>
      <c r="H2165" s="28"/>
      <c r="I2165" s="28"/>
      <c r="J2165" s="28"/>
      <c r="K2165" s="28"/>
      <c r="L2165" s="28"/>
      <c r="M2165" s="28"/>
      <c r="N2165" s="28"/>
      <c r="O2165" s="28"/>
      <c r="P2165" s="28"/>
      <c r="Q2165" s="28"/>
      <c r="R2165" s="28"/>
      <c r="S2165" s="28"/>
    </row>
    <row r="2166" spans="1:19" x14ac:dyDescent="0.25">
      <c r="A2166" s="28"/>
      <c r="B2166" s="28"/>
      <c r="C2166" s="28"/>
      <c r="D2166" s="28"/>
      <c r="E2166" s="28"/>
      <c r="F2166" s="28"/>
      <c r="G2166" s="28"/>
      <c r="H2166" s="28"/>
      <c r="I2166" s="28"/>
      <c r="J2166" s="28"/>
      <c r="K2166" s="28"/>
      <c r="L2166" s="28"/>
      <c r="M2166" s="28"/>
      <c r="N2166" s="28"/>
      <c r="O2166" s="28"/>
      <c r="P2166" s="28"/>
      <c r="Q2166" s="28"/>
      <c r="R2166" s="28"/>
      <c r="S2166" s="28"/>
    </row>
    <row r="2167" spans="1:19" x14ac:dyDescent="0.25">
      <c r="A2167" s="28"/>
      <c r="B2167" s="28"/>
      <c r="C2167" s="28"/>
      <c r="D2167" s="28"/>
      <c r="E2167" s="28"/>
      <c r="F2167" s="28"/>
      <c r="G2167" s="28"/>
      <c r="H2167" s="28"/>
      <c r="I2167" s="28"/>
      <c r="J2167" s="28"/>
      <c r="K2167" s="28"/>
      <c r="L2167" s="28"/>
      <c r="M2167" s="28"/>
      <c r="N2167" s="28"/>
      <c r="O2167" s="28"/>
      <c r="P2167" s="28"/>
      <c r="Q2167" s="28"/>
      <c r="R2167" s="28"/>
      <c r="S2167" s="28"/>
    </row>
    <row r="2168" spans="1:19" x14ac:dyDescent="0.25">
      <c r="A2168" s="28"/>
      <c r="B2168" s="28"/>
      <c r="C2168" s="28"/>
      <c r="D2168" s="28"/>
      <c r="E2168" s="28"/>
      <c r="F2168" s="28"/>
      <c r="G2168" s="28"/>
      <c r="H2168" s="28"/>
      <c r="I2168" s="28"/>
      <c r="J2168" s="28"/>
      <c r="K2168" s="28"/>
      <c r="L2168" s="28"/>
      <c r="M2168" s="28"/>
      <c r="N2168" s="28"/>
      <c r="O2168" s="28"/>
      <c r="P2168" s="28"/>
      <c r="Q2168" s="28"/>
      <c r="R2168" s="28"/>
      <c r="S2168" s="28"/>
    </row>
    <row r="2169" spans="1:19" x14ac:dyDescent="0.25">
      <c r="A2169" s="28"/>
      <c r="B2169" s="28"/>
      <c r="C2169" s="28"/>
      <c r="D2169" s="28"/>
      <c r="E2169" s="28"/>
      <c r="F2169" s="28"/>
      <c r="G2169" s="28"/>
      <c r="H2169" s="28"/>
      <c r="I2169" s="28"/>
      <c r="J2169" s="28"/>
      <c r="K2169" s="28"/>
      <c r="L2169" s="28"/>
      <c r="M2169" s="28"/>
      <c r="N2169" s="28"/>
      <c r="O2169" s="28"/>
      <c r="P2169" s="28"/>
      <c r="Q2169" s="28"/>
      <c r="R2169" s="28"/>
      <c r="S2169" s="28"/>
    </row>
    <row r="2170" spans="1:19" x14ac:dyDescent="0.25">
      <c r="A2170" s="28"/>
      <c r="B2170" s="28"/>
      <c r="C2170" s="28"/>
      <c r="D2170" s="28"/>
      <c r="E2170" s="28"/>
      <c r="F2170" s="28"/>
      <c r="G2170" s="28"/>
      <c r="H2170" s="28"/>
      <c r="I2170" s="28"/>
      <c r="J2170" s="28"/>
      <c r="K2170" s="28"/>
      <c r="L2170" s="28"/>
      <c r="M2170" s="28"/>
      <c r="N2170" s="28"/>
      <c r="O2170" s="28"/>
      <c r="P2170" s="28"/>
      <c r="Q2170" s="28"/>
      <c r="R2170" s="28"/>
      <c r="S2170" s="28"/>
    </row>
    <row r="2171" spans="1:19" x14ac:dyDescent="0.25">
      <c r="A2171" s="28"/>
      <c r="B2171" s="28"/>
      <c r="C2171" s="28"/>
      <c r="D2171" s="28"/>
      <c r="E2171" s="28"/>
      <c r="F2171" s="28"/>
      <c r="G2171" s="28"/>
      <c r="H2171" s="28"/>
      <c r="I2171" s="28"/>
      <c r="J2171" s="28"/>
      <c r="K2171" s="28"/>
      <c r="L2171" s="28"/>
      <c r="M2171" s="28"/>
      <c r="N2171" s="28"/>
      <c r="O2171" s="28"/>
      <c r="P2171" s="28"/>
      <c r="Q2171" s="28"/>
      <c r="R2171" s="28"/>
      <c r="S2171" s="28"/>
    </row>
    <row r="2172" spans="1:19" x14ac:dyDescent="0.25">
      <c r="A2172" s="28"/>
      <c r="B2172" s="28"/>
      <c r="C2172" s="28"/>
      <c r="D2172" s="28"/>
      <c r="E2172" s="28"/>
      <c r="F2172" s="28"/>
      <c r="G2172" s="28"/>
      <c r="H2172" s="28"/>
      <c r="I2172" s="28"/>
      <c r="J2172" s="28"/>
      <c r="K2172" s="28"/>
      <c r="L2172" s="28"/>
      <c r="M2172" s="28"/>
      <c r="N2172" s="28"/>
      <c r="O2172" s="28"/>
      <c r="P2172" s="28"/>
      <c r="Q2172" s="28"/>
      <c r="R2172" s="28"/>
      <c r="S2172" s="28"/>
    </row>
    <row r="2173" spans="1:19" x14ac:dyDescent="0.25">
      <c r="A2173" s="28"/>
      <c r="B2173" s="28"/>
      <c r="C2173" s="28"/>
      <c r="D2173" s="28"/>
      <c r="E2173" s="28"/>
      <c r="F2173" s="28"/>
      <c r="G2173" s="28"/>
      <c r="H2173" s="28"/>
      <c r="I2173" s="28"/>
      <c r="J2173" s="28"/>
      <c r="K2173" s="28"/>
      <c r="L2173" s="28"/>
      <c r="M2173" s="28"/>
      <c r="N2173" s="28"/>
      <c r="O2173" s="28"/>
      <c r="P2173" s="28"/>
      <c r="Q2173" s="28"/>
      <c r="R2173" s="28"/>
      <c r="S2173" s="28"/>
    </row>
    <row r="2174" spans="1:19" x14ac:dyDescent="0.25">
      <c r="A2174" s="28"/>
      <c r="B2174" s="28"/>
      <c r="C2174" s="28"/>
      <c r="D2174" s="28"/>
      <c r="E2174" s="28"/>
      <c r="F2174" s="28"/>
      <c r="G2174" s="28"/>
      <c r="H2174" s="28"/>
      <c r="I2174" s="28"/>
      <c r="J2174" s="28"/>
      <c r="K2174" s="28"/>
      <c r="L2174" s="28"/>
      <c r="M2174" s="28"/>
      <c r="N2174" s="28"/>
      <c r="O2174" s="28"/>
      <c r="P2174" s="28"/>
      <c r="Q2174" s="28"/>
      <c r="R2174" s="28"/>
      <c r="S2174" s="28"/>
    </row>
    <row r="2175" spans="1:19" x14ac:dyDescent="0.25">
      <c r="A2175" s="28"/>
      <c r="B2175" s="28"/>
      <c r="C2175" s="28"/>
      <c r="D2175" s="28"/>
      <c r="E2175" s="28"/>
      <c r="F2175" s="28"/>
      <c r="G2175" s="28"/>
      <c r="H2175" s="28"/>
      <c r="I2175" s="28"/>
      <c r="J2175" s="28"/>
      <c r="K2175" s="28"/>
      <c r="L2175" s="28"/>
      <c r="M2175" s="28"/>
      <c r="N2175" s="28"/>
      <c r="O2175" s="28"/>
      <c r="P2175" s="28"/>
      <c r="Q2175" s="28"/>
      <c r="R2175" s="28"/>
      <c r="S2175" s="28"/>
    </row>
    <row r="2176" spans="1:19" x14ac:dyDescent="0.25">
      <c r="A2176" s="28"/>
      <c r="B2176" s="28"/>
      <c r="C2176" s="28"/>
      <c r="D2176" s="28"/>
      <c r="E2176" s="28"/>
      <c r="F2176" s="28"/>
      <c r="G2176" s="28"/>
      <c r="H2176" s="28"/>
      <c r="I2176" s="28"/>
      <c r="J2176" s="28"/>
      <c r="K2176" s="28"/>
      <c r="L2176" s="28"/>
      <c r="M2176" s="28"/>
      <c r="N2176" s="28"/>
      <c r="O2176" s="28"/>
      <c r="P2176" s="28"/>
      <c r="Q2176" s="28"/>
      <c r="R2176" s="28"/>
      <c r="S2176" s="28"/>
    </row>
    <row r="2177" spans="1:19" x14ac:dyDescent="0.25">
      <c r="A2177" s="28"/>
      <c r="B2177" s="28"/>
      <c r="C2177" s="28"/>
      <c r="D2177" s="28"/>
      <c r="E2177" s="28"/>
      <c r="F2177" s="28"/>
      <c r="G2177" s="28"/>
      <c r="H2177" s="28"/>
      <c r="I2177" s="28"/>
      <c r="J2177" s="28"/>
      <c r="K2177" s="28"/>
      <c r="L2177" s="28"/>
      <c r="M2177" s="28"/>
      <c r="N2177" s="28"/>
      <c r="O2177" s="28"/>
      <c r="P2177" s="28"/>
      <c r="Q2177" s="28"/>
      <c r="R2177" s="28"/>
      <c r="S2177" s="28"/>
    </row>
    <row r="2178" spans="1:19" x14ac:dyDescent="0.25">
      <c r="A2178" s="28"/>
      <c r="B2178" s="28"/>
      <c r="C2178" s="28"/>
      <c r="D2178" s="28"/>
      <c r="E2178" s="28"/>
      <c r="F2178" s="28"/>
      <c r="G2178" s="28"/>
      <c r="H2178" s="28"/>
      <c r="I2178" s="28"/>
      <c r="J2178" s="28"/>
      <c r="K2178" s="28"/>
      <c r="L2178" s="28"/>
      <c r="M2178" s="28"/>
      <c r="N2178" s="28"/>
      <c r="O2178" s="28"/>
      <c r="P2178" s="28"/>
      <c r="Q2178" s="28"/>
      <c r="R2178" s="28"/>
      <c r="S2178" s="28"/>
    </row>
    <row r="2179" spans="1:19" x14ac:dyDescent="0.25">
      <c r="A2179" s="28"/>
      <c r="B2179" s="28"/>
      <c r="C2179" s="28"/>
      <c r="D2179" s="28"/>
      <c r="E2179" s="28"/>
      <c r="F2179" s="28"/>
      <c r="G2179" s="28"/>
      <c r="H2179" s="28"/>
      <c r="I2179" s="28"/>
      <c r="J2179" s="28"/>
      <c r="K2179" s="28"/>
      <c r="L2179" s="28"/>
      <c r="M2179" s="28"/>
      <c r="N2179" s="28"/>
      <c r="O2179" s="28"/>
      <c r="P2179" s="28"/>
      <c r="Q2179" s="28"/>
      <c r="R2179" s="28"/>
      <c r="S2179" s="28"/>
    </row>
    <row r="2180" spans="1:19" x14ac:dyDescent="0.25">
      <c r="A2180" s="28"/>
      <c r="B2180" s="28"/>
      <c r="C2180" s="28"/>
      <c r="D2180" s="28"/>
      <c r="E2180" s="28"/>
      <c r="F2180" s="28"/>
      <c r="G2180" s="28"/>
      <c r="H2180" s="28"/>
      <c r="I2180" s="28"/>
      <c r="J2180" s="28"/>
      <c r="K2180" s="28"/>
      <c r="L2180" s="28"/>
      <c r="M2180" s="28"/>
      <c r="N2180" s="28"/>
      <c r="O2180" s="28"/>
      <c r="P2180" s="28"/>
      <c r="Q2180" s="28"/>
      <c r="R2180" s="28"/>
      <c r="S2180" s="28"/>
    </row>
    <row r="2181" spans="1:19" x14ac:dyDescent="0.25">
      <c r="A2181" s="28"/>
      <c r="B2181" s="28"/>
      <c r="C2181" s="28"/>
      <c r="D2181" s="28"/>
      <c r="E2181" s="28"/>
      <c r="F2181" s="28"/>
      <c r="G2181" s="28"/>
      <c r="H2181" s="28"/>
      <c r="I2181" s="28"/>
      <c r="J2181" s="28"/>
      <c r="K2181" s="28"/>
      <c r="L2181" s="28"/>
      <c r="M2181" s="28"/>
      <c r="N2181" s="28"/>
      <c r="O2181" s="28"/>
      <c r="P2181" s="28"/>
      <c r="Q2181" s="28"/>
      <c r="R2181" s="28"/>
      <c r="S2181" s="28"/>
    </row>
    <row r="2182" spans="1:19" x14ac:dyDescent="0.25">
      <c r="A2182" s="28"/>
      <c r="B2182" s="28"/>
      <c r="C2182" s="28"/>
      <c r="D2182" s="28"/>
      <c r="E2182" s="28"/>
      <c r="F2182" s="28"/>
      <c r="G2182" s="28"/>
      <c r="H2182" s="28"/>
      <c r="I2182" s="28"/>
      <c r="J2182" s="28"/>
      <c r="K2182" s="28"/>
      <c r="L2182" s="28"/>
      <c r="M2182" s="28"/>
      <c r="N2182" s="28"/>
      <c r="O2182" s="28"/>
      <c r="P2182" s="28"/>
      <c r="Q2182" s="28"/>
      <c r="R2182" s="28"/>
      <c r="S2182" s="28"/>
    </row>
    <row r="2183" spans="1:19" x14ac:dyDescent="0.25">
      <c r="A2183" s="28"/>
      <c r="B2183" s="28"/>
      <c r="C2183" s="28"/>
      <c r="D2183" s="28"/>
      <c r="E2183" s="28"/>
      <c r="F2183" s="28"/>
      <c r="G2183" s="28"/>
      <c r="H2183" s="28"/>
      <c r="I2183" s="28"/>
      <c r="J2183" s="28"/>
      <c r="K2183" s="28"/>
      <c r="L2183" s="28"/>
      <c r="M2183" s="28"/>
      <c r="N2183" s="28"/>
      <c r="O2183" s="28"/>
      <c r="P2183" s="28"/>
      <c r="Q2183" s="28"/>
      <c r="R2183" s="28"/>
      <c r="S2183" s="28"/>
    </row>
    <row r="2184" spans="1:19" x14ac:dyDescent="0.25">
      <c r="A2184" s="28"/>
      <c r="B2184" s="28"/>
      <c r="C2184" s="28"/>
      <c r="D2184" s="28"/>
      <c r="E2184" s="28"/>
      <c r="F2184" s="28"/>
      <c r="G2184" s="28"/>
      <c r="H2184" s="28"/>
      <c r="I2184" s="28"/>
      <c r="J2184" s="28"/>
      <c r="K2184" s="28"/>
      <c r="L2184" s="28"/>
      <c r="M2184" s="28"/>
      <c r="N2184" s="28"/>
      <c r="O2184" s="28"/>
      <c r="P2184" s="28"/>
      <c r="Q2184" s="28"/>
      <c r="R2184" s="28"/>
      <c r="S2184" s="28"/>
    </row>
    <row r="2185" spans="1:19" x14ac:dyDescent="0.25">
      <c r="A2185" s="28"/>
      <c r="B2185" s="28"/>
      <c r="C2185" s="28"/>
      <c r="D2185" s="28"/>
      <c r="E2185" s="28"/>
      <c r="F2185" s="28"/>
      <c r="G2185" s="28"/>
      <c r="H2185" s="28"/>
      <c r="I2185" s="28"/>
      <c r="J2185" s="28"/>
      <c r="K2185" s="28"/>
      <c r="L2185" s="28"/>
      <c r="M2185" s="28"/>
      <c r="N2185" s="28"/>
      <c r="O2185" s="28"/>
      <c r="P2185" s="28"/>
      <c r="Q2185" s="28"/>
      <c r="R2185" s="28"/>
      <c r="S2185" s="28"/>
    </row>
    <row r="2186" spans="1:19" x14ac:dyDescent="0.25">
      <c r="A2186" s="28"/>
      <c r="B2186" s="28"/>
      <c r="C2186" s="28"/>
      <c r="D2186" s="28"/>
      <c r="E2186" s="28"/>
      <c r="F2186" s="28"/>
      <c r="G2186" s="28"/>
      <c r="H2186" s="28"/>
      <c r="I2186" s="28"/>
      <c r="J2186" s="28"/>
      <c r="K2186" s="28"/>
      <c r="L2186" s="28"/>
      <c r="M2186" s="28"/>
      <c r="N2186" s="28"/>
      <c r="O2186" s="28"/>
      <c r="P2186" s="28"/>
      <c r="Q2186" s="28"/>
      <c r="R2186" s="28"/>
      <c r="S2186" s="28"/>
    </row>
    <row r="2187" spans="1:19" x14ac:dyDescent="0.25">
      <c r="A2187" s="28"/>
      <c r="B2187" s="28"/>
      <c r="C2187" s="28"/>
      <c r="D2187" s="28"/>
      <c r="E2187" s="28"/>
      <c r="F2187" s="28"/>
      <c r="G2187" s="28"/>
      <c r="H2187" s="28"/>
      <c r="I2187" s="28"/>
      <c r="J2187" s="28"/>
      <c r="K2187" s="28"/>
      <c r="L2187" s="28"/>
      <c r="M2187" s="28"/>
      <c r="N2187" s="28"/>
      <c r="O2187" s="28"/>
      <c r="P2187" s="28"/>
      <c r="Q2187" s="28"/>
      <c r="R2187" s="28"/>
      <c r="S2187" s="28"/>
    </row>
    <row r="2188" spans="1:19" x14ac:dyDescent="0.25">
      <c r="A2188" s="28"/>
      <c r="B2188" s="28"/>
      <c r="C2188" s="28"/>
      <c r="D2188" s="28"/>
      <c r="E2188" s="28"/>
      <c r="F2188" s="28"/>
      <c r="G2188" s="28"/>
      <c r="H2188" s="28"/>
      <c r="I2188" s="28"/>
      <c r="J2188" s="28"/>
      <c r="K2188" s="28"/>
      <c r="L2188" s="28"/>
      <c r="M2188" s="28"/>
      <c r="N2188" s="28"/>
      <c r="O2188" s="28"/>
      <c r="P2188" s="28"/>
      <c r="Q2188" s="28"/>
      <c r="R2188" s="28"/>
      <c r="S2188" s="28"/>
    </row>
    <row r="2189" spans="1:19" x14ac:dyDescent="0.25">
      <c r="A2189" s="28"/>
      <c r="B2189" s="28"/>
      <c r="C2189" s="28"/>
      <c r="D2189" s="28"/>
      <c r="E2189" s="28"/>
      <c r="F2189" s="28"/>
      <c r="G2189" s="28"/>
      <c r="H2189" s="28"/>
      <c r="I2189" s="28"/>
      <c r="J2189" s="28"/>
      <c r="K2189" s="28"/>
      <c r="L2189" s="28"/>
      <c r="M2189" s="28"/>
      <c r="N2189" s="28"/>
      <c r="O2189" s="28"/>
      <c r="P2189" s="28"/>
      <c r="Q2189" s="28"/>
      <c r="R2189" s="28"/>
      <c r="S2189" s="28"/>
    </row>
    <row r="2190" spans="1:19" x14ac:dyDescent="0.25">
      <c r="A2190" s="28"/>
      <c r="B2190" s="28"/>
      <c r="C2190" s="28"/>
      <c r="D2190" s="28"/>
      <c r="E2190" s="28"/>
      <c r="F2190" s="28"/>
      <c r="G2190" s="28"/>
      <c r="H2190" s="28"/>
      <c r="I2190" s="28"/>
      <c r="J2190" s="28"/>
      <c r="K2190" s="28"/>
      <c r="L2190" s="28"/>
      <c r="M2190" s="28"/>
      <c r="N2190" s="28"/>
      <c r="O2190" s="28"/>
      <c r="P2190" s="28"/>
      <c r="Q2190" s="28"/>
      <c r="R2190" s="28"/>
      <c r="S2190" s="28"/>
    </row>
    <row r="2191" spans="1:19" x14ac:dyDescent="0.25">
      <c r="A2191" s="28"/>
      <c r="B2191" s="28"/>
      <c r="C2191" s="28"/>
      <c r="D2191" s="28"/>
      <c r="E2191" s="28"/>
      <c r="F2191" s="28"/>
      <c r="G2191" s="28"/>
      <c r="H2191" s="28"/>
      <c r="I2191" s="28"/>
      <c r="J2191" s="28"/>
      <c r="K2191" s="28"/>
      <c r="L2191" s="28"/>
      <c r="M2191" s="28"/>
      <c r="N2191" s="28"/>
      <c r="O2191" s="28"/>
      <c r="P2191" s="28"/>
      <c r="Q2191" s="28"/>
      <c r="R2191" s="28"/>
      <c r="S2191" s="28"/>
    </row>
    <row r="2192" spans="1:19" x14ac:dyDescent="0.25">
      <c r="A2192" s="28"/>
      <c r="B2192" s="28"/>
      <c r="C2192" s="28"/>
      <c r="D2192" s="28"/>
      <c r="E2192" s="28"/>
      <c r="F2192" s="28"/>
      <c r="G2192" s="28"/>
      <c r="H2192" s="28"/>
      <c r="I2192" s="28"/>
      <c r="J2192" s="28"/>
      <c r="K2192" s="28"/>
      <c r="L2192" s="28"/>
      <c r="M2192" s="28"/>
      <c r="N2192" s="28"/>
      <c r="O2192" s="28"/>
      <c r="P2192" s="28"/>
      <c r="Q2192" s="28"/>
      <c r="R2192" s="28"/>
      <c r="S2192" s="28"/>
    </row>
    <row r="2193" spans="1:19" x14ac:dyDescent="0.25">
      <c r="A2193" s="28"/>
      <c r="B2193" s="28"/>
      <c r="C2193" s="28"/>
      <c r="D2193" s="28"/>
      <c r="E2193" s="28"/>
      <c r="F2193" s="28"/>
      <c r="G2193" s="28"/>
      <c r="H2193" s="28"/>
      <c r="I2193" s="28"/>
      <c r="J2193" s="28"/>
      <c r="K2193" s="28"/>
      <c r="L2193" s="28"/>
      <c r="M2193" s="28"/>
      <c r="N2193" s="28"/>
      <c r="O2193" s="28"/>
      <c r="P2193" s="28"/>
      <c r="Q2193" s="28"/>
      <c r="R2193" s="28"/>
      <c r="S2193" s="28"/>
    </row>
    <row r="2194" spans="1:19" x14ac:dyDescent="0.25">
      <c r="A2194" s="28"/>
      <c r="B2194" s="28"/>
      <c r="C2194" s="28"/>
      <c r="D2194" s="28"/>
      <c r="E2194" s="28"/>
      <c r="F2194" s="28"/>
      <c r="G2194" s="28"/>
      <c r="H2194" s="28"/>
      <c r="I2194" s="28"/>
      <c r="J2194" s="28"/>
      <c r="K2194" s="28"/>
      <c r="L2194" s="28"/>
      <c r="M2194" s="28"/>
      <c r="N2194" s="28"/>
      <c r="O2194" s="28"/>
      <c r="P2194" s="28"/>
      <c r="Q2194" s="28"/>
      <c r="R2194" s="28"/>
      <c r="S2194" s="28"/>
    </row>
    <row r="2195" spans="1:19" x14ac:dyDescent="0.25">
      <c r="A2195" s="28"/>
      <c r="B2195" s="28"/>
      <c r="C2195" s="28"/>
      <c r="D2195" s="28"/>
      <c r="E2195" s="28"/>
      <c r="F2195" s="28"/>
      <c r="G2195" s="28"/>
      <c r="H2195" s="28"/>
      <c r="I2195" s="28"/>
      <c r="J2195" s="28"/>
      <c r="K2195" s="28"/>
      <c r="L2195" s="28"/>
      <c r="M2195" s="28"/>
      <c r="N2195" s="28"/>
      <c r="O2195" s="28"/>
      <c r="P2195" s="28"/>
      <c r="Q2195" s="28"/>
      <c r="R2195" s="28"/>
      <c r="S2195" s="28"/>
    </row>
    <row r="2196" spans="1:19" x14ac:dyDescent="0.25">
      <c r="A2196" s="28"/>
      <c r="B2196" s="28"/>
      <c r="C2196" s="28"/>
      <c r="D2196" s="28"/>
      <c r="E2196" s="28"/>
      <c r="F2196" s="28"/>
      <c r="G2196" s="28"/>
      <c r="H2196" s="28"/>
      <c r="I2196" s="28"/>
      <c r="J2196" s="28"/>
      <c r="K2196" s="28"/>
      <c r="L2196" s="28"/>
      <c r="M2196" s="28"/>
      <c r="N2196" s="28"/>
      <c r="O2196" s="28"/>
      <c r="P2196" s="28"/>
      <c r="Q2196" s="28"/>
      <c r="R2196" s="28"/>
      <c r="S2196" s="28"/>
    </row>
    <row r="2197" spans="1:19" x14ac:dyDescent="0.25">
      <c r="A2197" s="28"/>
      <c r="B2197" s="28"/>
      <c r="C2197" s="28"/>
      <c r="D2197" s="28"/>
      <c r="E2197" s="28"/>
      <c r="F2197" s="28"/>
      <c r="G2197" s="28"/>
      <c r="H2197" s="28"/>
      <c r="I2197" s="28"/>
      <c r="J2197" s="28"/>
      <c r="K2197" s="28"/>
      <c r="L2197" s="28"/>
      <c r="M2197" s="28"/>
      <c r="N2197" s="28"/>
      <c r="O2197" s="28"/>
      <c r="P2197" s="28"/>
      <c r="Q2197" s="28"/>
      <c r="R2197" s="28"/>
      <c r="S2197" s="28"/>
    </row>
    <row r="2198" spans="1:19" x14ac:dyDescent="0.25">
      <c r="A2198" s="28"/>
      <c r="B2198" s="28"/>
      <c r="C2198" s="28"/>
      <c r="D2198" s="28"/>
      <c r="E2198" s="28"/>
      <c r="F2198" s="28"/>
      <c r="G2198" s="28"/>
      <c r="H2198" s="28"/>
      <c r="I2198" s="28"/>
      <c r="J2198" s="28"/>
      <c r="K2198" s="28"/>
      <c r="L2198" s="28"/>
      <c r="M2198" s="28"/>
      <c r="N2198" s="28"/>
      <c r="O2198" s="28"/>
      <c r="P2198" s="28"/>
      <c r="Q2198" s="28"/>
      <c r="R2198" s="28"/>
      <c r="S2198" s="28"/>
    </row>
    <row r="2199" spans="1:19" x14ac:dyDescent="0.25">
      <c r="A2199" s="28"/>
      <c r="B2199" s="28"/>
      <c r="C2199" s="28"/>
      <c r="D2199" s="28"/>
      <c r="E2199" s="28"/>
      <c r="F2199" s="28"/>
      <c r="G2199" s="28"/>
      <c r="H2199" s="28"/>
      <c r="I2199" s="28"/>
      <c r="J2199" s="28"/>
      <c r="K2199" s="28"/>
      <c r="L2199" s="28"/>
      <c r="M2199" s="28"/>
      <c r="N2199" s="28"/>
      <c r="O2199" s="28"/>
      <c r="P2199" s="28"/>
      <c r="Q2199" s="28"/>
      <c r="R2199" s="28"/>
      <c r="S2199" s="28"/>
    </row>
    <row r="2200" spans="1:19" x14ac:dyDescent="0.25">
      <c r="A2200" s="28"/>
      <c r="B2200" s="28"/>
      <c r="C2200" s="28"/>
      <c r="D2200" s="28"/>
      <c r="E2200" s="28"/>
      <c r="F2200" s="28"/>
      <c r="G2200" s="28"/>
      <c r="H2200" s="28"/>
      <c r="I2200" s="28"/>
      <c r="J2200" s="28"/>
      <c r="K2200" s="28"/>
      <c r="L2200" s="28"/>
      <c r="M2200" s="28"/>
      <c r="N2200" s="28"/>
      <c r="O2200" s="28"/>
      <c r="P2200" s="28"/>
      <c r="Q2200" s="28"/>
      <c r="R2200" s="28"/>
      <c r="S2200" s="28"/>
    </row>
    <row r="2201" spans="1:19" x14ac:dyDescent="0.25">
      <c r="A2201" s="28"/>
      <c r="B2201" s="28"/>
      <c r="C2201" s="28"/>
      <c r="D2201" s="28"/>
      <c r="E2201" s="28"/>
      <c r="F2201" s="28"/>
      <c r="G2201" s="28"/>
      <c r="H2201" s="28"/>
      <c r="I2201" s="28"/>
      <c r="J2201" s="28"/>
      <c r="K2201" s="28"/>
      <c r="L2201" s="28"/>
      <c r="M2201" s="28"/>
      <c r="N2201" s="28"/>
      <c r="O2201" s="28"/>
      <c r="P2201" s="28"/>
      <c r="Q2201" s="28"/>
      <c r="R2201" s="28"/>
      <c r="S2201" s="28"/>
    </row>
    <row r="2202" spans="1:19" x14ac:dyDescent="0.25">
      <c r="A2202" s="28"/>
      <c r="B2202" s="28"/>
      <c r="C2202" s="28"/>
      <c r="D2202" s="28"/>
      <c r="E2202" s="28"/>
      <c r="F2202" s="28"/>
      <c r="G2202" s="28"/>
      <c r="H2202" s="28"/>
      <c r="I2202" s="28"/>
      <c r="J2202" s="28"/>
      <c r="K2202" s="28"/>
      <c r="L2202" s="28"/>
      <c r="M2202" s="28"/>
      <c r="N2202" s="28"/>
      <c r="O2202" s="28"/>
      <c r="P2202" s="28"/>
      <c r="Q2202" s="28"/>
      <c r="R2202" s="28"/>
      <c r="S2202" s="28"/>
    </row>
    <row r="2203" spans="1:19" x14ac:dyDescent="0.25">
      <c r="A2203" s="28"/>
      <c r="B2203" s="28"/>
      <c r="C2203" s="28"/>
      <c r="D2203" s="28"/>
      <c r="E2203" s="28"/>
      <c r="F2203" s="28"/>
      <c r="G2203" s="28"/>
      <c r="H2203" s="28"/>
      <c r="I2203" s="28"/>
      <c r="J2203" s="28"/>
      <c r="K2203" s="28"/>
      <c r="L2203" s="28"/>
      <c r="M2203" s="28"/>
      <c r="N2203" s="28"/>
      <c r="O2203" s="28"/>
      <c r="P2203" s="28"/>
      <c r="Q2203" s="28"/>
      <c r="R2203" s="28"/>
      <c r="S2203" s="28"/>
    </row>
    <row r="2204" spans="1:19" x14ac:dyDescent="0.25">
      <c r="A2204" s="28"/>
      <c r="B2204" s="28"/>
      <c r="C2204" s="28"/>
      <c r="D2204" s="28"/>
      <c r="E2204" s="28"/>
      <c r="F2204" s="28"/>
      <c r="G2204" s="28"/>
      <c r="H2204" s="28"/>
      <c r="I2204" s="28"/>
      <c r="J2204" s="28"/>
      <c r="K2204" s="28"/>
      <c r="L2204" s="28"/>
      <c r="M2204" s="28"/>
      <c r="N2204" s="28"/>
      <c r="O2204" s="28"/>
      <c r="P2204" s="28"/>
      <c r="Q2204" s="28"/>
      <c r="R2204" s="28"/>
      <c r="S2204" s="28"/>
    </row>
    <row r="2205" spans="1:19" x14ac:dyDescent="0.25">
      <c r="A2205" s="28"/>
      <c r="B2205" s="28"/>
      <c r="C2205" s="28"/>
      <c r="D2205" s="28"/>
      <c r="E2205" s="28"/>
      <c r="F2205" s="28"/>
      <c r="G2205" s="28"/>
      <c r="H2205" s="28"/>
      <c r="I2205" s="28"/>
      <c r="J2205" s="28"/>
      <c r="K2205" s="28"/>
      <c r="L2205" s="28"/>
      <c r="M2205" s="28"/>
      <c r="N2205" s="28"/>
      <c r="O2205" s="28"/>
      <c r="P2205" s="28"/>
      <c r="Q2205" s="28"/>
      <c r="R2205" s="28"/>
      <c r="S2205" s="28"/>
    </row>
    <row r="2206" spans="1:19" x14ac:dyDescent="0.25">
      <c r="A2206" s="28"/>
      <c r="B2206" s="28"/>
      <c r="C2206" s="28"/>
      <c r="D2206" s="28"/>
      <c r="E2206" s="28"/>
      <c r="F2206" s="28"/>
      <c r="G2206" s="28"/>
      <c r="H2206" s="28"/>
      <c r="I2206" s="28"/>
      <c r="J2206" s="28"/>
      <c r="K2206" s="28"/>
      <c r="L2206" s="28"/>
      <c r="M2206" s="28"/>
      <c r="N2206" s="28"/>
      <c r="O2206" s="28"/>
      <c r="P2206" s="28"/>
      <c r="Q2206" s="28"/>
      <c r="R2206" s="28"/>
      <c r="S2206" s="28"/>
    </row>
    <row r="2207" spans="1:19" x14ac:dyDescent="0.25">
      <c r="A2207" s="28"/>
      <c r="B2207" s="28"/>
      <c r="C2207" s="28"/>
      <c r="D2207" s="28"/>
      <c r="E2207" s="28"/>
      <c r="F2207" s="28"/>
      <c r="G2207" s="28"/>
      <c r="H2207" s="28"/>
      <c r="I2207" s="28"/>
      <c r="J2207" s="28"/>
      <c r="K2207" s="28"/>
      <c r="L2207" s="28"/>
      <c r="M2207" s="28"/>
      <c r="N2207" s="28"/>
      <c r="O2207" s="28"/>
      <c r="P2207" s="28"/>
      <c r="Q2207" s="28"/>
      <c r="R2207" s="28"/>
      <c r="S2207" s="28"/>
    </row>
    <row r="2208" spans="1:19" x14ac:dyDescent="0.25">
      <c r="A2208" s="28"/>
      <c r="B2208" s="28"/>
      <c r="C2208" s="28"/>
      <c r="D2208" s="28"/>
      <c r="E2208" s="28"/>
      <c r="F2208" s="28"/>
      <c r="G2208" s="28"/>
      <c r="H2208" s="28"/>
      <c r="I2208" s="28"/>
      <c r="J2208" s="28"/>
      <c r="K2208" s="28"/>
      <c r="L2208" s="28"/>
      <c r="M2208" s="28"/>
      <c r="N2208" s="28"/>
      <c r="O2208" s="28"/>
      <c r="P2208" s="28"/>
      <c r="Q2208" s="28"/>
      <c r="R2208" s="28"/>
      <c r="S2208" s="28"/>
    </row>
    <row r="2209" spans="1:19" x14ac:dyDescent="0.25">
      <c r="A2209" s="28"/>
      <c r="B2209" s="28"/>
      <c r="C2209" s="28"/>
      <c r="D2209" s="28"/>
      <c r="E2209" s="28"/>
      <c r="F2209" s="28"/>
      <c r="G2209" s="28"/>
      <c r="H2209" s="28"/>
      <c r="I2209" s="28"/>
      <c r="J2209" s="28"/>
      <c r="K2209" s="28"/>
      <c r="L2209" s="28"/>
      <c r="M2209" s="28"/>
      <c r="N2209" s="28"/>
      <c r="O2209" s="28"/>
      <c r="P2209" s="28"/>
      <c r="Q2209" s="28"/>
      <c r="R2209" s="28"/>
      <c r="S2209" s="28"/>
    </row>
    <row r="2210" spans="1:19" x14ac:dyDescent="0.25">
      <c r="A2210" s="28"/>
      <c r="B2210" s="28"/>
      <c r="C2210" s="28"/>
      <c r="D2210" s="28"/>
      <c r="E2210" s="28"/>
      <c r="F2210" s="28"/>
      <c r="G2210" s="28"/>
      <c r="H2210" s="28"/>
      <c r="I2210" s="28"/>
      <c r="J2210" s="28"/>
      <c r="K2210" s="28"/>
      <c r="L2210" s="28"/>
      <c r="M2210" s="28"/>
      <c r="N2210" s="28"/>
      <c r="O2210" s="28"/>
      <c r="P2210" s="28"/>
      <c r="Q2210" s="28"/>
      <c r="R2210" s="28"/>
      <c r="S2210" s="28"/>
    </row>
    <row r="2211" spans="1:19" x14ac:dyDescent="0.25">
      <c r="A2211" s="28"/>
      <c r="B2211" s="28"/>
      <c r="C2211" s="28"/>
      <c r="D2211" s="28"/>
      <c r="E2211" s="28"/>
      <c r="F2211" s="28"/>
      <c r="G2211" s="28"/>
      <c r="H2211" s="28"/>
      <c r="I2211" s="28"/>
      <c r="J2211" s="28"/>
      <c r="K2211" s="28"/>
      <c r="L2211" s="28"/>
      <c r="M2211" s="28"/>
      <c r="N2211" s="28"/>
      <c r="O2211" s="28"/>
      <c r="P2211" s="28"/>
      <c r="Q2211" s="28"/>
      <c r="R2211" s="28"/>
      <c r="S2211" s="28"/>
    </row>
    <row r="2212" spans="1:19" x14ac:dyDescent="0.25">
      <c r="A2212" s="28"/>
      <c r="B2212" s="28"/>
      <c r="C2212" s="28"/>
      <c r="D2212" s="28"/>
      <c r="E2212" s="28"/>
      <c r="F2212" s="28"/>
      <c r="G2212" s="28"/>
      <c r="H2212" s="28"/>
      <c r="I2212" s="28"/>
      <c r="J2212" s="28"/>
      <c r="K2212" s="28"/>
      <c r="L2212" s="28"/>
      <c r="M2212" s="28"/>
      <c r="N2212" s="28"/>
      <c r="O2212" s="28"/>
      <c r="P2212" s="28"/>
      <c r="Q2212" s="28"/>
      <c r="R2212" s="28"/>
      <c r="S2212" s="28"/>
    </row>
    <row r="2213" spans="1:19" x14ac:dyDescent="0.25">
      <c r="A2213" s="28"/>
      <c r="B2213" s="28"/>
      <c r="C2213" s="28"/>
      <c r="D2213" s="28"/>
      <c r="E2213" s="28"/>
      <c r="F2213" s="28"/>
      <c r="G2213" s="28"/>
      <c r="H2213" s="28"/>
      <c r="I2213" s="28"/>
      <c r="J2213" s="28"/>
      <c r="K2213" s="28"/>
      <c r="L2213" s="28"/>
      <c r="M2213" s="28"/>
      <c r="N2213" s="28"/>
      <c r="O2213" s="28"/>
      <c r="P2213" s="28"/>
      <c r="Q2213" s="28"/>
      <c r="R2213" s="28"/>
      <c r="S2213" s="28"/>
    </row>
    <row r="2214" spans="1:19" x14ac:dyDescent="0.25">
      <c r="A2214" s="28"/>
      <c r="B2214" s="28"/>
      <c r="C2214" s="28"/>
      <c r="D2214" s="28"/>
      <c r="E2214" s="28"/>
      <c r="F2214" s="28"/>
      <c r="G2214" s="28"/>
      <c r="H2214" s="28"/>
      <c r="I2214" s="28"/>
      <c r="J2214" s="28"/>
      <c r="K2214" s="28"/>
      <c r="L2214" s="28"/>
      <c r="M2214" s="28"/>
      <c r="N2214" s="28"/>
      <c r="O2214" s="28"/>
      <c r="P2214" s="28"/>
      <c r="Q2214" s="28"/>
      <c r="R2214" s="28"/>
      <c r="S2214" s="28"/>
    </row>
    <row r="2215" spans="1:19" x14ac:dyDescent="0.25">
      <c r="A2215" s="28"/>
      <c r="B2215" s="28"/>
      <c r="C2215" s="28"/>
      <c r="D2215" s="28"/>
      <c r="E2215" s="28"/>
      <c r="F2215" s="28"/>
      <c r="G2215" s="28"/>
      <c r="H2215" s="28"/>
      <c r="I2215" s="28"/>
      <c r="J2215" s="28"/>
      <c r="K2215" s="28"/>
      <c r="L2215" s="28"/>
      <c r="M2215" s="28"/>
      <c r="N2215" s="28"/>
      <c r="O2215" s="28"/>
      <c r="P2215" s="28"/>
      <c r="Q2215" s="28"/>
      <c r="R2215" s="28"/>
      <c r="S2215" s="28"/>
    </row>
    <row r="2216" spans="1:19" x14ac:dyDescent="0.25">
      <c r="A2216" s="28"/>
      <c r="B2216" s="28"/>
      <c r="C2216" s="28"/>
      <c r="D2216" s="28"/>
      <c r="E2216" s="28"/>
      <c r="F2216" s="28"/>
      <c r="G2216" s="28"/>
      <c r="H2216" s="28"/>
      <c r="I2216" s="28"/>
      <c r="J2216" s="28"/>
      <c r="K2216" s="28"/>
      <c r="L2216" s="28"/>
      <c r="M2216" s="28"/>
      <c r="N2216" s="28"/>
      <c r="O2216" s="28"/>
      <c r="P2216" s="28"/>
      <c r="Q2216" s="28"/>
      <c r="R2216" s="28"/>
      <c r="S2216" s="28"/>
    </row>
    <row r="2217" spans="1:19" x14ac:dyDescent="0.25">
      <c r="A2217" s="28"/>
      <c r="B2217" s="28"/>
      <c r="C2217" s="28"/>
      <c r="D2217" s="28"/>
      <c r="E2217" s="28"/>
      <c r="F2217" s="28"/>
      <c r="G2217" s="28"/>
      <c r="H2217" s="28"/>
      <c r="I2217" s="28"/>
      <c r="J2217" s="28"/>
      <c r="K2217" s="28"/>
      <c r="L2217" s="28"/>
      <c r="M2217" s="28"/>
      <c r="N2217" s="28"/>
      <c r="O2217" s="28"/>
      <c r="P2217" s="28"/>
      <c r="Q2217" s="28"/>
      <c r="R2217" s="28"/>
      <c r="S2217" s="28"/>
    </row>
    <row r="2218" spans="1:19" x14ac:dyDescent="0.25">
      <c r="A2218" s="28"/>
      <c r="B2218" s="28"/>
      <c r="C2218" s="28"/>
      <c r="D2218" s="28"/>
      <c r="E2218" s="28"/>
      <c r="F2218" s="28"/>
      <c r="G2218" s="28"/>
      <c r="H2218" s="28"/>
      <c r="I2218" s="28"/>
      <c r="J2218" s="28"/>
      <c r="K2218" s="28"/>
      <c r="L2218" s="28"/>
      <c r="M2218" s="28"/>
      <c r="N2218" s="28"/>
      <c r="O2218" s="28"/>
      <c r="P2218" s="28"/>
      <c r="Q2218" s="28"/>
      <c r="R2218" s="28"/>
      <c r="S2218" s="28"/>
    </row>
    <row r="2219" spans="1:19" x14ac:dyDescent="0.25">
      <c r="A2219" s="28"/>
      <c r="B2219" s="28"/>
      <c r="C2219" s="28"/>
      <c r="D2219" s="28"/>
      <c r="E2219" s="28"/>
      <c r="F2219" s="28"/>
      <c r="G2219" s="28"/>
      <c r="H2219" s="28"/>
      <c r="I2219" s="28"/>
      <c r="J2219" s="28"/>
      <c r="K2219" s="28"/>
      <c r="L2219" s="28"/>
      <c r="M2219" s="28"/>
      <c r="N2219" s="28"/>
      <c r="O2219" s="28"/>
      <c r="P2219" s="28"/>
      <c r="Q2219" s="28"/>
      <c r="R2219" s="28"/>
      <c r="S2219" s="28"/>
    </row>
    <row r="2220" spans="1:19" x14ac:dyDescent="0.25">
      <c r="A2220" s="28"/>
      <c r="B2220" s="28"/>
      <c r="C2220" s="28"/>
      <c r="D2220" s="28"/>
      <c r="E2220" s="28"/>
      <c r="F2220" s="28"/>
      <c r="G2220" s="28"/>
      <c r="H2220" s="28"/>
      <c r="I2220" s="28"/>
      <c r="J2220" s="28"/>
      <c r="K2220" s="28"/>
      <c r="L2220" s="28"/>
      <c r="M2220" s="28"/>
      <c r="N2220" s="28"/>
      <c r="O2220" s="28"/>
      <c r="P2220" s="28"/>
      <c r="Q2220" s="28"/>
      <c r="R2220" s="28"/>
      <c r="S2220" s="28"/>
    </row>
    <row r="2221" spans="1:19" x14ac:dyDescent="0.25">
      <c r="A2221" s="28"/>
      <c r="B2221" s="28"/>
      <c r="C2221" s="28"/>
      <c r="D2221" s="28"/>
      <c r="E2221" s="28"/>
      <c r="F2221" s="28"/>
      <c r="G2221" s="28"/>
      <c r="H2221" s="28"/>
      <c r="I2221" s="28"/>
      <c r="J2221" s="28"/>
      <c r="K2221" s="28"/>
      <c r="L2221" s="28"/>
      <c r="M2221" s="28"/>
      <c r="N2221" s="28"/>
      <c r="O2221" s="28"/>
      <c r="P2221" s="28"/>
      <c r="Q2221" s="28"/>
      <c r="R2221" s="28"/>
      <c r="S2221" s="28"/>
    </row>
    <row r="2222" spans="1:19" x14ac:dyDescent="0.25">
      <c r="A2222" s="28"/>
      <c r="B2222" s="28"/>
      <c r="C2222" s="28"/>
      <c r="D2222" s="28"/>
      <c r="E2222" s="28"/>
      <c r="F2222" s="28"/>
      <c r="G2222" s="28"/>
      <c r="H2222" s="28"/>
      <c r="I2222" s="28"/>
      <c r="J2222" s="28"/>
      <c r="K2222" s="28"/>
      <c r="L2222" s="28"/>
      <c r="M2222" s="28"/>
      <c r="N2222" s="28"/>
      <c r="O2222" s="28"/>
      <c r="P2222" s="28"/>
      <c r="Q2222" s="28"/>
      <c r="R2222" s="28"/>
      <c r="S2222" s="28"/>
    </row>
    <row r="2223" spans="1:19" x14ac:dyDescent="0.25">
      <c r="A2223" s="28"/>
      <c r="B2223" s="28"/>
      <c r="C2223" s="28"/>
      <c r="D2223" s="28"/>
      <c r="E2223" s="28"/>
      <c r="F2223" s="28"/>
      <c r="G2223" s="28"/>
      <c r="H2223" s="28"/>
      <c r="I2223" s="28"/>
      <c r="J2223" s="28"/>
      <c r="K2223" s="28"/>
      <c r="L2223" s="28"/>
      <c r="M2223" s="28"/>
      <c r="N2223" s="28"/>
      <c r="O2223" s="28"/>
      <c r="P2223" s="28"/>
      <c r="Q2223" s="28"/>
      <c r="R2223" s="28"/>
      <c r="S2223" s="28"/>
    </row>
    <row r="2224" spans="1:19" x14ac:dyDescent="0.25">
      <c r="A2224" s="28"/>
      <c r="B2224" s="28"/>
      <c r="C2224" s="28"/>
      <c r="D2224" s="28"/>
      <c r="E2224" s="28"/>
      <c r="F2224" s="28"/>
      <c r="G2224" s="28"/>
      <c r="H2224" s="28"/>
      <c r="I2224" s="28"/>
      <c r="J2224" s="28"/>
      <c r="K2224" s="28"/>
      <c r="L2224" s="28"/>
      <c r="M2224" s="28"/>
      <c r="N2224" s="28"/>
      <c r="O2224" s="28"/>
      <c r="P2224" s="28"/>
      <c r="Q2224" s="28"/>
      <c r="R2224" s="28"/>
      <c r="S2224" s="28"/>
    </row>
    <row r="2225" spans="1:19" x14ac:dyDescent="0.25">
      <c r="A2225" s="28"/>
      <c r="B2225" s="28"/>
      <c r="C2225" s="28"/>
      <c r="D2225" s="28"/>
      <c r="E2225" s="28"/>
      <c r="F2225" s="28"/>
      <c r="G2225" s="28"/>
      <c r="H2225" s="28"/>
      <c r="I2225" s="28"/>
      <c r="J2225" s="28"/>
      <c r="K2225" s="28"/>
      <c r="L2225" s="28"/>
      <c r="M2225" s="28"/>
      <c r="N2225" s="28"/>
      <c r="O2225" s="28"/>
      <c r="P2225" s="28"/>
      <c r="Q2225" s="28"/>
      <c r="R2225" s="28"/>
      <c r="S2225" s="28"/>
    </row>
    <row r="2226" spans="1:19" x14ac:dyDescent="0.25">
      <c r="A2226" s="28"/>
      <c r="B2226" s="28"/>
      <c r="C2226" s="28"/>
      <c r="D2226" s="28"/>
      <c r="E2226" s="28"/>
      <c r="F2226" s="28"/>
      <c r="G2226" s="28"/>
      <c r="H2226" s="28"/>
      <c r="I2226" s="28"/>
      <c r="J2226" s="28"/>
      <c r="K2226" s="28"/>
      <c r="L2226" s="28"/>
      <c r="M2226" s="28"/>
      <c r="N2226" s="28"/>
      <c r="O2226" s="28"/>
      <c r="P2226" s="28"/>
      <c r="Q2226" s="28"/>
      <c r="R2226" s="28"/>
      <c r="S2226" s="28"/>
    </row>
    <row r="2227" spans="1:19" x14ac:dyDescent="0.25">
      <c r="A2227" s="28"/>
      <c r="B2227" s="28"/>
      <c r="C2227" s="28"/>
      <c r="D2227" s="28"/>
      <c r="E2227" s="28"/>
      <c r="F2227" s="28"/>
      <c r="G2227" s="28"/>
      <c r="H2227" s="28"/>
      <c r="I2227" s="28"/>
      <c r="J2227" s="28"/>
      <c r="K2227" s="28"/>
      <c r="L2227" s="28"/>
      <c r="M2227" s="28"/>
      <c r="N2227" s="28"/>
      <c r="O2227" s="28"/>
      <c r="P2227" s="28"/>
      <c r="Q2227" s="28"/>
      <c r="R2227" s="28"/>
      <c r="S2227" s="28"/>
    </row>
    <row r="2228" spans="1:19" x14ac:dyDescent="0.25">
      <c r="A2228" s="28"/>
      <c r="B2228" s="28"/>
      <c r="C2228" s="28"/>
      <c r="D2228" s="28"/>
      <c r="E2228" s="28"/>
      <c r="F2228" s="28"/>
      <c r="G2228" s="28"/>
      <c r="H2228" s="28"/>
      <c r="I2228" s="28"/>
      <c r="J2228" s="28"/>
      <c r="K2228" s="28"/>
      <c r="L2228" s="28"/>
      <c r="M2228" s="28"/>
      <c r="N2228" s="28"/>
      <c r="O2228" s="28"/>
      <c r="P2228" s="28"/>
      <c r="Q2228" s="28"/>
      <c r="R2228" s="28"/>
      <c r="S2228" s="28"/>
    </row>
    <row r="2229" spans="1:19" x14ac:dyDescent="0.25">
      <c r="A2229" s="28"/>
      <c r="B2229" s="28"/>
      <c r="C2229" s="28"/>
      <c r="D2229" s="28"/>
      <c r="E2229" s="28"/>
      <c r="F2229" s="28"/>
      <c r="G2229" s="28"/>
      <c r="H2229" s="28"/>
      <c r="I2229" s="28"/>
      <c r="J2229" s="28"/>
      <c r="K2229" s="28"/>
      <c r="L2229" s="28"/>
      <c r="M2229" s="28"/>
      <c r="N2229" s="28"/>
      <c r="O2229" s="28"/>
      <c r="P2229" s="28"/>
      <c r="Q2229" s="28"/>
      <c r="R2229" s="28"/>
      <c r="S2229" s="28"/>
    </row>
    <row r="2230" spans="1:19" x14ac:dyDescent="0.25">
      <c r="A2230" s="28"/>
      <c r="B2230" s="28"/>
      <c r="C2230" s="28"/>
      <c r="D2230" s="28"/>
      <c r="E2230" s="28"/>
      <c r="F2230" s="28"/>
      <c r="G2230" s="28"/>
      <c r="H2230" s="28"/>
      <c r="I2230" s="28"/>
      <c r="J2230" s="28"/>
      <c r="K2230" s="28"/>
      <c r="L2230" s="28"/>
      <c r="M2230" s="28"/>
      <c r="N2230" s="28"/>
      <c r="O2230" s="28"/>
      <c r="P2230" s="28"/>
      <c r="Q2230" s="28"/>
      <c r="R2230" s="28"/>
      <c r="S2230" s="28"/>
    </row>
    <row r="2231" spans="1:19" x14ac:dyDescent="0.25">
      <c r="A2231" s="28"/>
      <c r="B2231" s="28"/>
      <c r="C2231" s="28"/>
      <c r="D2231" s="28"/>
      <c r="E2231" s="28"/>
      <c r="F2231" s="28"/>
      <c r="G2231" s="28"/>
      <c r="H2231" s="28"/>
      <c r="I2231" s="28"/>
      <c r="J2231" s="28"/>
      <c r="K2231" s="28"/>
      <c r="L2231" s="28"/>
      <c r="M2231" s="28"/>
      <c r="N2231" s="28"/>
      <c r="O2231" s="28"/>
      <c r="P2231" s="28"/>
      <c r="Q2231" s="28"/>
      <c r="R2231" s="28"/>
      <c r="S2231" s="28"/>
    </row>
    <row r="2232" spans="1:19" x14ac:dyDescent="0.25">
      <c r="A2232" s="28"/>
      <c r="B2232" s="28"/>
      <c r="C2232" s="28"/>
      <c r="D2232" s="28"/>
      <c r="E2232" s="28"/>
      <c r="F2232" s="28"/>
      <c r="G2232" s="28"/>
      <c r="H2232" s="28"/>
      <c r="I2232" s="28"/>
      <c r="J2232" s="28"/>
      <c r="K2232" s="28"/>
      <c r="L2232" s="28"/>
      <c r="M2232" s="28"/>
      <c r="N2232" s="28"/>
      <c r="O2232" s="28"/>
      <c r="P2232" s="28"/>
      <c r="Q2232" s="28"/>
      <c r="R2232" s="28"/>
      <c r="S2232" s="28"/>
    </row>
    <row r="2233" spans="1:19" x14ac:dyDescent="0.25">
      <c r="A2233" s="28"/>
      <c r="B2233" s="28"/>
      <c r="C2233" s="28"/>
      <c r="D2233" s="28"/>
      <c r="E2233" s="28"/>
      <c r="F2233" s="28"/>
      <c r="G2233" s="28"/>
      <c r="H2233" s="28"/>
      <c r="I2233" s="28"/>
      <c r="J2233" s="28"/>
      <c r="K2233" s="28"/>
      <c r="L2233" s="28"/>
      <c r="M2233" s="28"/>
      <c r="N2233" s="28"/>
      <c r="O2233" s="28"/>
      <c r="P2233" s="28"/>
      <c r="Q2233" s="28"/>
      <c r="R2233" s="28"/>
      <c r="S2233" s="28"/>
    </row>
    <row r="2234" spans="1:19" x14ac:dyDescent="0.25">
      <c r="A2234" s="28"/>
      <c r="B2234" s="28"/>
      <c r="C2234" s="28"/>
      <c r="D2234" s="28"/>
      <c r="E2234" s="28"/>
      <c r="F2234" s="28"/>
      <c r="G2234" s="28"/>
      <c r="H2234" s="28"/>
      <c r="I2234" s="28"/>
      <c r="J2234" s="28"/>
      <c r="K2234" s="28"/>
      <c r="L2234" s="28"/>
      <c r="M2234" s="28"/>
      <c r="N2234" s="28"/>
      <c r="O2234" s="28"/>
      <c r="P2234" s="28"/>
      <c r="Q2234" s="28"/>
      <c r="R2234" s="28"/>
      <c r="S2234" s="28"/>
    </row>
    <row r="2235" spans="1:19" x14ac:dyDescent="0.25">
      <c r="A2235" s="28"/>
      <c r="B2235" s="28"/>
      <c r="C2235" s="28"/>
      <c r="D2235" s="28"/>
      <c r="E2235" s="28"/>
      <c r="F2235" s="28"/>
      <c r="G2235" s="28"/>
      <c r="H2235" s="28"/>
      <c r="I2235" s="28"/>
      <c r="J2235" s="28"/>
      <c r="K2235" s="28"/>
      <c r="L2235" s="28"/>
      <c r="M2235" s="28"/>
      <c r="N2235" s="28"/>
      <c r="O2235" s="28"/>
      <c r="P2235" s="28"/>
      <c r="Q2235" s="28"/>
      <c r="R2235" s="28"/>
      <c r="S2235" s="28"/>
    </row>
    <row r="2236" spans="1:19" x14ac:dyDescent="0.25">
      <c r="A2236" s="28"/>
      <c r="B2236" s="28"/>
      <c r="C2236" s="28"/>
      <c r="D2236" s="28"/>
      <c r="E2236" s="28"/>
      <c r="F2236" s="28"/>
      <c r="G2236" s="28"/>
      <c r="H2236" s="28"/>
      <c r="I2236" s="28"/>
      <c r="J2236" s="28"/>
      <c r="K2236" s="28"/>
      <c r="L2236" s="28"/>
      <c r="M2236" s="28"/>
      <c r="N2236" s="28"/>
      <c r="O2236" s="28"/>
      <c r="P2236" s="28"/>
      <c r="Q2236" s="28"/>
      <c r="R2236" s="28"/>
      <c r="S2236" s="28"/>
    </row>
    <row r="2237" spans="1:19" x14ac:dyDescent="0.25">
      <c r="A2237" s="28"/>
      <c r="B2237" s="28"/>
      <c r="C2237" s="28"/>
      <c r="D2237" s="28"/>
      <c r="E2237" s="28"/>
      <c r="F2237" s="28"/>
      <c r="G2237" s="28"/>
      <c r="H2237" s="28"/>
      <c r="I2237" s="28"/>
      <c r="J2237" s="28"/>
      <c r="K2237" s="28"/>
      <c r="L2237" s="28"/>
      <c r="M2237" s="28"/>
      <c r="N2237" s="28"/>
      <c r="O2237" s="28"/>
      <c r="P2237" s="28"/>
      <c r="Q2237" s="28"/>
      <c r="R2237" s="28"/>
      <c r="S2237" s="28"/>
    </row>
    <row r="2238" spans="1:19" x14ac:dyDescent="0.25">
      <c r="A2238" s="28"/>
      <c r="B2238" s="28"/>
      <c r="C2238" s="28"/>
      <c r="D2238" s="28"/>
      <c r="E2238" s="28"/>
      <c r="F2238" s="28"/>
      <c r="G2238" s="28"/>
      <c r="H2238" s="28"/>
      <c r="I2238" s="28"/>
      <c r="J2238" s="28"/>
      <c r="K2238" s="28"/>
      <c r="L2238" s="28"/>
      <c r="M2238" s="28"/>
      <c r="N2238" s="28"/>
      <c r="O2238" s="28"/>
      <c r="P2238" s="28"/>
      <c r="Q2238" s="28"/>
      <c r="R2238" s="28"/>
      <c r="S2238" s="28"/>
    </row>
    <row r="2239" spans="1:19" x14ac:dyDescent="0.25">
      <c r="A2239" s="28"/>
      <c r="B2239" s="28"/>
      <c r="C2239" s="28"/>
      <c r="D2239" s="28"/>
      <c r="E2239" s="28"/>
      <c r="F2239" s="28"/>
      <c r="G2239" s="28"/>
      <c r="H2239" s="28"/>
      <c r="I2239" s="28"/>
      <c r="J2239" s="28"/>
      <c r="K2239" s="28"/>
      <c r="L2239" s="28"/>
      <c r="M2239" s="28"/>
      <c r="N2239" s="28"/>
      <c r="O2239" s="28"/>
      <c r="P2239" s="28"/>
      <c r="Q2239" s="28"/>
      <c r="R2239" s="28"/>
      <c r="S2239" s="28"/>
    </row>
    <row r="2240" spans="1:19" x14ac:dyDescent="0.25">
      <c r="A2240" s="28"/>
      <c r="B2240" s="28"/>
      <c r="C2240" s="28"/>
      <c r="D2240" s="28"/>
      <c r="E2240" s="28"/>
      <c r="F2240" s="28"/>
      <c r="G2240" s="28"/>
      <c r="H2240" s="28"/>
      <c r="I2240" s="28"/>
      <c r="J2240" s="28"/>
      <c r="K2240" s="28"/>
      <c r="L2240" s="28"/>
      <c r="M2240" s="28"/>
      <c r="N2240" s="28"/>
      <c r="O2240" s="28"/>
      <c r="P2240" s="28"/>
      <c r="Q2240" s="28"/>
      <c r="R2240" s="28"/>
      <c r="S2240" s="28"/>
    </row>
    <row r="2241" spans="1:19" x14ac:dyDescent="0.25">
      <c r="A2241" s="28"/>
      <c r="B2241" s="28"/>
      <c r="C2241" s="28"/>
      <c r="D2241" s="28"/>
      <c r="E2241" s="28"/>
      <c r="F2241" s="28"/>
      <c r="G2241" s="28"/>
      <c r="H2241" s="28"/>
      <c r="I2241" s="28"/>
      <c r="J2241" s="28"/>
      <c r="K2241" s="28"/>
      <c r="L2241" s="28"/>
      <c r="M2241" s="28"/>
      <c r="N2241" s="28"/>
      <c r="O2241" s="28"/>
      <c r="P2241" s="28"/>
      <c r="Q2241" s="28"/>
      <c r="R2241" s="28"/>
      <c r="S2241" s="28"/>
    </row>
    <row r="2242" spans="1:19" x14ac:dyDescent="0.25">
      <c r="A2242" s="28"/>
      <c r="B2242" s="28"/>
      <c r="C2242" s="28"/>
      <c r="D2242" s="28"/>
      <c r="E2242" s="28"/>
      <c r="F2242" s="28"/>
      <c r="G2242" s="28"/>
      <c r="H2242" s="28"/>
      <c r="I2242" s="28"/>
      <c r="J2242" s="28"/>
      <c r="K2242" s="28"/>
      <c r="L2242" s="28"/>
      <c r="M2242" s="28"/>
      <c r="N2242" s="28"/>
      <c r="O2242" s="28"/>
      <c r="P2242" s="28"/>
      <c r="Q2242" s="28"/>
      <c r="R2242" s="28"/>
      <c r="S2242" s="28"/>
    </row>
    <row r="2243" spans="1:19" x14ac:dyDescent="0.25">
      <c r="A2243" s="28"/>
      <c r="B2243" s="28"/>
      <c r="C2243" s="28"/>
      <c r="D2243" s="28"/>
      <c r="E2243" s="28"/>
      <c r="F2243" s="28"/>
      <c r="G2243" s="28"/>
      <c r="H2243" s="28"/>
      <c r="I2243" s="28"/>
      <c r="J2243" s="28"/>
      <c r="K2243" s="28"/>
      <c r="L2243" s="28"/>
      <c r="M2243" s="28"/>
      <c r="N2243" s="28"/>
      <c r="O2243" s="28"/>
      <c r="P2243" s="28"/>
      <c r="Q2243" s="28"/>
      <c r="R2243" s="28"/>
      <c r="S2243" s="28"/>
    </row>
    <row r="2244" spans="1:19" x14ac:dyDescent="0.25">
      <c r="A2244" s="28"/>
      <c r="B2244" s="28"/>
      <c r="C2244" s="28"/>
      <c r="D2244" s="28"/>
      <c r="E2244" s="28"/>
      <c r="F2244" s="28"/>
      <c r="G2244" s="28"/>
      <c r="H2244" s="28"/>
      <c r="I2244" s="28"/>
      <c r="J2244" s="28"/>
      <c r="K2244" s="28"/>
      <c r="L2244" s="28"/>
      <c r="M2244" s="28"/>
      <c r="N2244" s="28"/>
      <c r="O2244" s="28"/>
      <c r="P2244" s="28"/>
      <c r="Q2244" s="28"/>
      <c r="R2244" s="28"/>
      <c r="S2244" s="28"/>
    </row>
    <row r="2245" spans="1:19" x14ac:dyDescent="0.25">
      <c r="A2245" s="28"/>
      <c r="B2245" s="28"/>
      <c r="C2245" s="28"/>
      <c r="D2245" s="28"/>
      <c r="E2245" s="28"/>
      <c r="F2245" s="28"/>
      <c r="G2245" s="28"/>
      <c r="H2245" s="28"/>
      <c r="I2245" s="28"/>
      <c r="J2245" s="28"/>
      <c r="K2245" s="28"/>
      <c r="L2245" s="28"/>
      <c r="M2245" s="28"/>
      <c r="N2245" s="28"/>
      <c r="O2245" s="28"/>
      <c r="P2245" s="28"/>
      <c r="Q2245" s="28"/>
      <c r="R2245" s="28"/>
      <c r="S2245" s="28"/>
    </row>
    <row r="2246" spans="1:19" x14ac:dyDescent="0.25">
      <c r="A2246" s="28"/>
      <c r="B2246" s="28"/>
      <c r="C2246" s="28"/>
      <c r="D2246" s="28"/>
      <c r="E2246" s="28"/>
      <c r="F2246" s="28"/>
      <c r="G2246" s="28"/>
      <c r="H2246" s="28"/>
      <c r="I2246" s="28"/>
      <c r="J2246" s="28"/>
      <c r="K2246" s="28"/>
      <c r="L2246" s="28"/>
      <c r="M2246" s="28"/>
      <c r="N2246" s="28"/>
      <c r="O2246" s="28"/>
      <c r="P2246" s="28"/>
      <c r="Q2246" s="28"/>
      <c r="R2246" s="28"/>
      <c r="S2246" s="28"/>
    </row>
    <row r="2247" spans="1:19" x14ac:dyDescent="0.25">
      <c r="A2247" s="28"/>
      <c r="B2247" s="28"/>
      <c r="C2247" s="28"/>
      <c r="D2247" s="28"/>
      <c r="E2247" s="28"/>
      <c r="F2247" s="28"/>
      <c r="G2247" s="28"/>
      <c r="H2247" s="28"/>
      <c r="I2247" s="28"/>
      <c r="J2247" s="28"/>
      <c r="K2247" s="28"/>
      <c r="L2247" s="28"/>
      <c r="M2247" s="28"/>
      <c r="N2247" s="28"/>
      <c r="O2247" s="28"/>
      <c r="P2247" s="28"/>
      <c r="Q2247" s="28"/>
      <c r="R2247" s="28"/>
      <c r="S2247" s="28"/>
    </row>
    <row r="2248" spans="1:19" x14ac:dyDescent="0.25">
      <c r="A2248" s="28"/>
      <c r="B2248" s="28"/>
      <c r="C2248" s="28"/>
      <c r="D2248" s="28"/>
      <c r="E2248" s="28"/>
      <c r="F2248" s="28"/>
      <c r="G2248" s="28"/>
      <c r="H2248" s="28"/>
      <c r="I2248" s="28"/>
      <c r="J2248" s="28"/>
      <c r="K2248" s="28"/>
      <c r="L2248" s="28"/>
      <c r="M2248" s="28"/>
      <c r="N2248" s="28"/>
      <c r="O2248" s="28"/>
      <c r="P2248" s="28"/>
      <c r="Q2248" s="28"/>
      <c r="R2248" s="28"/>
      <c r="S2248" s="28"/>
    </row>
    <row r="2249" spans="1:19" x14ac:dyDescent="0.25">
      <c r="A2249" s="28"/>
      <c r="B2249" s="28"/>
      <c r="C2249" s="28"/>
      <c r="D2249" s="28"/>
      <c r="E2249" s="28"/>
      <c r="F2249" s="28"/>
      <c r="G2249" s="28"/>
      <c r="H2249" s="28"/>
      <c r="I2249" s="28"/>
      <c r="J2249" s="28"/>
      <c r="K2249" s="28"/>
      <c r="L2249" s="28"/>
      <c r="M2249" s="28"/>
      <c r="N2249" s="28"/>
      <c r="O2249" s="28"/>
      <c r="P2249" s="28"/>
      <c r="Q2249" s="28"/>
      <c r="R2249" s="28"/>
      <c r="S2249" s="28"/>
    </row>
    <row r="2250" spans="1:19" x14ac:dyDescent="0.25">
      <c r="A2250" s="28"/>
      <c r="B2250" s="28"/>
      <c r="C2250" s="28"/>
      <c r="D2250" s="28"/>
      <c r="E2250" s="28"/>
      <c r="F2250" s="28"/>
      <c r="G2250" s="28"/>
      <c r="H2250" s="28"/>
      <c r="I2250" s="28"/>
      <c r="J2250" s="28"/>
      <c r="K2250" s="28"/>
      <c r="L2250" s="28"/>
      <c r="M2250" s="28"/>
      <c r="N2250" s="28"/>
      <c r="O2250" s="28"/>
      <c r="P2250" s="28"/>
      <c r="Q2250" s="28"/>
      <c r="R2250" s="28"/>
      <c r="S2250" s="28"/>
    </row>
    <row r="2251" spans="1:19" x14ac:dyDescent="0.25">
      <c r="A2251" s="28"/>
      <c r="B2251" s="28"/>
      <c r="C2251" s="28"/>
      <c r="D2251" s="28"/>
      <c r="E2251" s="28"/>
      <c r="F2251" s="28"/>
      <c r="G2251" s="28"/>
      <c r="H2251" s="28"/>
      <c r="I2251" s="28"/>
      <c r="J2251" s="28"/>
      <c r="K2251" s="28"/>
      <c r="L2251" s="28"/>
      <c r="M2251" s="28"/>
      <c r="N2251" s="28"/>
      <c r="O2251" s="28"/>
      <c r="P2251" s="28"/>
      <c r="Q2251" s="28"/>
      <c r="R2251" s="28"/>
      <c r="S2251" s="28"/>
    </row>
    <row r="2252" spans="1:19" x14ac:dyDescent="0.25">
      <c r="A2252" s="28"/>
      <c r="B2252" s="28"/>
      <c r="C2252" s="28"/>
      <c r="D2252" s="28"/>
      <c r="E2252" s="28"/>
      <c r="F2252" s="28"/>
      <c r="G2252" s="28"/>
      <c r="H2252" s="28"/>
      <c r="I2252" s="28"/>
      <c r="J2252" s="28"/>
      <c r="K2252" s="28"/>
      <c r="L2252" s="28"/>
      <c r="M2252" s="28"/>
      <c r="N2252" s="28"/>
      <c r="O2252" s="28"/>
      <c r="P2252" s="28"/>
      <c r="Q2252" s="28"/>
      <c r="R2252" s="28"/>
      <c r="S2252" s="28"/>
    </row>
    <row r="2253" spans="1:19" x14ac:dyDescent="0.25">
      <c r="A2253" s="28"/>
      <c r="B2253" s="28"/>
      <c r="C2253" s="28"/>
      <c r="D2253" s="28"/>
      <c r="E2253" s="28"/>
      <c r="F2253" s="28"/>
      <c r="G2253" s="28"/>
      <c r="H2253" s="28"/>
      <c r="I2253" s="28"/>
      <c r="J2253" s="28"/>
      <c r="K2253" s="28"/>
      <c r="L2253" s="28"/>
      <c r="M2253" s="28"/>
      <c r="N2253" s="28"/>
      <c r="O2253" s="28"/>
      <c r="P2253" s="28"/>
      <c r="Q2253" s="28"/>
      <c r="R2253" s="28"/>
      <c r="S2253" s="28"/>
    </row>
    <row r="2254" spans="1:19" x14ac:dyDescent="0.25">
      <c r="A2254" s="28"/>
      <c r="B2254" s="28"/>
      <c r="C2254" s="28"/>
      <c r="D2254" s="28"/>
      <c r="E2254" s="28"/>
      <c r="F2254" s="28"/>
      <c r="G2254" s="28"/>
      <c r="H2254" s="28"/>
      <c r="I2254" s="28"/>
      <c r="J2254" s="28"/>
      <c r="K2254" s="28"/>
      <c r="L2254" s="28"/>
      <c r="M2254" s="28"/>
      <c r="N2254" s="28"/>
      <c r="O2254" s="28"/>
      <c r="P2254" s="28"/>
      <c r="Q2254" s="28"/>
      <c r="R2254" s="28"/>
      <c r="S2254" s="28"/>
    </row>
    <row r="2255" spans="1:19" x14ac:dyDescent="0.25">
      <c r="A2255" s="28"/>
      <c r="B2255" s="28"/>
      <c r="C2255" s="28"/>
      <c r="D2255" s="28"/>
      <c r="E2255" s="28"/>
      <c r="F2255" s="28"/>
      <c r="G2255" s="28"/>
      <c r="H2255" s="28"/>
      <c r="I2255" s="28"/>
      <c r="J2255" s="28"/>
      <c r="K2255" s="28"/>
      <c r="L2255" s="28"/>
      <c r="M2255" s="28"/>
      <c r="N2255" s="28"/>
      <c r="O2255" s="28"/>
      <c r="P2255" s="28"/>
      <c r="Q2255" s="28"/>
      <c r="R2255" s="28"/>
      <c r="S2255" s="28"/>
    </row>
    <row r="2256" spans="1:19" x14ac:dyDescent="0.25">
      <c r="A2256" s="28"/>
      <c r="B2256" s="28"/>
      <c r="C2256" s="28"/>
      <c r="D2256" s="28"/>
      <c r="E2256" s="28"/>
      <c r="F2256" s="28"/>
      <c r="G2256" s="28"/>
      <c r="H2256" s="28"/>
      <c r="I2256" s="28"/>
      <c r="J2256" s="28"/>
      <c r="K2256" s="28"/>
      <c r="L2256" s="28"/>
      <c r="M2256" s="28"/>
      <c r="N2256" s="28"/>
      <c r="O2256" s="28"/>
      <c r="P2256" s="28"/>
      <c r="Q2256" s="28"/>
      <c r="R2256" s="28"/>
      <c r="S2256" s="28"/>
    </row>
    <row r="2257" spans="1:19" x14ac:dyDescent="0.25">
      <c r="A2257" s="28"/>
      <c r="B2257" s="28"/>
      <c r="C2257" s="28"/>
      <c r="D2257" s="28"/>
      <c r="E2257" s="28"/>
      <c r="F2257" s="28"/>
      <c r="G2257" s="28"/>
      <c r="H2257" s="28"/>
      <c r="I2257" s="28"/>
      <c r="J2257" s="28"/>
      <c r="K2257" s="28"/>
      <c r="L2257" s="28"/>
      <c r="M2257" s="28"/>
      <c r="N2257" s="28"/>
      <c r="O2257" s="28"/>
      <c r="P2257" s="28"/>
      <c r="Q2257" s="28"/>
      <c r="R2257" s="28"/>
      <c r="S2257" s="28"/>
    </row>
    <row r="2258" spans="1:19" x14ac:dyDescent="0.25">
      <c r="A2258" s="28"/>
      <c r="B2258" s="28"/>
      <c r="C2258" s="28"/>
      <c r="D2258" s="28"/>
      <c r="E2258" s="28"/>
      <c r="F2258" s="28"/>
      <c r="G2258" s="28"/>
      <c r="H2258" s="28"/>
      <c r="I2258" s="28"/>
      <c r="J2258" s="28"/>
      <c r="K2258" s="28"/>
      <c r="L2258" s="28"/>
      <c r="M2258" s="28"/>
      <c r="N2258" s="28"/>
      <c r="O2258" s="28"/>
      <c r="P2258" s="28"/>
      <c r="Q2258" s="28"/>
      <c r="R2258" s="28"/>
      <c r="S2258" s="28"/>
    </row>
    <row r="2259" spans="1:19" x14ac:dyDescent="0.25">
      <c r="A2259" s="28"/>
      <c r="B2259" s="28"/>
      <c r="C2259" s="28"/>
      <c r="D2259" s="28"/>
      <c r="E2259" s="28"/>
      <c r="F2259" s="28"/>
      <c r="G2259" s="28"/>
      <c r="H2259" s="28"/>
      <c r="I2259" s="28"/>
      <c r="J2259" s="28"/>
      <c r="K2259" s="28"/>
      <c r="L2259" s="28"/>
      <c r="M2259" s="28"/>
      <c r="N2259" s="28"/>
      <c r="O2259" s="28"/>
      <c r="P2259" s="28"/>
      <c r="Q2259" s="28"/>
      <c r="R2259" s="28"/>
      <c r="S2259" s="28"/>
    </row>
    <row r="2260" spans="1:19" x14ac:dyDescent="0.25">
      <c r="A2260" s="28"/>
      <c r="B2260" s="28"/>
      <c r="C2260" s="28"/>
      <c r="D2260" s="28"/>
      <c r="E2260" s="28"/>
      <c r="F2260" s="28"/>
      <c r="G2260" s="28"/>
      <c r="H2260" s="28"/>
      <c r="I2260" s="28"/>
      <c r="J2260" s="28"/>
      <c r="K2260" s="28"/>
      <c r="L2260" s="28"/>
      <c r="M2260" s="28"/>
      <c r="N2260" s="28"/>
      <c r="O2260" s="28"/>
      <c r="P2260" s="28"/>
      <c r="Q2260" s="28"/>
      <c r="R2260" s="28"/>
      <c r="S2260" s="28"/>
    </row>
    <row r="2261" spans="1:19" x14ac:dyDescent="0.25">
      <c r="A2261" s="28"/>
      <c r="B2261" s="28"/>
      <c r="C2261" s="28"/>
      <c r="D2261" s="28"/>
      <c r="E2261" s="28"/>
      <c r="F2261" s="28"/>
      <c r="G2261" s="28"/>
      <c r="H2261" s="28"/>
      <c r="I2261" s="28"/>
      <c r="J2261" s="28"/>
      <c r="K2261" s="28"/>
      <c r="L2261" s="28"/>
      <c r="M2261" s="28"/>
      <c r="N2261" s="28"/>
      <c r="O2261" s="28"/>
      <c r="P2261" s="28"/>
      <c r="Q2261" s="28"/>
      <c r="R2261" s="28"/>
      <c r="S2261" s="28"/>
    </row>
    <row r="2262" spans="1:19" x14ac:dyDescent="0.25">
      <c r="A2262" s="28"/>
      <c r="B2262" s="28"/>
      <c r="C2262" s="28"/>
      <c r="D2262" s="28"/>
      <c r="E2262" s="28"/>
      <c r="F2262" s="28"/>
      <c r="G2262" s="28"/>
      <c r="H2262" s="28"/>
      <c r="I2262" s="28"/>
      <c r="J2262" s="28"/>
      <c r="K2262" s="28"/>
      <c r="L2262" s="28"/>
      <c r="M2262" s="28"/>
      <c r="N2262" s="28"/>
      <c r="O2262" s="28"/>
      <c r="P2262" s="28"/>
      <c r="Q2262" s="28"/>
      <c r="R2262" s="28"/>
      <c r="S2262" s="28"/>
    </row>
    <row r="2263" spans="1:19" x14ac:dyDescent="0.25">
      <c r="A2263" s="28"/>
      <c r="B2263" s="28"/>
      <c r="C2263" s="28"/>
      <c r="D2263" s="28"/>
      <c r="E2263" s="28"/>
      <c r="F2263" s="28"/>
      <c r="G2263" s="28"/>
      <c r="H2263" s="28"/>
      <c r="I2263" s="28"/>
      <c r="J2263" s="28"/>
      <c r="K2263" s="28"/>
      <c r="L2263" s="28"/>
      <c r="M2263" s="28"/>
      <c r="N2263" s="28"/>
      <c r="O2263" s="28"/>
      <c r="P2263" s="28"/>
      <c r="Q2263" s="28"/>
      <c r="R2263" s="28"/>
      <c r="S2263" s="28"/>
    </row>
    <row r="2264" spans="1:19" x14ac:dyDescent="0.25">
      <c r="A2264" s="28"/>
      <c r="B2264" s="28"/>
      <c r="C2264" s="28"/>
      <c r="D2264" s="28"/>
      <c r="E2264" s="28"/>
      <c r="F2264" s="28"/>
      <c r="G2264" s="28"/>
      <c r="H2264" s="28"/>
      <c r="I2264" s="28"/>
      <c r="J2264" s="28"/>
      <c r="K2264" s="28"/>
      <c r="L2264" s="28"/>
      <c r="M2264" s="28"/>
      <c r="N2264" s="28"/>
      <c r="O2264" s="28"/>
      <c r="P2264" s="28"/>
      <c r="Q2264" s="28"/>
      <c r="R2264" s="28"/>
      <c r="S2264" s="28"/>
    </row>
    <row r="2265" spans="1:19" x14ac:dyDescent="0.25">
      <c r="A2265" s="28"/>
      <c r="B2265" s="28"/>
      <c r="C2265" s="28"/>
      <c r="D2265" s="28"/>
      <c r="E2265" s="28"/>
      <c r="F2265" s="28"/>
      <c r="G2265" s="28"/>
      <c r="H2265" s="28"/>
      <c r="I2265" s="28"/>
      <c r="J2265" s="28"/>
      <c r="K2265" s="28"/>
      <c r="L2265" s="28"/>
      <c r="M2265" s="28"/>
      <c r="N2265" s="28"/>
      <c r="O2265" s="28"/>
      <c r="P2265" s="28"/>
      <c r="Q2265" s="28"/>
      <c r="R2265" s="28"/>
      <c r="S2265" s="28"/>
    </row>
    <row r="2266" spans="1:19" x14ac:dyDescent="0.25">
      <c r="A2266" s="28"/>
      <c r="B2266" s="28"/>
      <c r="C2266" s="28"/>
      <c r="D2266" s="28"/>
      <c r="E2266" s="28"/>
      <c r="F2266" s="28"/>
      <c r="G2266" s="28"/>
      <c r="H2266" s="28"/>
      <c r="I2266" s="28"/>
      <c r="J2266" s="28"/>
      <c r="K2266" s="28"/>
      <c r="L2266" s="28"/>
      <c r="M2266" s="28"/>
      <c r="N2266" s="28"/>
      <c r="O2266" s="28"/>
      <c r="P2266" s="28"/>
      <c r="Q2266" s="28"/>
      <c r="R2266" s="28"/>
      <c r="S2266" s="28"/>
    </row>
    <row r="2267" spans="1:19" x14ac:dyDescent="0.25">
      <c r="A2267" s="28"/>
      <c r="B2267" s="28"/>
      <c r="C2267" s="28"/>
      <c r="D2267" s="28"/>
      <c r="E2267" s="28"/>
      <c r="F2267" s="28"/>
      <c r="G2267" s="28"/>
      <c r="H2267" s="28"/>
      <c r="I2267" s="28"/>
      <c r="J2267" s="28"/>
      <c r="K2267" s="28"/>
      <c r="L2267" s="28"/>
      <c r="M2267" s="28"/>
      <c r="N2267" s="28"/>
      <c r="O2267" s="28"/>
      <c r="P2267" s="28"/>
      <c r="Q2267" s="28"/>
      <c r="R2267" s="28"/>
      <c r="S2267" s="28"/>
    </row>
    <row r="2268" spans="1:19" x14ac:dyDescent="0.25">
      <c r="A2268" s="28"/>
      <c r="B2268" s="28"/>
      <c r="C2268" s="28"/>
      <c r="D2268" s="28"/>
      <c r="E2268" s="28"/>
      <c r="F2268" s="28"/>
      <c r="G2268" s="28"/>
      <c r="H2268" s="28"/>
      <c r="I2268" s="28"/>
      <c r="J2268" s="28"/>
      <c r="K2268" s="28"/>
      <c r="L2268" s="28"/>
      <c r="M2268" s="28"/>
      <c r="N2268" s="28"/>
      <c r="O2268" s="28"/>
      <c r="P2268" s="28"/>
      <c r="Q2268" s="28"/>
      <c r="R2268" s="28"/>
      <c r="S2268" s="28"/>
    </row>
    <row r="2269" spans="1:19" x14ac:dyDescent="0.25">
      <c r="A2269" s="28"/>
      <c r="B2269" s="28"/>
      <c r="C2269" s="28"/>
      <c r="D2269" s="28"/>
      <c r="E2269" s="28"/>
      <c r="F2269" s="28"/>
      <c r="G2269" s="28"/>
      <c r="H2269" s="28"/>
      <c r="I2269" s="28"/>
      <c r="J2269" s="28"/>
      <c r="K2269" s="28"/>
      <c r="L2269" s="28"/>
      <c r="M2269" s="28"/>
      <c r="N2269" s="28"/>
      <c r="O2269" s="28"/>
      <c r="P2269" s="28"/>
      <c r="Q2269" s="28"/>
      <c r="R2269" s="28"/>
      <c r="S2269" s="28"/>
    </row>
    <row r="2270" spans="1:19" x14ac:dyDescent="0.25">
      <c r="A2270" s="28"/>
      <c r="B2270" s="28"/>
      <c r="C2270" s="28"/>
      <c r="D2270" s="28"/>
      <c r="E2270" s="28"/>
      <c r="F2270" s="28"/>
      <c r="G2270" s="28"/>
      <c r="H2270" s="28"/>
      <c r="I2270" s="28"/>
      <c r="J2270" s="28"/>
      <c r="K2270" s="28"/>
      <c r="L2270" s="28"/>
      <c r="M2270" s="28"/>
      <c r="N2270" s="28"/>
      <c r="O2270" s="28"/>
      <c r="P2270" s="28"/>
      <c r="Q2270" s="28"/>
      <c r="R2270" s="28"/>
      <c r="S2270" s="28"/>
    </row>
    <row r="2271" spans="1:19" x14ac:dyDescent="0.25">
      <c r="A2271" s="28"/>
      <c r="B2271" s="28"/>
      <c r="C2271" s="28"/>
      <c r="D2271" s="28"/>
      <c r="E2271" s="28"/>
      <c r="F2271" s="28"/>
      <c r="G2271" s="28"/>
      <c r="H2271" s="28"/>
      <c r="I2271" s="28"/>
      <c r="J2271" s="28"/>
      <c r="K2271" s="28"/>
      <c r="L2271" s="28"/>
      <c r="M2271" s="28"/>
      <c r="N2271" s="28"/>
      <c r="O2271" s="28"/>
      <c r="P2271" s="28"/>
      <c r="Q2271" s="28"/>
      <c r="R2271" s="28"/>
      <c r="S2271" s="28"/>
    </row>
    <row r="2272" spans="1:19" x14ac:dyDescent="0.25">
      <c r="A2272" s="28"/>
      <c r="B2272" s="28"/>
      <c r="C2272" s="28"/>
      <c r="D2272" s="28"/>
      <c r="E2272" s="28"/>
      <c r="F2272" s="28"/>
      <c r="G2272" s="28"/>
      <c r="H2272" s="28"/>
      <c r="I2272" s="28"/>
      <c r="J2272" s="28"/>
      <c r="K2272" s="28"/>
      <c r="L2272" s="28"/>
      <c r="M2272" s="28"/>
      <c r="N2272" s="28"/>
      <c r="O2272" s="28"/>
      <c r="P2272" s="28"/>
      <c r="Q2272" s="28"/>
      <c r="R2272" s="28"/>
      <c r="S2272" s="28"/>
    </row>
    <row r="2273" spans="1:19" x14ac:dyDescent="0.25">
      <c r="A2273" s="28"/>
      <c r="B2273" s="28"/>
      <c r="C2273" s="28"/>
      <c r="D2273" s="28"/>
      <c r="E2273" s="28"/>
      <c r="F2273" s="28"/>
      <c r="G2273" s="28"/>
      <c r="H2273" s="28"/>
      <c r="I2273" s="28"/>
      <c r="J2273" s="28"/>
      <c r="K2273" s="28"/>
      <c r="L2273" s="28"/>
      <c r="M2273" s="28"/>
      <c r="N2273" s="28"/>
      <c r="O2273" s="28"/>
      <c r="P2273" s="28"/>
      <c r="Q2273" s="28"/>
      <c r="R2273" s="28"/>
      <c r="S2273" s="28"/>
    </row>
    <row r="2274" spans="1:19" x14ac:dyDescent="0.25">
      <c r="A2274" s="28"/>
      <c r="B2274" s="28"/>
      <c r="C2274" s="28"/>
      <c r="D2274" s="28"/>
      <c r="E2274" s="28"/>
      <c r="F2274" s="28"/>
      <c r="G2274" s="28"/>
      <c r="H2274" s="28"/>
      <c r="I2274" s="28"/>
      <c r="J2274" s="28"/>
      <c r="K2274" s="28"/>
      <c r="L2274" s="28"/>
      <c r="M2274" s="28"/>
      <c r="N2274" s="28"/>
      <c r="O2274" s="28"/>
      <c r="P2274" s="28"/>
      <c r="Q2274" s="28"/>
      <c r="R2274" s="28"/>
      <c r="S2274" s="28"/>
    </row>
    <row r="2275" spans="1:19" x14ac:dyDescent="0.25">
      <c r="A2275" s="28"/>
      <c r="B2275" s="28"/>
      <c r="C2275" s="28"/>
      <c r="D2275" s="28"/>
      <c r="E2275" s="28"/>
      <c r="F2275" s="28"/>
      <c r="G2275" s="28"/>
      <c r="H2275" s="28"/>
      <c r="I2275" s="28"/>
      <c r="J2275" s="28"/>
      <c r="K2275" s="28"/>
      <c r="L2275" s="28"/>
      <c r="M2275" s="28"/>
      <c r="N2275" s="28"/>
      <c r="O2275" s="28"/>
      <c r="P2275" s="28"/>
      <c r="Q2275" s="28"/>
      <c r="R2275" s="28"/>
      <c r="S2275" s="28"/>
    </row>
    <row r="2276" spans="1:19" x14ac:dyDescent="0.25">
      <c r="A2276" s="28"/>
      <c r="B2276" s="28"/>
      <c r="C2276" s="28"/>
      <c r="D2276" s="28"/>
      <c r="E2276" s="28"/>
      <c r="F2276" s="28"/>
      <c r="G2276" s="28"/>
      <c r="H2276" s="28"/>
      <c r="I2276" s="28"/>
      <c r="J2276" s="28"/>
      <c r="K2276" s="28"/>
      <c r="L2276" s="28"/>
      <c r="M2276" s="28"/>
      <c r="N2276" s="28"/>
      <c r="O2276" s="28"/>
      <c r="P2276" s="28"/>
      <c r="Q2276" s="28"/>
      <c r="R2276" s="28"/>
      <c r="S2276" s="28"/>
    </row>
    <row r="2277" spans="1:19" x14ac:dyDescent="0.25">
      <c r="A2277" s="28"/>
      <c r="B2277" s="28"/>
      <c r="C2277" s="28"/>
      <c r="D2277" s="28"/>
      <c r="E2277" s="28"/>
      <c r="F2277" s="28"/>
      <c r="G2277" s="28"/>
      <c r="H2277" s="28"/>
      <c r="I2277" s="28"/>
      <c r="J2277" s="28"/>
      <c r="K2277" s="28"/>
      <c r="L2277" s="28"/>
      <c r="M2277" s="28"/>
      <c r="N2277" s="28"/>
      <c r="O2277" s="28"/>
      <c r="P2277" s="28"/>
      <c r="Q2277" s="28"/>
      <c r="R2277" s="28"/>
      <c r="S2277" s="28"/>
    </row>
    <row r="2278" spans="1:19" x14ac:dyDescent="0.25">
      <c r="A2278" s="28"/>
      <c r="B2278" s="28"/>
      <c r="C2278" s="28"/>
      <c r="D2278" s="28"/>
      <c r="E2278" s="28"/>
      <c r="F2278" s="28"/>
      <c r="G2278" s="28"/>
      <c r="H2278" s="28"/>
      <c r="I2278" s="28"/>
      <c r="J2278" s="28"/>
      <c r="K2278" s="28"/>
      <c r="L2278" s="28"/>
      <c r="M2278" s="28"/>
      <c r="N2278" s="28"/>
      <c r="O2278" s="28"/>
      <c r="P2278" s="28"/>
      <c r="Q2278" s="28"/>
      <c r="R2278" s="28"/>
      <c r="S2278" s="28"/>
    </row>
    <row r="2279" spans="1:19" x14ac:dyDescent="0.25">
      <c r="A2279" s="28"/>
      <c r="B2279" s="28"/>
      <c r="C2279" s="28"/>
      <c r="D2279" s="28"/>
      <c r="E2279" s="28"/>
      <c r="F2279" s="28"/>
      <c r="G2279" s="28"/>
      <c r="H2279" s="28"/>
      <c r="I2279" s="28"/>
      <c r="J2279" s="28"/>
      <c r="K2279" s="28"/>
      <c r="L2279" s="28"/>
      <c r="M2279" s="28"/>
      <c r="N2279" s="28"/>
      <c r="O2279" s="28"/>
      <c r="P2279" s="28"/>
      <c r="Q2279" s="28"/>
      <c r="R2279" s="28"/>
      <c r="S2279" s="28"/>
    </row>
    <row r="2280" spans="1:19" x14ac:dyDescent="0.25">
      <c r="A2280" s="28"/>
      <c r="B2280" s="28"/>
      <c r="C2280" s="28"/>
      <c r="D2280" s="28"/>
      <c r="E2280" s="28"/>
      <c r="F2280" s="28"/>
      <c r="G2280" s="28"/>
      <c r="H2280" s="28"/>
      <c r="I2280" s="28"/>
      <c r="J2280" s="28"/>
      <c r="K2280" s="28"/>
      <c r="L2280" s="28"/>
      <c r="M2280" s="28"/>
      <c r="N2280" s="28"/>
      <c r="O2280" s="28"/>
      <c r="P2280" s="28"/>
      <c r="Q2280" s="28"/>
      <c r="R2280" s="28"/>
      <c r="S2280" s="28"/>
    </row>
    <row r="2281" spans="1:19" x14ac:dyDescent="0.25">
      <c r="A2281" s="28"/>
      <c r="B2281" s="28"/>
      <c r="C2281" s="28"/>
      <c r="D2281" s="28"/>
      <c r="E2281" s="28"/>
      <c r="F2281" s="28"/>
      <c r="G2281" s="28"/>
      <c r="H2281" s="28"/>
      <c r="I2281" s="28"/>
      <c r="J2281" s="28"/>
      <c r="K2281" s="28"/>
      <c r="L2281" s="28"/>
      <c r="M2281" s="28"/>
      <c r="N2281" s="28"/>
      <c r="O2281" s="28"/>
      <c r="P2281" s="28"/>
      <c r="Q2281" s="28"/>
      <c r="R2281" s="28"/>
      <c r="S2281" s="28"/>
    </row>
    <row r="2282" spans="1:19" x14ac:dyDescent="0.25">
      <c r="A2282" s="28"/>
      <c r="B2282" s="28"/>
      <c r="C2282" s="28"/>
      <c r="D2282" s="28"/>
      <c r="E2282" s="28"/>
      <c r="F2282" s="28"/>
      <c r="G2282" s="28"/>
      <c r="H2282" s="28"/>
      <c r="I2282" s="28"/>
      <c r="J2282" s="28"/>
      <c r="K2282" s="28"/>
      <c r="L2282" s="28"/>
      <c r="M2282" s="28"/>
      <c r="N2282" s="28"/>
      <c r="O2282" s="28"/>
      <c r="P2282" s="28"/>
      <c r="Q2282" s="28"/>
      <c r="R2282" s="28"/>
      <c r="S2282" s="28"/>
    </row>
    <row r="2283" spans="1:19" x14ac:dyDescent="0.25">
      <c r="A2283" s="28"/>
      <c r="B2283" s="28"/>
      <c r="C2283" s="28"/>
      <c r="D2283" s="28"/>
      <c r="E2283" s="28"/>
      <c r="F2283" s="28"/>
      <c r="G2283" s="28"/>
      <c r="H2283" s="28"/>
      <c r="I2283" s="28"/>
      <c r="J2283" s="28"/>
      <c r="K2283" s="28"/>
      <c r="L2283" s="28"/>
      <c r="M2283" s="28"/>
      <c r="N2283" s="28"/>
      <c r="O2283" s="28"/>
      <c r="P2283" s="28"/>
      <c r="Q2283" s="28"/>
      <c r="R2283" s="28"/>
      <c r="S2283" s="28"/>
    </row>
    <row r="2284" spans="1:19" x14ac:dyDescent="0.25">
      <c r="A2284" s="28"/>
      <c r="B2284" s="28"/>
      <c r="C2284" s="28"/>
      <c r="D2284" s="28"/>
      <c r="E2284" s="28"/>
      <c r="F2284" s="28"/>
      <c r="G2284" s="28"/>
      <c r="H2284" s="28"/>
      <c r="I2284" s="28"/>
      <c r="J2284" s="28"/>
      <c r="K2284" s="28"/>
      <c r="L2284" s="28"/>
      <c r="M2284" s="28"/>
      <c r="N2284" s="28"/>
      <c r="O2284" s="28"/>
      <c r="P2284" s="28"/>
      <c r="Q2284" s="28"/>
      <c r="R2284" s="28"/>
      <c r="S2284" s="28"/>
    </row>
    <row r="2285" spans="1:19" x14ac:dyDescent="0.25">
      <c r="A2285" s="28"/>
      <c r="B2285" s="28"/>
      <c r="C2285" s="28"/>
      <c r="D2285" s="28"/>
      <c r="E2285" s="28"/>
      <c r="F2285" s="28"/>
      <c r="G2285" s="28"/>
      <c r="H2285" s="28"/>
      <c r="I2285" s="28"/>
      <c r="J2285" s="28"/>
      <c r="K2285" s="28"/>
      <c r="L2285" s="28"/>
      <c r="M2285" s="28"/>
      <c r="N2285" s="28"/>
      <c r="O2285" s="28"/>
      <c r="P2285" s="28"/>
      <c r="Q2285" s="28"/>
      <c r="R2285" s="28"/>
      <c r="S2285" s="28"/>
    </row>
    <row r="2286" spans="1:19" x14ac:dyDescent="0.25">
      <c r="A2286" s="28"/>
      <c r="B2286" s="28"/>
      <c r="C2286" s="28"/>
      <c r="D2286" s="28"/>
      <c r="E2286" s="28"/>
      <c r="F2286" s="28"/>
      <c r="G2286" s="28"/>
      <c r="H2286" s="28"/>
      <c r="I2286" s="28"/>
      <c r="J2286" s="28"/>
      <c r="K2286" s="28"/>
      <c r="L2286" s="28"/>
      <c r="M2286" s="28"/>
      <c r="N2286" s="28"/>
      <c r="O2286" s="28"/>
      <c r="P2286" s="28"/>
      <c r="Q2286" s="28"/>
      <c r="R2286" s="28"/>
      <c r="S2286" s="28"/>
    </row>
    <row r="2287" spans="1:19" x14ac:dyDescent="0.25">
      <c r="A2287" s="28"/>
      <c r="B2287" s="28"/>
      <c r="C2287" s="28"/>
      <c r="D2287" s="28"/>
      <c r="E2287" s="28"/>
      <c r="F2287" s="28"/>
      <c r="G2287" s="28"/>
      <c r="H2287" s="28"/>
      <c r="I2287" s="28"/>
      <c r="J2287" s="28"/>
      <c r="K2287" s="28"/>
      <c r="L2287" s="28"/>
      <c r="M2287" s="28"/>
      <c r="N2287" s="28"/>
      <c r="O2287" s="28"/>
      <c r="P2287" s="28"/>
      <c r="Q2287" s="28"/>
      <c r="R2287" s="28"/>
      <c r="S2287" s="28"/>
    </row>
    <row r="2288" spans="1:19" x14ac:dyDescent="0.25">
      <c r="A2288" s="28"/>
      <c r="B2288" s="28"/>
      <c r="C2288" s="28"/>
      <c r="D2288" s="28"/>
      <c r="E2288" s="28"/>
      <c r="F2288" s="28"/>
      <c r="G2288" s="28"/>
      <c r="H2288" s="28"/>
      <c r="I2288" s="28"/>
      <c r="J2288" s="28"/>
      <c r="K2288" s="28"/>
      <c r="L2288" s="28"/>
      <c r="M2288" s="28"/>
      <c r="N2288" s="28"/>
      <c r="O2288" s="28"/>
      <c r="P2288" s="28"/>
      <c r="Q2288" s="28"/>
      <c r="R2288" s="28"/>
      <c r="S2288" s="28"/>
    </row>
    <row r="2289" spans="1:19" x14ac:dyDescent="0.25">
      <c r="A2289" s="28"/>
      <c r="B2289" s="28"/>
      <c r="C2289" s="28"/>
      <c r="D2289" s="28"/>
      <c r="E2289" s="28"/>
      <c r="F2289" s="28"/>
      <c r="G2289" s="28"/>
      <c r="H2289" s="28"/>
      <c r="I2289" s="28"/>
      <c r="J2289" s="28"/>
      <c r="K2289" s="28"/>
      <c r="L2289" s="28"/>
      <c r="M2289" s="28"/>
      <c r="N2289" s="28"/>
      <c r="O2289" s="28"/>
      <c r="P2289" s="28"/>
      <c r="Q2289" s="28"/>
      <c r="R2289" s="28"/>
      <c r="S2289" s="28"/>
    </row>
    <row r="2290" spans="1:19" x14ac:dyDescent="0.25">
      <c r="A2290" s="28"/>
      <c r="B2290" s="28"/>
      <c r="C2290" s="28"/>
      <c r="D2290" s="28"/>
      <c r="E2290" s="28"/>
      <c r="F2290" s="28"/>
      <c r="G2290" s="28"/>
      <c r="H2290" s="28"/>
      <c r="I2290" s="28"/>
      <c r="J2290" s="28"/>
      <c r="K2290" s="28"/>
      <c r="L2290" s="28"/>
      <c r="M2290" s="28"/>
      <c r="N2290" s="28"/>
      <c r="O2290" s="28"/>
      <c r="P2290" s="28"/>
      <c r="Q2290" s="28"/>
      <c r="R2290" s="28"/>
      <c r="S2290" s="28"/>
    </row>
    <row r="2291" spans="1:19" x14ac:dyDescent="0.25">
      <c r="A2291" s="28"/>
      <c r="B2291" s="28"/>
      <c r="C2291" s="28"/>
      <c r="D2291" s="28"/>
      <c r="E2291" s="28"/>
      <c r="F2291" s="28"/>
      <c r="G2291" s="28"/>
      <c r="H2291" s="28"/>
      <c r="I2291" s="28"/>
      <c r="J2291" s="28"/>
      <c r="K2291" s="28"/>
      <c r="L2291" s="28"/>
      <c r="M2291" s="28"/>
      <c r="N2291" s="28"/>
      <c r="O2291" s="28"/>
      <c r="P2291" s="28"/>
      <c r="Q2291" s="28"/>
      <c r="R2291" s="28"/>
      <c r="S2291" s="28"/>
    </row>
    <row r="2292" spans="1:19" x14ac:dyDescent="0.25">
      <c r="A2292" s="28"/>
      <c r="B2292" s="28"/>
      <c r="C2292" s="28"/>
      <c r="D2292" s="28"/>
      <c r="E2292" s="28"/>
      <c r="F2292" s="28"/>
      <c r="G2292" s="28"/>
      <c r="H2292" s="28"/>
      <c r="I2292" s="28"/>
      <c r="J2292" s="28"/>
      <c r="K2292" s="28"/>
      <c r="L2292" s="28"/>
      <c r="M2292" s="28"/>
      <c r="N2292" s="28"/>
      <c r="O2292" s="28"/>
      <c r="P2292" s="28"/>
      <c r="Q2292" s="28"/>
      <c r="R2292" s="28"/>
      <c r="S2292" s="28"/>
    </row>
    <row r="2293" spans="1:19" x14ac:dyDescent="0.25">
      <c r="A2293" s="28"/>
      <c r="B2293" s="28"/>
      <c r="C2293" s="28"/>
      <c r="D2293" s="28"/>
      <c r="E2293" s="28"/>
      <c r="F2293" s="28"/>
      <c r="G2293" s="28"/>
      <c r="H2293" s="28"/>
      <c r="I2293" s="28"/>
      <c r="J2293" s="28"/>
      <c r="K2293" s="28"/>
      <c r="L2293" s="28"/>
      <c r="M2293" s="28"/>
      <c r="N2293" s="28"/>
      <c r="O2293" s="28"/>
      <c r="P2293" s="28"/>
      <c r="Q2293" s="28"/>
      <c r="R2293" s="28"/>
      <c r="S2293" s="28"/>
    </row>
    <row r="2294" spans="1:19" x14ac:dyDescent="0.25">
      <c r="A2294" s="28"/>
      <c r="B2294" s="28"/>
      <c r="C2294" s="28"/>
      <c r="D2294" s="28"/>
      <c r="E2294" s="28"/>
      <c r="F2294" s="28"/>
      <c r="G2294" s="28"/>
      <c r="H2294" s="28"/>
      <c r="I2294" s="28"/>
      <c r="J2294" s="28"/>
      <c r="K2294" s="28"/>
      <c r="L2294" s="28"/>
      <c r="M2294" s="28"/>
      <c r="N2294" s="28"/>
      <c r="O2294" s="28"/>
      <c r="P2294" s="28"/>
      <c r="Q2294" s="28"/>
      <c r="R2294" s="28"/>
      <c r="S2294" s="28"/>
    </row>
    <row r="2295" spans="1:19" x14ac:dyDescent="0.25">
      <c r="A2295" s="28"/>
      <c r="B2295" s="28"/>
      <c r="C2295" s="28"/>
      <c r="D2295" s="28"/>
      <c r="E2295" s="28"/>
      <c r="F2295" s="28"/>
      <c r="G2295" s="28"/>
      <c r="H2295" s="28"/>
      <c r="I2295" s="28"/>
      <c r="J2295" s="28"/>
      <c r="K2295" s="28"/>
      <c r="L2295" s="28"/>
      <c r="M2295" s="28"/>
      <c r="N2295" s="28"/>
      <c r="O2295" s="28"/>
      <c r="P2295" s="28"/>
      <c r="Q2295" s="28"/>
      <c r="R2295" s="28"/>
      <c r="S2295" s="28"/>
    </row>
    <row r="2296" spans="1:19" x14ac:dyDescent="0.25">
      <c r="A2296" s="28"/>
      <c r="B2296" s="28"/>
      <c r="C2296" s="28"/>
      <c r="D2296" s="28"/>
      <c r="E2296" s="28"/>
      <c r="F2296" s="28"/>
      <c r="G2296" s="28"/>
      <c r="H2296" s="28"/>
      <c r="I2296" s="28"/>
      <c r="J2296" s="28"/>
      <c r="K2296" s="28"/>
      <c r="L2296" s="28"/>
      <c r="M2296" s="28"/>
      <c r="N2296" s="28"/>
      <c r="O2296" s="28"/>
      <c r="P2296" s="28"/>
      <c r="Q2296" s="28"/>
      <c r="R2296" s="28"/>
      <c r="S2296" s="28"/>
    </row>
    <row r="2297" spans="1:19" x14ac:dyDescent="0.25">
      <c r="A2297" s="28"/>
      <c r="B2297" s="28"/>
      <c r="C2297" s="28"/>
      <c r="D2297" s="28"/>
      <c r="E2297" s="28"/>
      <c r="F2297" s="28"/>
      <c r="G2297" s="28"/>
      <c r="H2297" s="28"/>
      <c r="I2297" s="28"/>
      <c r="J2297" s="28"/>
      <c r="K2297" s="28"/>
      <c r="L2297" s="28"/>
      <c r="M2297" s="28"/>
      <c r="N2297" s="28"/>
      <c r="O2297" s="28"/>
      <c r="P2297" s="28"/>
      <c r="Q2297" s="28"/>
      <c r="R2297" s="28"/>
      <c r="S2297" s="28"/>
    </row>
    <row r="2298" spans="1:19" x14ac:dyDescent="0.25">
      <c r="A2298" s="28"/>
      <c r="B2298" s="28"/>
      <c r="C2298" s="28"/>
      <c r="D2298" s="28"/>
      <c r="E2298" s="28"/>
      <c r="F2298" s="28"/>
      <c r="G2298" s="28"/>
      <c r="H2298" s="28"/>
      <c r="I2298" s="28"/>
      <c r="J2298" s="28"/>
      <c r="K2298" s="28"/>
      <c r="L2298" s="28"/>
      <c r="M2298" s="28"/>
      <c r="N2298" s="28"/>
      <c r="O2298" s="28"/>
      <c r="P2298" s="28"/>
      <c r="Q2298" s="28"/>
      <c r="R2298" s="28"/>
      <c r="S2298" s="28"/>
    </row>
    <row r="2299" spans="1:19" x14ac:dyDescent="0.25">
      <c r="A2299" s="28"/>
      <c r="B2299" s="28"/>
      <c r="C2299" s="28"/>
      <c r="D2299" s="28"/>
      <c r="E2299" s="28"/>
      <c r="F2299" s="28"/>
      <c r="G2299" s="28"/>
      <c r="H2299" s="28"/>
      <c r="I2299" s="28"/>
      <c r="J2299" s="28"/>
      <c r="K2299" s="28"/>
      <c r="L2299" s="28"/>
      <c r="M2299" s="28"/>
      <c r="N2299" s="28"/>
      <c r="O2299" s="28"/>
      <c r="P2299" s="28"/>
      <c r="Q2299" s="28"/>
      <c r="R2299" s="28"/>
      <c r="S2299" s="28"/>
    </row>
    <row r="2300" spans="1:19" x14ac:dyDescent="0.25">
      <c r="A2300" s="28"/>
      <c r="B2300" s="28"/>
      <c r="C2300" s="28"/>
      <c r="D2300" s="28"/>
      <c r="E2300" s="28"/>
      <c r="F2300" s="28"/>
      <c r="G2300" s="28"/>
      <c r="H2300" s="28"/>
      <c r="I2300" s="28"/>
      <c r="J2300" s="28"/>
      <c r="K2300" s="28"/>
      <c r="L2300" s="28"/>
      <c r="M2300" s="28"/>
      <c r="N2300" s="28"/>
      <c r="O2300" s="28"/>
      <c r="P2300" s="28"/>
      <c r="Q2300" s="28"/>
      <c r="R2300" s="28"/>
      <c r="S2300" s="28"/>
    </row>
    <row r="2301" spans="1:19" x14ac:dyDescent="0.25">
      <c r="A2301" s="28"/>
      <c r="B2301" s="28"/>
      <c r="C2301" s="28"/>
      <c r="D2301" s="28"/>
      <c r="E2301" s="28"/>
      <c r="F2301" s="28"/>
      <c r="G2301" s="28"/>
      <c r="H2301" s="28"/>
      <c r="I2301" s="28"/>
      <c r="J2301" s="28"/>
      <c r="K2301" s="28"/>
      <c r="L2301" s="28"/>
      <c r="M2301" s="28"/>
      <c r="N2301" s="28"/>
      <c r="O2301" s="28"/>
      <c r="P2301" s="28"/>
      <c r="Q2301" s="28"/>
      <c r="R2301" s="28"/>
      <c r="S2301" s="28"/>
    </row>
    <row r="2302" spans="1:19" x14ac:dyDescent="0.25">
      <c r="A2302" s="28"/>
      <c r="B2302" s="28"/>
      <c r="C2302" s="28"/>
      <c r="D2302" s="28"/>
      <c r="E2302" s="28"/>
      <c r="F2302" s="28"/>
      <c r="G2302" s="28"/>
      <c r="H2302" s="28"/>
      <c r="I2302" s="28"/>
      <c r="J2302" s="28"/>
      <c r="K2302" s="28"/>
      <c r="L2302" s="28"/>
      <c r="M2302" s="28"/>
      <c r="N2302" s="28"/>
      <c r="O2302" s="28"/>
      <c r="P2302" s="28"/>
      <c r="Q2302" s="28"/>
      <c r="R2302" s="28"/>
      <c r="S2302" s="28"/>
    </row>
    <row r="2303" spans="1:19" x14ac:dyDescent="0.25">
      <c r="A2303" s="28"/>
      <c r="B2303" s="28"/>
      <c r="C2303" s="28"/>
      <c r="D2303" s="28"/>
      <c r="E2303" s="28"/>
      <c r="F2303" s="28"/>
      <c r="G2303" s="28"/>
      <c r="H2303" s="28"/>
      <c r="I2303" s="28"/>
      <c r="J2303" s="28"/>
      <c r="K2303" s="28"/>
      <c r="L2303" s="28"/>
      <c r="M2303" s="28"/>
      <c r="N2303" s="28"/>
      <c r="O2303" s="28"/>
      <c r="P2303" s="28"/>
      <c r="Q2303" s="28"/>
      <c r="R2303" s="28"/>
      <c r="S2303" s="28"/>
    </row>
    <row r="2304" spans="1:19" x14ac:dyDescent="0.25">
      <c r="A2304" s="28"/>
      <c r="B2304" s="28"/>
      <c r="C2304" s="28"/>
      <c r="D2304" s="28"/>
      <c r="E2304" s="28"/>
      <c r="F2304" s="28"/>
      <c r="G2304" s="28"/>
      <c r="H2304" s="28"/>
      <c r="I2304" s="28"/>
      <c r="J2304" s="28"/>
      <c r="K2304" s="28"/>
      <c r="L2304" s="28"/>
      <c r="M2304" s="28"/>
      <c r="N2304" s="28"/>
      <c r="O2304" s="28"/>
      <c r="P2304" s="28"/>
      <c r="Q2304" s="28"/>
      <c r="R2304" s="28"/>
      <c r="S2304" s="28"/>
    </row>
    <row r="2305" spans="1:19" x14ac:dyDescent="0.25">
      <c r="A2305" s="28"/>
      <c r="B2305" s="28"/>
      <c r="C2305" s="28"/>
      <c r="D2305" s="28"/>
      <c r="E2305" s="28"/>
      <c r="F2305" s="28"/>
      <c r="G2305" s="28"/>
      <c r="H2305" s="28"/>
      <c r="I2305" s="28"/>
      <c r="J2305" s="28"/>
      <c r="K2305" s="28"/>
      <c r="L2305" s="28"/>
      <c r="M2305" s="28"/>
      <c r="N2305" s="28"/>
      <c r="O2305" s="28"/>
      <c r="P2305" s="28"/>
      <c r="Q2305" s="28"/>
      <c r="R2305" s="28"/>
      <c r="S2305" s="28"/>
    </row>
    <row r="2306" spans="1:19" x14ac:dyDescent="0.25">
      <c r="A2306" s="28"/>
      <c r="B2306" s="28"/>
      <c r="C2306" s="28"/>
      <c r="D2306" s="28"/>
      <c r="E2306" s="28"/>
      <c r="F2306" s="28"/>
      <c r="G2306" s="28"/>
      <c r="H2306" s="28"/>
      <c r="I2306" s="28"/>
      <c r="J2306" s="28"/>
      <c r="K2306" s="28"/>
      <c r="L2306" s="28"/>
      <c r="M2306" s="28"/>
      <c r="N2306" s="28"/>
      <c r="O2306" s="28"/>
      <c r="P2306" s="28"/>
      <c r="Q2306" s="28"/>
      <c r="R2306" s="28"/>
      <c r="S2306" s="28"/>
    </row>
    <row r="2307" spans="1:19" x14ac:dyDescent="0.25">
      <c r="A2307" s="28"/>
      <c r="B2307" s="28"/>
      <c r="C2307" s="28"/>
      <c r="D2307" s="28"/>
      <c r="E2307" s="28"/>
      <c r="F2307" s="28"/>
      <c r="G2307" s="28"/>
      <c r="H2307" s="28"/>
      <c r="I2307" s="28"/>
      <c r="J2307" s="28"/>
      <c r="K2307" s="28"/>
      <c r="L2307" s="28"/>
      <c r="M2307" s="28"/>
      <c r="N2307" s="28"/>
      <c r="O2307" s="28"/>
      <c r="P2307" s="28"/>
      <c r="Q2307" s="28"/>
      <c r="R2307" s="28"/>
      <c r="S2307" s="28"/>
    </row>
    <row r="2308" spans="1:19" x14ac:dyDescent="0.25">
      <c r="A2308" s="28"/>
      <c r="B2308" s="28"/>
      <c r="C2308" s="28"/>
      <c r="D2308" s="28"/>
      <c r="E2308" s="28"/>
      <c r="F2308" s="28"/>
      <c r="G2308" s="28"/>
      <c r="H2308" s="28"/>
      <c r="I2308" s="28"/>
      <c r="J2308" s="28"/>
      <c r="K2308" s="28"/>
      <c r="L2308" s="28"/>
      <c r="M2308" s="28"/>
      <c r="N2308" s="28"/>
      <c r="O2308" s="28"/>
      <c r="P2308" s="28"/>
      <c r="Q2308" s="28"/>
      <c r="R2308" s="28"/>
      <c r="S2308" s="28"/>
    </row>
    <row r="2309" spans="1:19" x14ac:dyDescent="0.25">
      <c r="A2309" s="28"/>
      <c r="B2309" s="28"/>
      <c r="C2309" s="28"/>
      <c r="D2309" s="28"/>
      <c r="E2309" s="28"/>
      <c r="F2309" s="28"/>
      <c r="G2309" s="28"/>
      <c r="H2309" s="28"/>
      <c r="I2309" s="28"/>
      <c r="J2309" s="28"/>
      <c r="K2309" s="28"/>
      <c r="L2309" s="28"/>
      <c r="M2309" s="28"/>
      <c r="N2309" s="28"/>
      <c r="O2309" s="28"/>
      <c r="P2309" s="28"/>
      <c r="Q2309" s="28"/>
      <c r="R2309" s="28"/>
      <c r="S2309" s="28"/>
    </row>
    <row r="2310" spans="1:19" x14ac:dyDescent="0.25">
      <c r="A2310" s="28"/>
      <c r="B2310" s="28"/>
      <c r="C2310" s="28"/>
      <c r="D2310" s="28"/>
      <c r="E2310" s="28"/>
      <c r="F2310" s="28"/>
      <c r="G2310" s="28"/>
      <c r="H2310" s="28"/>
      <c r="I2310" s="28"/>
      <c r="J2310" s="28"/>
      <c r="K2310" s="28"/>
      <c r="L2310" s="28"/>
      <c r="M2310" s="28"/>
      <c r="N2310" s="28"/>
      <c r="O2310" s="28"/>
      <c r="P2310" s="28"/>
      <c r="Q2310" s="28"/>
      <c r="R2310" s="28"/>
      <c r="S2310" s="28"/>
    </row>
    <row r="2311" spans="1:19" x14ac:dyDescent="0.25">
      <c r="A2311" s="28"/>
      <c r="B2311" s="28"/>
      <c r="C2311" s="28"/>
      <c r="D2311" s="28"/>
      <c r="E2311" s="28"/>
      <c r="F2311" s="28"/>
      <c r="G2311" s="28"/>
      <c r="H2311" s="28"/>
      <c r="I2311" s="28"/>
      <c r="J2311" s="28"/>
      <c r="K2311" s="28"/>
      <c r="L2311" s="28"/>
      <c r="M2311" s="28"/>
      <c r="N2311" s="28"/>
      <c r="O2311" s="28"/>
      <c r="P2311" s="28"/>
      <c r="Q2311" s="28"/>
      <c r="R2311" s="28"/>
      <c r="S2311" s="28"/>
    </row>
    <row r="2312" spans="1:19" x14ac:dyDescent="0.25">
      <c r="A2312" s="28"/>
      <c r="B2312" s="28"/>
      <c r="C2312" s="28"/>
      <c r="D2312" s="28"/>
      <c r="E2312" s="28"/>
      <c r="F2312" s="28"/>
      <c r="G2312" s="28"/>
      <c r="H2312" s="28"/>
      <c r="I2312" s="28"/>
      <c r="J2312" s="28"/>
      <c r="K2312" s="28"/>
      <c r="L2312" s="28"/>
      <c r="M2312" s="28"/>
      <c r="N2312" s="28"/>
      <c r="O2312" s="28"/>
      <c r="P2312" s="28"/>
      <c r="Q2312" s="28"/>
      <c r="R2312" s="28"/>
      <c r="S2312" s="28"/>
    </row>
    <row r="2313" spans="1:19" x14ac:dyDescent="0.25">
      <c r="A2313" s="28"/>
      <c r="B2313" s="28"/>
      <c r="C2313" s="28"/>
      <c r="D2313" s="28"/>
      <c r="E2313" s="28"/>
      <c r="F2313" s="28"/>
      <c r="G2313" s="28"/>
      <c r="H2313" s="28"/>
      <c r="I2313" s="28"/>
      <c r="J2313" s="28"/>
      <c r="K2313" s="28"/>
      <c r="L2313" s="28"/>
      <c r="M2313" s="28"/>
      <c r="N2313" s="28"/>
      <c r="O2313" s="28"/>
      <c r="P2313" s="28"/>
      <c r="Q2313" s="28"/>
      <c r="R2313" s="28"/>
      <c r="S2313" s="28"/>
    </row>
    <row r="2314" spans="1:19" x14ac:dyDescent="0.25">
      <c r="A2314" s="28"/>
      <c r="B2314" s="28"/>
      <c r="C2314" s="28"/>
      <c r="D2314" s="28"/>
      <c r="E2314" s="28"/>
      <c r="F2314" s="28"/>
      <c r="G2314" s="28"/>
      <c r="H2314" s="28"/>
      <c r="I2314" s="28"/>
      <c r="J2314" s="28"/>
      <c r="K2314" s="28"/>
      <c r="L2314" s="28"/>
      <c r="M2314" s="28"/>
      <c r="N2314" s="28"/>
      <c r="O2314" s="28"/>
      <c r="P2314" s="28"/>
      <c r="Q2314" s="28"/>
      <c r="R2314" s="28"/>
      <c r="S2314" s="28"/>
    </row>
    <row r="2315" spans="1:19" x14ac:dyDescent="0.25">
      <c r="A2315" s="28"/>
      <c r="B2315" s="28"/>
      <c r="C2315" s="28"/>
      <c r="D2315" s="28"/>
      <c r="E2315" s="28"/>
      <c r="F2315" s="28"/>
      <c r="G2315" s="28"/>
      <c r="H2315" s="28"/>
      <c r="I2315" s="28"/>
      <c r="J2315" s="28"/>
      <c r="K2315" s="28"/>
      <c r="L2315" s="28"/>
      <c r="M2315" s="28"/>
      <c r="N2315" s="28"/>
      <c r="O2315" s="28"/>
      <c r="P2315" s="28"/>
      <c r="Q2315" s="28"/>
      <c r="R2315" s="28"/>
      <c r="S2315" s="28"/>
    </row>
    <row r="2316" spans="1:19" x14ac:dyDescent="0.25">
      <c r="A2316" s="28"/>
      <c r="B2316" s="28"/>
      <c r="C2316" s="28"/>
      <c r="D2316" s="28"/>
      <c r="E2316" s="28"/>
      <c r="F2316" s="28"/>
      <c r="G2316" s="28"/>
      <c r="H2316" s="28"/>
      <c r="I2316" s="28"/>
      <c r="J2316" s="28"/>
      <c r="K2316" s="28"/>
      <c r="L2316" s="28"/>
      <c r="M2316" s="28"/>
      <c r="N2316" s="28"/>
      <c r="O2316" s="28"/>
      <c r="P2316" s="28"/>
      <c r="Q2316" s="28"/>
      <c r="R2316" s="28"/>
      <c r="S2316" s="28"/>
    </row>
    <row r="2317" spans="1:19" x14ac:dyDescent="0.25">
      <c r="A2317" s="28"/>
      <c r="B2317" s="28"/>
      <c r="C2317" s="28"/>
      <c r="D2317" s="28"/>
      <c r="E2317" s="28"/>
      <c r="F2317" s="28"/>
      <c r="G2317" s="28"/>
      <c r="H2317" s="28"/>
      <c r="I2317" s="28"/>
      <c r="J2317" s="28"/>
      <c r="K2317" s="28"/>
      <c r="L2317" s="28"/>
      <c r="M2317" s="28"/>
      <c r="N2317" s="28"/>
      <c r="O2317" s="28"/>
      <c r="P2317" s="28"/>
      <c r="Q2317" s="28"/>
      <c r="R2317" s="28"/>
      <c r="S2317" s="28"/>
    </row>
    <row r="2318" spans="1:19" x14ac:dyDescent="0.25">
      <c r="A2318" s="28"/>
      <c r="B2318" s="28"/>
      <c r="C2318" s="28"/>
      <c r="D2318" s="28"/>
      <c r="E2318" s="28"/>
      <c r="F2318" s="28"/>
      <c r="G2318" s="28"/>
      <c r="H2318" s="28"/>
      <c r="I2318" s="28"/>
      <c r="J2318" s="28"/>
      <c r="K2318" s="28"/>
      <c r="L2318" s="28"/>
      <c r="M2318" s="28"/>
      <c r="N2318" s="28"/>
      <c r="O2318" s="28"/>
      <c r="P2318" s="28"/>
      <c r="Q2318" s="28"/>
      <c r="R2318" s="28"/>
      <c r="S2318" s="28"/>
    </row>
    <row r="2319" spans="1:19" x14ac:dyDescent="0.25">
      <c r="A2319" s="28"/>
      <c r="B2319" s="28"/>
      <c r="C2319" s="28"/>
      <c r="D2319" s="28"/>
      <c r="E2319" s="28"/>
      <c r="F2319" s="28"/>
      <c r="G2319" s="28"/>
      <c r="H2319" s="28"/>
      <c r="I2319" s="28"/>
      <c r="J2319" s="28"/>
      <c r="K2319" s="28"/>
      <c r="L2319" s="28"/>
      <c r="M2319" s="28"/>
      <c r="N2319" s="28"/>
      <c r="O2319" s="28"/>
      <c r="P2319" s="28"/>
      <c r="Q2319" s="28"/>
      <c r="R2319" s="28"/>
      <c r="S2319" s="28"/>
    </row>
    <row r="2320" spans="1:19" x14ac:dyDescent="0.25">
      <c r="A2320" s="28"/>
      <c r="B2320" s="28"/>
      <c r="C2320" s="28"/>
      <c r="D2320" s="28"/>
      <c r="E2320" s="28"/>
      <c r="F2320" s="28"/>
      <c r="G2320" s="28"/>
      <c r="H2320" s="28"/>
      <c r="I2320" s="28"/>
      <c r="J2320" s="28"/>
      <c r="K2320" s="28"/>
      <c r="L2320" s="28"/>
      <c r="M2320" s="28"/>
      <c r="N2320" s="28"/>
      <c r="O2320" s="28"/>
      <c r="P2320" s="28"/>
      <c r="Q2320" s="28"/>
      <c r="R2320" s="28"/>
      <c r="S2320" s="28"/>
    </row>
    <row r="2321" spans="1:19" x14ac:dyDescent="0.25">
      <c r="A2321" s="28"/>
      <c r="B2321" s="28"/>
      <c r="C2321" s="28"/>
      <c r="D2321" s="28"/>
      <c r="E2321" s="28"/>
      <c r="F2321" s="28"/>
      <c r="G2321" s="28"/>
      <c r="H2321" s="28"/>
      <c r="I2321" s="28"/>
      <c r="J2321" s="28"/>
      <c r="K2321" s="28"/>
      <c r="L2321" s="28"/>
      <c r="M2321" s="28"/>
      <c r="N2321" s="28"/>
      <c r="O2321" s="28"/>
      <c r="P2321" s="28"/>
      <c r="Q2321" s="28"/>
      <c r="R2321" s="28"/>
      <c r="S2321" s="28"/>
    </row>
    <row r="2322" spans="1:19" x14ac:dyDescent="0.25">
      <c r="A2322" s="28"/>
      <c r="B2322" s="28"/>
      <c r="C2322" s="28"/>
      <c r="D2322" s="28"/>
      <c r="E2322" s="28"/>
      <c r="F2322" s="28"/>
      <c r="G2322" s="28"/>
      <c r="H2322" s="28"/>
      <c r="I2322" s="28"/>
      <c r="J2322" s="28"/>
      <c r="K2322" s="28"/>
      <c r="L2322" s="28"/>
      <c r="M2322" s="28"/>
      <c r="N2322" s="28"/>
      <c r="O2322" s="28"/>
      <c r="P2322" s="28"/>
      <c r="Q2322" s="28"/>
      <c r="R2322" s="28"/>
      <c r="S2322" s="28"/>
    </row>
    <row r="2323" spans="1:19" x14ac:dyDescent="0.25">
      <c r="A2323" s="28"/>
      <c r="B2323" s="28"/>
      <c r="C2323" s="28"/>
      <c r="D2323" s="28"/>
      <c r="E2323" s="28"/>
      <c r="F2323" s="28"/>
      <c r="G2323" s="28"/>
      <c r="H2323" s="28"/>
      <c r="I2323" s="28"/>
      <c r="J2323" s="28"/>
      <c r="K2323" s="28"/>
      <c r="L2323" s="28"/>
      <c r="M2323" s="28"/>
      <c r="N2323" s="28"/>
      <c r="O2323" s="28"/>
      <c r="P2323" s="28"/>
      <c r="Q2323" s="28"/>
      <c r="R2323" s="28"/>
      <c r="S2323" s="28"/>
    </row>
    <row r="2324" spans="1:19" x14ac:dyDescent="0.25">
      <c r="A2324" s="28"/>
      <c r="B2324" s="28"/>
      <c r="C2324" s="28"/>
      <c r="D2324" s="28"/>
      <c r="E2324" s="28"/>
      <c r="F2324" s="28"/>
      <c r="G2324" s="28"/>
      <c r="H2324" s="28"/>
      <c r="I2324" s="28"/>
      <c r="J2324" s="28"/>
      <c r="K2324" s="28"/>
      <c r="L2324" s="28"/>
      <c r="M2324" s="28"/>
      <c r="N2324" s="28"/>
      <c r="O2324" s="28"/>
      <c r="P2324" s="28"/>
      <c r="Q2324" s="28"/>
      <c r="R2324" s="28"/>
      <c r="S2324" s="28"/>
    </row>
    <row r="2325" spans="1:19" x14ac:dyDescent="0.25">
      <c r="A2325" s="28"/>
      <c r="B2325" s="28"/>
      <c r="C2325" s="28"/>
      <c r="D2325" s="28"/>
      <c r="E2325" s="28"/>
      <c r="F2325" s="28"/>
      <c r="G2325" s="28"/>
      <c r="H2325" s="28"/>
      <c r="I2325" s="28"/>
      <c r="J2325" s="28"/>
      <c r="K2325" s="28"/>
      <c r="L2325" s="28"/>
      <c r="M2325" s="28"/>
      <c r="N2325" s="28"/>
      <c r="O2325" s="28"/>
      <c r="P2325" s="28"/>
      <c r="Q2325" s="28"/>
      <c r="R2325" s="28"/>
      <c r="S2325" s="28"/>
    </row>
    <row r="2326" spans="1:19" x14ac:dyDescent="0.25">
      <c r="A2326" s="28"/>
      <c r="B2326" s="28"/>
      <c r="C2326" s="28"/>
      <c r="D2326" s="28"/>
      <c r="E2326" s="28"/>
      <c r="F2326" s="28"/>
      <c r="G2326" s="28"/>
      <c r="H2326" s="28"/>
      <c r="I2326" s="28"/>
      <c r="J2326" s="28"/>
      <c r="K2326" s="28"/>
      <c r="L2326" s="28"/>
      <c r="M2326" s="28"/>
      <c r="N2326" s="28"/>
      <c r="O2326" s="28"/>
      <c r="P2326" s="28"/>
      <c r="Q2326" s="28"/>
      <c r="R2326" s="28"/>
      <c r="S2326" s="28"/>
    </row>
    <row r="2327" spans="1:19" x14ac:dyDescent="0.25">
      <c r="A2327" s="28"/>
      <c r="B2327" s="28"/>
      <c r="C2327" s="28"/>
      <c r="D2327" s="28"/>
      <c r="E2327" s="28"/>
      <c r="F2327" s="28"/>
      <c r="G2327" s="28"/>
      <c r="H2327" s="28"/>
      <c r="I2327" s="28"/>
      <c r="J2327" s="28"/>
      <c r="K2327" s="28"/>
      <c r="L2327" s="28"/>
      <c r="M2327" s="28"/>
      <c r="N2327" s="28"/>
      <c r="O2327" s="28"/>
      <c r="P2327" s="28"/>
      <c r="Q2327" s="28"/>
      <c r="R2327" s="28"/>
      <c r="S2327" s="28"/>
    </row>
    <row r="2328" spans="1:19" x14ac:dyDescent="0.25">
      <c r="A2328" s="28"/>
      <c r="B2328" s="28"/>
      <c r="C2328" s="28"/>
      <c r="D2328" s="28"/>
      <c r="E2328" s="28"/>
      <c r="F2328" s="28"/>
      <c r="G2328" s="28"/>
      <c r="H2328" s="28"/>
      <c r="I2328" s="28"/>
      <c r="J2328" s="28"/>
      <c r="K2328" s="28"/>
      <c r="L2328" s="28"/>
      <c r="M2328" s="28"/>
      <c r="N2328" s="28"/>
      <c r="O2328" s="28"/>
      <c r="P2328" s="28"/>
      <c r="Q2328" s="28"/>
      <c r="R2328" s="28"/>
      <c r="S2328" s="28"/>
    </row>
    <row r="2329" spans="1:19" x14ac:dyDescent="0.25">
      <c r="A2329" s="28"/>
      <c r="B2329" s="28"/>
      <c r="C2329" s="28"/>
      <c r="D2329" s="28"/>
      <c r="E2329" s="28"/>
      <c r="F2329" s="28"/>
      <c r="G2329" s="28"/>
      <c r="H2329" s="28"/>
      <c r="I2329" s="28"/>
      <c r="J2329" s="28"/>
      <c r="K2329" s="28"/>
      <c r="L2329" s="28"/>
      <c r="M2329" s="28"/>
      <c r="N2329" s="28"/>
      <c r="O2329" s="28"/>
      <c r="P2329" s="28"/>
      <c r="Q2329" s="28"/>
      <c r="R2329" s="28"/>
      <c r="S2329" s="28"/>
    </row>
    <row r="2330" spans="1:19" x14ac:dyDescent="0.25">
      <c r="A2330" s="28"/>
      <c r="B2330" s="28"/>
      <c r="C2330" s="28"/>
      <c r="D2330" s="28"/>
      <c r="E2330" s="28"/>
      <c r="F2330" s="28"/>
      <c r="G2330" s="28"/>
      <c r="H2330" s="28"/>
      <c r="I2330" s="28"/>
      <c r="J2330" s="28"/>
      <c r="K2330" s="28"/>
      <c r="L2330" s="28"/>
      <c r="M2330" s="28"/>
      <c r="N2330" s="28"/>
      <c r="O2330" s="28"/>
      <c r="P2330" s="28"/>
      <c r="Q2330" s="28"/>
      <c r="R2330" s="28"/>
      <c r="S2330" s="28"/>
    </row>
    <row r="2331" spans="1:19" x14ac:dyDescent="0.25">
      <c r="A2331" s="28"/>
      <c r="B2331" s="28"/>
      <c r="C2331" s="28"/>
      <c r="D2331" s="28"/>
      <c r="E2331" s="28"/>
      <c r="F2331" s="28"/>
      <c r="G2331" s="28"/>
      <c r="H2331" s="28"/>
      <c r="I2331" s="28"/>
      <c r="J2331" s="28"/>
      <c r="K2331" s="28"/>
      <c r="L2331" s="28"/>
      <c r="M2331" s="28"/>
      <c r="N2331" s="28"/>
      <c r="O2331" s="28"/>
      <c r="P2331" s="28"/>
      <c r="Q2331" s="28"/>
      <c r="R2331" s="28"/>
      <c r="S2331" s="28"/>
    </row>
    <row r="2332" spans="1:19" x14ac:dyDescent="0.25">
      <c r="A2332" s="28"/>
      <c r="B2332" s="28"/>
      <c r="C2332" s="28"/>
      <c r="D2332" s="28"/>
      <c r="E2332" s="28"/>
      <c r="F2332" s="28"/>
      <c r="G2332" s="28"/>
      <c r="H2332" s="28"/>
      <c r="I2332" s="28"/>
      <c r="J2332" s="28"/>
      <c r="K2332" s="28"/>
      <c r="L2332" s="28"/>
      <c r="M2332" s="28"/>
      <c r="N2332" s="28"/>
      <c r="O2332" s="28"/>
      <c r="P2332" s="28"/>
      <c r="Q2332" s="28"/>
      <c r="R2332" s="28"/>
      <c r="S2332" s="28"/>
    </row>
    <row r="2333" spans="1:19" x14ac:dyDescent="0.25">
      <c r="A2333" s="28"/>
      <c r="B2333" s="28"/>
      <c r="C2333" s="28"/>
      <c r="D2333" s="28"/>
      <c r="E2333" s="28"/>
      <c r="F2333" s="28"/>
      <c r="G2333" s="28"/>
      <c r="H2333" s="28"/>
      <c r="I2333" s="28"/>
      <c r="J2333" s="28"/>
      <c r="K2333" s="28"/>
      <c r="L2333" s="28"/>
      <c r="M2333" s="28"/>
      <c r="N2333" s="28"/>
      <c r="O2333" s="28"/>
      <c r="P2333" s="28"/>
      <c r="Q2333" s="28"/>
      <c r="R2333" s="28"/>
      <c r="S2333" s="28"/>
    </row>
    <row r="2334" spans="1:19" x14ac:dyDescent="0.25">
      <c r="A2334" s="28"/>
      <c r="B2334" s="28"/>
      <c r="C2334" s="28"/>
      <c r="D2334" s="28"/>
      <c r="E2334" s="28"/>
      <c r="F2334" s="28"/>
      <c r="G2334" s="28"/>
      <c r="H2334" s="28"/>
      <c r="I2334" s="28"/>
      <c r="J2334" s="28"/>
      <c r="K2334" s="28"/>
      <c r="L2334" s="28"/>
      <c r="M2334" s="28"/>
      <c r="N2334" s="28"/>
      <c r="O2334" s="28"/>
      <c r="P2334" s="28"/>
      <c r="Q2334" s="28"/>
      <c r="R2334" s="28"/>
      <c r="S2334" s="28"/>
    </row>
    <row r="2335" spans="1:19" x14ac:dyDescent="0.25">
      <c r="A2335" s="28"/>
      <c r="B2335" s="28"/>
      <c r="C2335" s="28"/>
      <c r="D2335" s="28"/>
      <c r="E2335" s="28"/>
      <c r="F2335" s="28"/>
      <c r="G2335" s="28"/>
      <c r="H2335" s="28"/>
      <c r="I2335" s="28"/>
      <c r="J2335" s="28"/>
      <c r="K2335" s="28"/>
      <c r="L2335" s="28"/>
      <c r="M2335" s="28"/>
      <c r="N2335" s="28"/>
      <c r="O2335" s="28"/>
      <c r="P2335" s="28"/>
      <c r="Q2335" s="28"/>
      <c r="R2335" s="28"/>
      <c r="S2335" s="28"/>
    </row>
    <row r="2336" spans="1:19" x14ac:dyDescent="0.25">
      <c r="A2336" s="28"/>
      <c r="B2336" s="28"/>
      <c r="C2336" s="28"/>
      <c r="D2336" s="28"/>
      <c r="E2336" s="28"/>
      <c r="F2336" s="28"/>
      <c r="G2336" s="28"/>
      <c r="H2336" s="28"/>
      <c r="I2336" s="28"/>
      <c r="J2336" s="28"/>
      <c r="K2336" s="28"/>
      <c r="L2336" s="28"/>
      <c r="M2336" s="28"/>
      <c r="N2336" s="28"/>
      <c r="O2336" s="28"/>
      <c r="P2336" s="28"/>
      <c r="Q2336" s="28"/>
      <c r="R2336" s="28"/>
      <c r="S2336" s="28"/>
    </row>
    <row r="2337" spans="1:19" x14ac:dyDescent="0.25">
      <c r="A2337" s="28"/>
      <c r="B2337" s="28"/>
      <c r="C2337" s="28"/>
      <c r="D2337" s="28"/>
      <c r="E2337" s="28"/>
      <c r="F2337" s="28"/>
      <c r="G2337" s="28"/>
      <c r="H2337" s="28"/>
      <c r="I2337" s="28"/>
      <c r="J2337" s="28"/>
      <c r="K2337" s="28"/>
      <c r="L2337" s="28"/>
      <c r="M2337" s="28"/>
      <c r="N2337" s="28"/>
      <c r="O2337" s="28"/>
      <c r="P2337" s="28"/>
      <c r="Q2337" s="28"/>
      <c r="R2337" s="28"/>
      <c r="S2337" s="28"/>
    </row>
    <row r="2338" spans="1:19" x14ac:dyDescent="0.25">
      <c r="A2338" s="28"/>
      <c r="B2338" s="28"/>
      <c r="C2338" s="28"/>
      <c r="D2338" s="28"/>
      <c r="E2338" s="28"/>
      <c r="F2338" s="28"/>
      <c r="G2338" s="28"/>
      <c r="H2338" s="28"/>
      <c r="I2338" s="28"/>
      <c r="J2338" s="28"/>
      <c r="K2338" s="28"/>
      <c r="L2338" s="28"/>
      <c r="M2338" s="28"/>
      <c r="N2338" s="28"/>
      <c r="O2338" s="28"/>
      <c r="P2338" s="28"/>
      <c r="Q2338" s="28"/>
      <c r="R2338" s="28"/>
      <c r="S2338" s="28"/>
    </row>
    <row r="2339" spans="1:19" x14ac:dyDescent="0.25">
      <c r="A2339" s="28"/>
      <c r="B2339" s="28"/>
      <c r="C2339" s="28"/>
      <c r="D2339" s="28"/>
      <c r="E2339" s="28"/>
      <c r="F2339" s="28"/>
      <c r="G2339" s="28"/>
      <c r="H2339" s="28"/>
      <c r="I2339" s="28"/>
      <c r="J2339" s="28"/>
      <c r="K2339" s="28"/>
      <c r="L2339" s="28"/>
      <c r="M2339" s="28"/>
      <c r="N2339" s="28"/>
      <c r="O2339" s="28"/>
      <c r="P2339" s="28"/>
      <c r="Q2339" s="28"/>
      <c r="R2339" s="28"/>
      <c r="S2339" s="28"/>
    </row>
    <row r="2340" spans="1:19" x14ac:dyDescent="0.25">
      <c r="A2340" s="28"/>
      <c r="B2340" s="28"/>
      <c r="C2340" s="28"/>
      <c r="D2340" s="28"/>
      <c r="E2340" s="28"/>
      <c r="F2340" s="28"/>
      <c r="G2340" s="28"/>
      <c r="H2340" s="28"/>
      <c r="I2340" s="28"/>
      <c r="J2340" s="28"/>
      <c r="K2340" s="28"/>
      <c r="L2340" s="28"/>
      <c r="M2340" s="28"/>
      <c r="N2340" s="28"/>
      <c r="O2340" s="28"/>
      <c r="P2340" s="28"/>
      <c r="Q2340" s="28"/>
      <c r="R2340" s="28"/>
      <c r="S2340" s="28"/>
    </row>
    <row r="2341" spans="1:19" x14ac:dyDescent="0.25">
      <c r="A2341" s="28"/>
      <c r="B2341" s="28"/>
      <c r="C2341" s="28"/>
      <c r="D2341" s="28"/>
      <c r="E2341" s="28"/>
      <c r="F2341" s="28"/>
      <c r="G2341" s="28"/>
      <c r="H2341" s="28"/>
      <c r="I2341" s="28"/>
      <c r="J2341" s="28"/>
      <c r="K2341" s="28"/>
      <c r="L2341" s="28"/>
      <c r="M2341" s="28"/>
      <c r="N2341" s="28"/>
      <c r="O2341" s="28"/>
      <c r="P2341" s="28"/>
      <c r="Q2341" s="28"/>
      <c r="R2341" s="28"/>
      <c r="S2341" s="28"/>
    </row>
    <row r="2342" spans="1:19" x14ac:dyDescent="0.25">
      <c r="A2342" s="28"/>
      <c r="B2342" s="28"/>
      <c r="C2342" s="28"/>
      <c r="D2342" s="28"/>
      <c r="E2342" s="28"/>
      <c r="F2342" s="28"/>
      <c r="G2342" s="28"/>
      <c r="H2342" s="28"/>
      <c r="I2342" s="28"/>
      <c r="J2342" s="28"/>
      <c r="K2342" s="28"/>
      <c r="L2342" s="28"/>
      <c r="M2342" s="28"/>
      <c r="N2342" s="28"/>
      <c r="O2342" s="28"/>
      <c r="P2342" s="28"/>
      <c r="Q2342" s="28"/>
      <c r="R2342" s="28"/>
      <c r="S2342" s="28"/>
    </row>
    <row r="2343" spans="1:19" x14ac:dyDescent="0.25">
      <c r="A2343" s="28"/>
      <c r="B2343" s="28"/>
      <c r="C2343" s="28"/>
      <c r="D2343" s="28"/>
      <c r="E2343" s="28"/>
      <c r="F2343" s="28"/>
      <c r="G2343" s="28"/>
      <c r="H2343" s="28"/>
      <c r="I2343" s="28"/>
      <c r="J2343" s="28"/>
      <c r="K2343" s="28"/>
      <c r="L2343" s="28"/>
      <c r="M2343" s="28"/>
      <c r="N2343" s="28"/>
      <c r="O2343" s="28"/>
      <c r="P2343" s="28"/>
      <c r="Q2343" s="28"/>
      <c r="R2343" s="28"/>
      <c r="S2343" s="28"/>
    </row>
    <row r="2344" spans="1:19" x14ac:dyDescent="0.25">
      <c r="A2344" s="28"/>
      <c r="B2344" s="28"/>
      <c r="C2344" s="28"/>
      <c r="D2344" s="28"/>
      <c r="E2344" s="28"/>
      <c r="F2344" s="28"/>
      <c r="G2344" s="28"/>
      <c r="H2344" s="28"/>
      <c r="I2344" s="28"/>
      <c r="J2344" s="28"/>
      <c r="K2344" s="28"/>
      <c r="L2344" s="28"/>
      <c r="M2344" s="28"/>
      <c r="N2344" s="28"/>
      <c r="O2344" s="28"/>
      <c r="P2344" s="28"/>
      <c r="Q2344" s="28"/>
      <c r="R2344" s="28"/>
      <c r="S2344" s="28"/>
    </row>
    <row r="2345" spans="1:19" x14ac:dyDescent="0.25">
      <c r="A2345" s="28"/>
      <c r="B2345" s="28"/>
      <c r="C2345" s="28"/>
      <c r="D2345" s="28"/>
      <c r="E2345" s="28"/>
      <c r="F2345" s="28"/>
      <c r="G2345" s="28"/>
      <c r="H2345" s="28"/>
      <c r="I2345" s="28"/>
      <c r="J2345" s="28"/>
      <c r="K2345" s="28"/>
      <c r="L2345" s="28"/>
      <c r="M2345" s="28"/>
      <c r="N2345" s="28"/>
      <c r="O2345" s="28"/>
      <c r="P2345" s="28"/>
      <c r="Q2345" s="28"/>
      <c r="R2345" s="28"/>
      <c r="S2345" s="28"/>
    </row>
    <row r="2346" spans="1:19" x14ac:dyDescent="0.25">
      <c r="A2346" s="28"/>
      <c r="B2346" s="28"/>
      <c r="C2346" s="28"/>
      <c r="D2346" s="28"/>
      <c r="E2346" s="28"/>
      <c r="F2346" s="28"/>
      <c r="G2346" s="28"/>
      <c r="H2346" s="28"/>
      <c r="I2346" s="28"/>
      <c r="J2346" s="28"/>
      <c r="K2346" s="28"/>
      <c r="L2346" s="28"/>
      <c r="M2346" s="28"/>
      <c r="N2346" s="28"/>
      <c r="O2346" s="28"/>
      <c r="P2346" s="28"/>
      <c r="Q2346" s="28"/>
      <c r="R2346" s="28"/>
      <c r="S2346" s="28"/>
    </row>
    <row r="2347" spans="1:19" x14ac:dyDescent="0.25">
      <c r="A2347" s="28"/>
      <c r="B2347" s="28"/>
      <c r="C2347" s="28"/>
      <c r="D2347" s="28"/>
      <c r="E2347" s="28"/>
      <c r="F2347" s="28"/>
      <c r="G2347" s="28"/>
      <c r="H2347" s="28"/>
      <c r="I2347" s="28"/>
      <c r="J2347" s="28"/>
      <c r="K2347" s="28"/>
      <c r="L2347" s="28"/>
      <c r="M2347" s="28"/>
      <c r="N2347" s="28"/>
      <c r="O2347" s="28"/>
      <c r="P2347" s="28"/>
      <c r="Q2347" s="28"/>
      <c r="R2347" s="28"/>
      <c r="S2347" s="28"/>
    </row>
    <row r="2348" spans="1:19" x14ac:dyDescent="0.25">
      <c r="A2348" s="28"/>
      <c r="B2348" s="28"/>
      <c r="C2348" s="28"/>
      <c r="D2348" s="28"/>
      <c r="E2348" s="28"/>
      <c r="F2348" s="28"/>
      <c r="G2348" s="28"/>
      <c r="H2348" s="28"/>
      <c r="I2348" s="28"/>
      <c r="J2348" s="28"/>
      <c r="K2348" s="28"/>
      <c r="L2348" s="28"/>
      <c r="M2348" s="28"/>
      <c r="N2348" s="28"/>
      <c r="O2348" s="28"/>
      <c r="P2348" s="28"/>
      <c r="Q2348" s="28"/>
      <c r="R2348" s="28"/>
      <c r="S2348" s="28"/>
    </row>
    <row r="2349" spans="1:19" x14ac:dyDescent="0.25">
      <c r="A2349" s="28"/>
      <c r="B2349" s="28"/>
      <c r="C2349" s="28"/>
      <c r="D2349" s="28"/>
      <c r="E2349" s="28"/>
      <c r="F2349" s="28"/>
      <c r="G2349" s="28"/>
      <c r="H2349" s="28"/>
      <c r="I2349" s="28"/>
      <c r="J2349" s="28"/>
      <c r="K2349" s="28"/>
      <c r="L2349" s="28"/>
      <c r="M2349" s="28"/>
      <c r="N2349" s="28"/>
      <c r="O2349" s="28"/>
      <c r="P2349" s="28"/>
      <c r="Q2349" s="28"/>
      <c r="R2349" s="28"/>
      <c r="S2349" s="28"/>
    </row>
    <row r="2350" spans="1:19" x14ac:dyDescent="0.25">
      <c r="A2350" s="28"/>
      <c r="B2350" s="28"/>
      <c r="C2350" s="28"/>
      <c r="D2350" s="28"/>
      <c r="E2350" s="28"/>
      <c r="F2350" s="28"/>
      <c r="G2350" s="28"/>
      <c r="H2350" s="28"/>
      <c r="I2350" s="28"/>
      <c r="J2350" s="28"/>
      <c r="K2350" s="28"/>
      <c r="L2350" s="28"/>
      <c r="M2350" s="28"/>
      <c r="N2350" s="28"/>
      <c r="O2350" s="28"/>
      <c r="P2350" s="28"/>
      <c r="Q2350" s="28"/>
      <c r="R2350" s="28"/>
      <c r="S2350" s="28"/>
    </row>
    <row r="2351" spans="1:19" x14ac:dyDescent="0.25">
      <c r="A2351" s="28"/>
      <c r="B2351" s="28"/>
      <c r="C2351" s="28"/>
      <c r="D2351" s="28"/>
      <c r="E2351" s="28"/>
      <c r="F2351" s="28"/>
      <c r="G2351" s="28"/>
      <c r="H2351" s="28"/>
      <c r="I2351" s="28"/>
      <c r="J2351" s="28"/>
      <c r="K2351" s="28"/>
      <c r="L2351" s="28"/>
      <c r="M2351" s="28"/>
      <c r="N2351" s="28"/>
      <c r="O2351" s="28"/>
      <c r="P2351" s="28"/>
      <c r="Q2351" s="28"/>
      <c r="R2351" s="28"/>
      <c r="S2351" s="28"/>
    </row>
    <row r="2352" spans="1:19" x14ac:dyDescent="0.25">
      <c r="A2352" s="28"/>
      <c r="B2352" s="28"/>
      <c r="C2352" s="28"/>
      <c r="D2352" s="28"/>
      <c r="E2352" s="28"/>
      <c r="F2352" s="28"/>
      <c r="G2352" s="28"/>
      <c r="H2352" s="28"/>
      <c r="I2352" s="28"/>
      <c r="J2352" s="28"/>
      <c r="K2352" s="28"/>
      <c r="L2352" s="28"/>
      <c r="M2352" s="28"/>
      <c r="N2352" s="28"/>
      <c r="O2352" s="28"/>
      <c r="P2352" s="28"/>
      <c r="Q2352" s="28"/>
      <c r="R2352" s="28"/>
      <c r="S2352" s="28"/>
    </row>
    <row r="2353" spans="1:19" x14ac:dyDescent="0.25">
      <c r="A2353" s="28"/>
      <c r="B2353" s="28"/>
      <c r="C2353" s="28"/>
      <c r="D2353" s="28"/>
      <c r="E2353" s="28"/>
      <c r="F2353" s="28"/>
      <c r="G2353" s="28"/>
      <c r="H2353" s="28"/>
      <c r="I2353" s="28"/>
      <c r="J2353" s="28"/>
      <c r="K2353" s="28"/>
      <c r="L2353" s="28"/>
      <c r="M2353" s="28"/>
      <c r="N2353" s="28"/>
      <c r="O2353" s="28"/>
      <c r="P2353" s="28"/>
      <c r="Q2353" s="28"/>
      <c r="R2353" s="28"/>
      <c r="S2353" s="28"/>
    </row>
    <row r="2354" spans="1:19" x14ac:dyDescent="0.25">
      <c r="A2354" s="28"/>
      <c r="B2354" s="28"/>
      <c r="C2354" s="28"/>
      <c r="D2354" s="28"/>
      <c r="E2354" s="28"/>
      <c r="F2354" s="28"/>
      <c r="G2354" s="28"/>
      <c r="H2354" s="28"/>
      <c r="I2354" s="28"/>
      <c r="J2354" s="28"/>
      <c r="K2354" s="28"/>
      <c r="L2354" s="28"/>
      <c r="M2354" s="28"/>
      <c r="N2354" s="28"/>
      <c r="O2354" s="28"/>
      <c r="P2354" s="28"/>
      <c r="Q2354" s="28"/>
      <c r="R2354" s="28"/>
      <c r="S2354" s="28"/>
    </row>
    <row r="2355" spans="1:19" x14ac:dyDescent="0.25">
      <c r="A2355" s="28"/>
      <c r="B2355" s="28"/>
      <c r="C2355" s="28"/>
      <c r="D2355" s="28"/>
      <c r="E2355" s="28"/>
      <c r="F2355" s="28"/>
      <c r="G2355" s="28"/>
      <c r="H2355" s="28"/>
      <c r="I2355" s="28"/>
      <c r="J2355" s="28"/>
      <c r="K2355" s="28"/>
      <c r="L2355" s="28"/>
      <c r="M2355" s="28"/>
      <c r="N2355" s="28"/>
      <c r="O2355" s="28"/>
      <c r="P2355" s="28"/>
      <c r="Q2355" s="28"/>
      <c r="R2355" s="28"/>
      <c r="S2355" s="28"/>
    </row>
    <row r="2356" spans="1:19" x14ac:dyDescent="0.25">
      <c r="A2356" s="28"/>
      <c r="B2356" s="28"/>
      <c r="C2356" s="28"/>
      <c r="D2356" s="28"/>
      <c r="E2356" s="28"/>
      <c r="F2356" s="28"/>
      <c r="G2356" s="28"/>
      <c r="H2356" s="28"/>
      <c r="I2356" s="28"/>
      <c r="J2356" s="28"/>
      <c r="K2356" s="28"/>
      <c r="L2356" s="28"/>
      <c r="M2356" s="28"/>
      <c r="N2356" s="28"/>
      <c r="O2356" s="28"/>
      <c r="P2356" s="28"/>
      <c r="Q2356" s="28"/>
      <c r="R2356" s="28"/>
      <c r="S2356" s="28"/>
    </row>
    <row r="2357" spans="1:19" x14ac:dyDescent="0.25">
      <c r="A2357" s="28"/>
      <c r="B2357" s="28"/>
      <c r="C2357" s="28"/>
      <c r="D2357" s="28"/>
      <c r="E2357" s="28"/>
      <c r="F2357" s="28"/>
      <c r="G2357" s="28"/>
      <c r="H2357" s="28"/>
      <c r="I2357" s="28"/>
      <c r="J2357" s="28"/>
      <c r="K2357" s="28"/>
      <c r="L2357" s="28"/>
      <c r="M2357" s="28"/>
      <c r="N2357" s="28"/>
      <c r="O2357" s="28"/>
      <c r="P2357" s="28"/>
      <c r="Q2357" s="28"/>
      <c r="R2357" s="28"/>
      <c r="S2357" s="28"/>
    </row>
    <row r="2358" spans="1:19" x14ac:dyDescent="0.25">
      <c r="A2358" s="28"/>
      <c r="B2358" s="28"/>
      <c r="C2358" s="28"/>
      <c r="D2358" s="28"/>
      <c r="E2358" s="28"/>
      <c r="F2358" s="28"/>
      <c r="G2358" s="28"/>
      <c r="H2358" s="28"/>
      <c r="I2358" s="28"/>
      <c r="J2358" s="28"/>
      <c r="K2358" s="28"/>
      <c r="L2358" s="28"/>
      <c r="M2358" s="28"/>
      <c r="N2358" s="28"/>
      <c r="O2358" s="28"/>
      <c r="P2358" s="28"/>
      <c r="Q2358" s="28"/>
      <c r="R2358" s="28"/>
      <c r="S2358" s="28"/>
    </row>
    <row r="2359" spans="1:19" x14ac:dyDescent="0.25">
      <c r="A2359" s="28"/>
      <c r="B2359" s="28"/>
      <c r="C2359" s="28"/>
      <c r="D2359" s="28"/>
      <c r="E2359" s="28"/>
      <c r="F2359" s="28"/>
      <c r="G2359" s="28"/>
      <c r="H2359" s="28"/>
      <c r="I2359" s="28"/>
      <c r="J2359" s="28"/>
      <c r="K2359" s="28"/>
      <c r="L2359" s="28"/>
      <c r="M2359" s="28"/>
      <c r="N2359" s="28"/>
      <c r="O2359" s="28"/>
      <c r="P2359" s="28"/>
      <c r="Q2359" s="28"/>
      <c r="R2359" s="28"/>
      <c r="S2359" s="28"/>
    </row>
    <row r="2360" spans="1:19" x14ac:dyDescent="0.25">
      <c r="A2360" s="28"/>
      <c r="B2360" s="28"/>
      <c r="C2360" s="28"/>
      <c r="D2360" s="28"/>
      <c r="E2360" s="28"/>
      <c r="F2360" s="28"/>
      <c r="G2360" s="28"/>
      <c r="H2360" s="28"/>
      <c r="I2360" s="28"/>
      <c r="J2360" s="28"/>
      <c r="K2360" s="28"/>
      <c r="L2360" s="28"/>
      <c r="M2360" s="28"/>
      <c r="N2360" s="28"/>
      <c r="O2360" s="28"/>
      <c r="P2360" s="28"/>
      <c r="Q2360" s="28"/>
      <c r="R2360" s="28"/>
      <c r="S2360" s="28"/>
    </row>
    <row r="2361" spans="1:19" x14ac:dyDescent="0.25">
      <c r="A2361" s="28"/>
      <c r="B2361" s="28"/>
      <c r="C2361" s="28"/>
      <c r="D2361" s="28"/>
      <c r="E2361" s="28"/>
      <c r="F2361" s="28"/>
      <c r="G2361" s="28"/>
      <c r="H2361" s="28"/>
      <c r="I2361" s="28"/>
      <c r="J2361" s="28"/>
      <c r="K2361" s="28"/>
      <c r="L2361" s="28"/>
      <c r="M2361" s="28"/>
      <c r="N2361" s="28"/>
      <c r="O2361" s="28"/>
      <c r="P2361" s="28"/>
      <c r="Q2361" s="28"/>
      <c r="R2361" s="28"/>
      <c r="S2361" s="28"/>
    </row>
    <row r="2362" spans="1:19" x14ac:dyDescent="0.25">
      <c r="A2362" s="28"/>
      <c r="B2362" s="28"/>
      <c r="C2362" s="28"/>
      <c r="D2362" s="28"/>
      <c r="E2362" s="28"/>
      <c r="F2362" s="28"/>
      <c r="G2362" s="28"/>
      <c r="H2362" s="28"/>
      <c r="I2362" s="28"/>
      <c r="J2362" s="28"/>
      <c r="K2362" s="28"/>
      <c r="L2362" s="28"/>
      <c r="M2362" s="28"/>
      <c r="N2362" s="28"/>
      <c r="O2362" s="28"/>
      <c r="P2362" s="28"/>
      <c r="Q2362" s="28"/>
      <c r="R2362" s="28"/>
      <c r="S2362" s="28"/>
    </row>
    <row r="2363" spans="1:19" x14ac:dyDescent="0.25">
      <c r="A2363" s="28"/>
      <c r="B2363" s="28"/>
      <c r="C2363" s="28"/>
      <c r="D2363" s="28"/>
      <c r="E2363" s="28"/>
      <c r="F2363" s="28"/>
      <c r="G2363" s="28"/>
      <c r="H2363" s="28"/>
      <c r="I2363" s="28"/>
      <c r="J2363" s="28"/>
      <c r="K2363" s="28"/>
      <c r="L2363" s="28"/>
      <c r="M2363" s="28"/>
      <c r="N2363" s="28"/>
      <c r="O2363" s="28"/>
      <c r="P2363" s="28"/>
      <c r="Q2363" s="28"/>
      <c r="R2363" s="28"/>
      <c r="S2363" s="28"/>
    </row>
    <row r="2364" spans="1:19" x14ac:dyDescent="0.25">
      <c r="A2364" s="28"/>
      <c r="B2364" s="28"/>
      <c r="C2364" s="28"/>
      <c r="D2364" s="28"/>
      <c r="E2364" s="28"/>
      <c r="F2364" s="28"/>
      <c r="G2364" s="28"/>
      <c r="H2364" s="28"/>
      <c r="I2364" s="28"/>
      <c r="J2364" s="28"/>
      <c r="K2364" s="28"/>
      <c r="L2364" s="28"/>
      <c r="M2364" s="28"/>
      <c r="N2364" s="28"/>
      <c r="O2364" s="28"/>
      <c r="P2364" s="28"/>
      <c r="Q2364" s="28"/>
      <c r="R2364" s="28"/>
      <c r="S2364" s="28"/>
    </row>
    <row r="2365" spans="1:19" x14ac:dyDescent="0.25">
      <c r="A2365" s="28"/>
      <c r="B2365" s="28"/>
      <c r="C2365" s="28"/>
      <c r="D2365" s="28"/>
      <c r="E2365" s="28"/>
      <c r="F2365" s="28"/>
      <c r="G2365" s="28"/>
      <c r="H2365" s="28"/>
      <c r="I2365" s="28"/>
      <c r="J2365" s="28"/>
      <c r="K2365" s="28"/>
      <c r="L2365" s="28"/>
      <c r="M2365" s="28"/>
      <c r="N2365" s="28"/>
      <c r="O2365" s="28"/>
      <c r="P2365" s="28"/>
      <c r="Q2365" s="28"/>
      <c r="R2365" s="28"/>
      <c r="S2365" s="28"/>
    </row>
    <row r="2366" spans="1:19" x14ac:dyDescent="0.25">
      <c r="A2366" s="28"/>
      <c r="B2366" s="28"/>
      <c r="C2366" s="28"/>
      <c r="D2366" s="28"/>
      <c r="E2366" s="28"/>
      <c r="F2366" s="28"/>
      <c r="G2366" s="28"/>
      <c r="H2366" s="28"/>
      <c r="I2366" s="28"/>
      <c r="J2366" s="28"/>
      <c r="K2366" s="28"/>
      <c r="L2366" s="28"/>
      <c r="M2366" s="28"/>
      <c r="N2366" s="28"/>
      <c r="O2366" s="28"/>
      <c r="P2366" s="28"/>
      <c r="Q2366" s="28"/>
      <c r="R2366" s="28"/>
      <c r="S2366" s="28"/>
    </row>
    <row r="2367" spans="1:19" x14ac:dyDescent="0.25">
      <c r="A2367" s="28"/>
      <c r="B2367" s="28"/>
      <c r="C2367" s="28"/>
      <c r="D2367" s="28"/>
      <c r="E2367" s="28"/>
      <c r="F2367" s="28"/>
      <c r="G2367" s="28"/>
      <c r="H2367" s="28"/>
      <c r="I2367" s="28"/>
      <c r="J2367" s="28"/>
      <c r="K2367" s="28"/>
      <c r="L2367" s="28"/>
      <c r="M2367" s="28"/>
      <c r="N2367" s="28"/>
      <c r="O2367" s="28"/>
      <c r="P2367" s="28"/>
      <c r="Q2367" s="28"/>
      <c r="R2367" s="28"/>
      <c r="S2367" s="28"/>
    </row>
    <row r="2368" spans="1:19" x14ac:dyDescent="0.25">
      <c r="A2368" s="28"/>
      <c r="B2368" s="28"/>
      <c r="C2368" s="28"/>
      <c r="D2368" s="28"/>
      <c r="E2368" s="28"/>
      <c r="F2368" s="28"/>
      <c r="G2368" s="28"/>
      <c r="H2368" s="28"/>
      <c r="I2368" s="28"/>
      <c r="J2368" s="28"/>
      <c r="K2368" s="28"/>
      <c r="L2368" s="28"/>
      <c r="M2368" s="28"/>
      <c r="N2368" s="28"/>
      <c r="O2368" s="28"/>
      <c r="P2368" s="28"/>
      <c r="Q2368" s="28"/>
      <c r="R2368" s="28"/>
      <c r="S2368" s="28"/>
    </row>
    <row r="2369" spans="1:19" x14ac:dyDescent="0.25">
      <c r="A2369" s="28"/>
      <c r="B2369" s="28"/>
      <c r="C2369" s="28"/>
      <c r="D2369" s="28"/>
      <c r="E2369" s="28"/>
      <c r="F2369" s="28"/>
      <c r="G2369" s="28"/>
      <c r="H2369" s="28"/>
      <c r="I2369" s="28"/>
      <c r="J2369" s="28"/>
      <c r="K2369" s="28"/>
      <c r="L2369" s="28"/>
      <c r="M2369" s="28"/>
      <c r="N2369" s="28"/>
      <c r="O2369" s="28"/>
      <c r="P2369" s="28"/>
      <c r="Q2369" s="28"/>
      <c r="R2369" s="28"/>
      <c r="S2369" s="28"/>
    </row>
    <row r="2370" spans="1:19" x14ac:dyDescent="0.25">
      <c r="A2370" s="28"/>
      <c r="B2370" s="28"/>
      <c r="C2370" s="28"/>
      <c r="D2370" s="28"/>
      <c r="E2370" s="28"/>
      <c r="F2370" s="28"/>
      <c r="G2370" s="28"/>
      <c r="H2370" s="28"/>
      <c r="I2370" s="28"/>
      <c r="J2370" s="28"/>
      <c r="K2370" s="28"/>
      <c r="L2370" s="28"/>
      <c r="M2370" s="28"/>
      <c r="N2370" s="28"/>
      <c r="O2370" s="28"/>
      <c r="P2370" s="28"/>
      <c r="Q2370" s="28"/>
      <c r="R2370" s="28"/>
      <c r="S2370" s="28"/>
    </row>
    <row r="2371" spans="1:19" x14ac:dyDescent="0.25">
      <c r="A2371" s="28"/>
      <c r="B2371" s="28"/>
      <c r="C2371" s="28"/>
      <c r="D2371" s="28"/>
      <c r="E2371" s="28"/>
      <c r="F2371" s="28"/>
      <c r="G2371" s="28"/>
      <c r="H2371" s="28"/>
      <c r="I2371" s="28"/>
      <c r="J2371" s="28"/>
      <c r="K2371" s="28"/>
      <c r="L2371" s="28"/>
      <c r="M2371" s="28"/>
      <c r="N2371" s="28"/>
      <c r="O2371" s="28"/>
      <c r="P2371" s="28"/>
      <c r="Q2371" s="28"/>
      <c r="R2371" s="28"/>
      <c r="S2371" s="28"/>
    </row>
    <row r="2372" spans="1:19" x14ac:dyDescent="0.25">
      <c r="A2372" s="28"/>
      <c r="B2372" s="28"/>
      <c r="C2372" s="28"/>
      <c r="D2372" s="28"/>
      <c r="E2372" s="28"/>
      <c r="F2372" s="28"/>
      <c r="G2372" s="28"/>
      <c r="H2372" s="28"/>
      <c r="I2372" s="28"/>
      <c r="J2372" s="28"/>
      <c r="K2372" s="28"/>
      <c r="L2372" s="28"/>
      <c r="M2372" s="28"/>
      <c r="N2372" s="28"/>
      <c r="O2372" s="28"/>
      <c r="P2372" s="28"/>
      <c r="Q2372" s="28"/>
      <c r="R2372" s="28"/>
      <c r="S2372" s="28"/>
    </row>
    <row r="2373" spans="1:19" x14ac:dyDescent="0.25">
      <c r="A2373" s="28"/>
      <c r="B2373" s="28"/>
      <c r="C2373" s="28"/>
      <c r="D2373" s="28"/>
      <c r="E2373" s="28"/>
      <c r="F2373" s="28"/>
      <c r="G2373" s="28"/>
      <c r="H2373" s="28"/>
      <c r="I2373" s="28"/>
      <c r="J2373" s="28"/>
      <c r="K2373" s="28"/>
      <c r="L2373" s="28"/>
      <c r="M2373" s="28"/>
      <c r="N2373" s="28"/>
      <c r="O2373" s="28"/>
      <c r="P2373" s="28"/>
      <c r="Q2373" s="28"/>
      <c r="R2373" s="28"/>
      <c r="S2373" s="28"/>
    </row>
    <row r="2374" spans="1:19" x14ac:dyDescent="0.25">
      <c r="A2374" s="28"/>
      <c r="B2374" s="28"/>
      <c r="C2374" s="28"/>
      <c r="D2374" s="28"/>
      <c r="E2374" s="28"/>
      <c r="F2374" s="28"/>
      <c r="G2374" s="28"/>
      <c r="H2374" s="28"/>
      <c r="I2374" s="28"/>
      <c r="J2374" s="28"/>
      <c r="K2374" s="28"/>
      <c r="L2374" s="28"/>
      <c r="M2374" s="28"/>
      <c r="N2374" s="28"/>
      <c r="O2374" s="28"/>
      <c r="P2374" s="28"/>
      <c r="Q2374" s="28"/>
      <c r="R2374" s="28"/>
      <c r="S2374" s="28"/>
    </row>
    <row r="2375" spans="1:19" x14ac:dyDescent="0.25">
      <c r="A2375" s="28"/>
      <c r="B2375" s="28"/>
      <c r="C2375" s="28"/>
      <c r="D2375" s="28"/>
      <c r="E2375" s="28"/>
      <c r="F2375" s="28"/>
      <c r="G2375" s="28"/>
      <c r="H2375" s="28"/>
      <c r="I2375" s="28"/>
      <c r="J2375" s="28"/>
      <c r="K2375" s="28"/>
      <c r="L2375" s="28"/>
      <c r="M2375" s="28"/>
      <c r="N2375" s="28"/>
      <c r="O2375" s="28"/>
      <c r="P2375" s="28"/>
      <c r="Q2375" s="28"/>
      <c r="R2375" s="28"/>
      <c r="S2375" s="28"/>
    </row>
    <row r="2376" spans="1:19" x14ac:dyDescent="0.25">
      <c r="A2376" s="28"/>
      <c r="B2376" s="28"/>
      <c r="C2376" s="28"/>
      <c r="D2376" s="28"/>
      <c r="E2376" s="28"/>
      <c r="F2376" s="28"/>
      <c r="G2376" s="28"/>
      <c r="H2376" s="28"/>
      <c r="I2376" s="28"/>
      <c r="J2376" s="28"/>
      <c r="K2376" s="28"/>
      <c r="L2376" s="28"/>
      <c r="M2376" s="28"/>
      <c r="N2376" s="28"/>
      <c r="O2376" s="28"/>
      <c r="P2376" s="28"/>
      <c r="Q2376" s="28"/>
      <c r="R2376" s="28"/>
      <c r="S2376" s="28"/>
    </row>
    <row r="2377" spans="1:19" x14ac:dyDescent="0.25">
      <c r="A2377" s="28"/>
      <c r="B2377" s="28"/>
      <c r="C2377" s="28"/>
      <c r="D2377" s="28"/>
      <c r="E2377" s="28"/>
      <c r="F2377" s="28"/>
      <c r="G2377" s="28"/>
      <c r="H2377" s="28"/>
      <c r="I2377" s="28"/>
      <c r="J2377" s="28"/>
      <c r="K2377" s="28"/>
      <c r="L2377" s="28"/>
      <c r="M2377" s="28"/>
      <c r="N2377" s="28"/>
      <c r="O2377" s="28"/>
      <c r="P2377" s="28"/>
      <c r="Q2377" s="28"/>
      <c r="R2377" s="28"/>
      <c r="S2377" s="28"/>
    </row>
    <row r="2378" spans="1:19" x14ac:dyDescent="0.25">
      <c r="A2378" s="28"/>
      <c r="B2378" s="28"/>
      <c r="C2378" s="28"/>
      <c r="D2378" s="28"/>
      <c r="E2378" s="28"/>
      <c r="F2378" s="28"/>
      <c r="G2378" s="28"/>
      <c r="H2378" s="28"/>
      <c r="I2378" s="28"/>
      <c r="J2378" s="28"/>
      <c r="K2378" s="28"/>
      <c r="L2378" s="28"/>
      <c r="M2378" s="28"/>
      <c r="N2378" s="28"/>
      <c r="O2378" s="28"/>
      <c r="P2378" s="28"/>
      <c r="Q2378" s="28"/>
      <c r="R2378" s="28"/>
      <c r="S2378" s="28"/>
    </row>
    <row r="2379" spans="1:19" x14ac:dyDescent="0.25">
      <c r="A2379" s="28"/>
      <c r="B2379" s="28"/>
      <c r="C2379" s="28"/>
      <c r="D2379" s="28"/>
      <c r="E2379" s="28"/>
      <c r="F2379" s="28"/>
      <c r="G2379" s="28"/>
      <c r="H2379" s="28"/>
      <c r="I2379" s="28"/>
      <c r="J2379" s="28"/>
      <c r="K2379" s="28"/>
      <c r="L2379" s="28"/>
      <c r="M2379" s="28"/>
      <c r="N2379" s="28"/>
      <c r="O2379" s="28"/>
      <c r="P2379" s="28"/>
      <c r="Q2379" s="28"/>
      <c r="R2379" s="28"/>
      <c r="S2379" s="28"/>
    </row>
    <row r="2380" spans="1:19" x14ac:dyDescent="0.25">
      <c r="A2380" s="28"/>
      <c r="B2380" s="28"/>
      <c r="C2380" s="28"/>
      <c r="D2380" s="28"/>
      <c r="E2380" s="28"/>
      <c r="F2380" s="28"/>
      <c r="G2380" s="28"/>
      <c r="H2380" s="28"/>
      <c r="I2380" s="28"/>
      <c r="J2380" s="28"/>
      <c r="K2380" s="28"/>
      <c r="L2380" s="28"/>
      <c r="M2380" s="28"/>
      <c r="N2380" s="28"/>
      <c r="O2380" s="28"/>
      <c r="P2380" s="28"/>
      <c r="Q2380" s="28"/>
      <c r="R2380" s="28"/>
      <c r="S2380" s="28"/>
    </row>
    <row r="2381" spans="1:19" x14ac:dyDescent="0.25">
      <c r="A2381" s="28"/>
      <c r="B2381" s="28"/>
      <c r="C2381" s="28"/>
      <c r="D2381" s="28"/>
      <c r="E2381" s="28"/>
      <c r="F2381" s="28"/>
      <c r="G2381" s="28"/>
      <c r="H2381" s="28"/>
      <c r="I2381" s="28"/>
      <c r="J2381" s="28"/>
      <c r="K2381" s="28"/>
      <c r="L2381" s="28"/>
      <c r="M2381" s="28"/>
      <c r="N2381" s="28"/>
      <c r="O2381" s="28"/>
      <c r="P2381" s="28"/>
      <c r="Q2381" s="28"/>
      <c r="R2381" s="28"/>
      <c r="S2381" s="28"/>
    </row>
    <row r="2382" spans="1:19" x14ac:dyDescent="0.25">
      <c r="A2382" s="28"/>
      <c r="B2382" s="28"/>
      <c r="C2382" s="28"/>
      <c r="D2382" s="28"/>
      <c r="E2382" s="28"/>
      <c r="F2382" s="28"/>
      <c r="G2382" s="28"/>
      <c r="H2382" s="28"/>
      <c r="I2382" s="28"/>
      <c r="J2382" s="28"/>
      <c r="K2382" s="28"/>
      <c r="L2382" s="28"/>
      <c r="M2382" s="28"/>
      <c r="N2382" s="28"/>
      <c r="O2382" s="28"/>
      <c r="P2382" s="28"/>
      <c r="Q2382" s="28"/>
      <c r="R2382" s="28"/>
      <c r="S2382" s="28"/>
    </row>
    <row r="2383" spans="1:19" x14ac:dyDescent="0.25">
      <c r="A2383" s="28"/>
      <c r="B2383" s="28"/>
      <c r="C2383" s="28"/>
      <c r="D2383" s="28"/>
      <c r="E2383" s="28"/>
      <c r="F2383" s="28"/>
      <c r="G2383" s="28"/>
      <c r="H2383" s="28"/>
      <c r="I2383" s="28"/>
      <c r="J2383" s="28"/>
      <c r="K2383" s="28"/>
      <c r="L2383" s="28"/>
      <c r="M2383" s="28"/>
      <c r="N2383" s="28"/>
      <c r="O2383" s="28"/>
      <c r="P2383" s="28"/>
      <c r="Q2383" s="28"/>
      <c r="R2383" s="28"/>
      <c r="S2383" s="28"/>
    </row>
    <row r="2384" spans="1:19" x14ac:dyDescent="0.25">
      <c r="A2384" s="28"/>
      <c r="B2384" s="28"/>
      <c r="C2384" s="28"/>
      <c r="D2384" s="28"/>
      <c r="E2384" s="28"/>
      <c r="F2384" s="28"/>
      <c r="G2384" s="28"/>
      <c r="H2384" s="28"/>
      <c r="I2384" s="28"/>
      <c r="J2384" s="28"/>
      <c r="K2384" s="28"/>
      <c r="L2384" s="28"/>
      <c r="M2384" s="28"/>
      <c r="N2384" s="28"/>
      <c r="O2384" s="28"/>
      <c r="P2384" s="28"/>
      <c r="Q2384" s="28"/>
      <c r="R2384" s="28"/>
      <c r="S2384" s="28"/>
    </row>
    <row r="2385" spans="1:19" x14ac:dyDescent="0.25">
      <c r="A2385" s="28"/>
      <c r="B2385" s="28"/>
      <c r="C2385" s="28"/>
      <c r="D2385" s="28"/>
      <c r="E2385" s="28"/>
      <c r="F2385" s="28"/>
      <c r="G2385" s="28"/>
      <c r="H2385" s="28"/>
      <c r="I2385" s="28"/>
      <c r="J2385" s="28"/>
      <c r="K2385" s="28"/>
      <c r="L2385" s="28"/>
      <c r="M2385" s="28"/>
      <c r="N2385" s="28"/>
      <c r="O2385" s="28"/>
      <c r="P2385" s="28"/>
      <c r="Q2385" s="28"/>
      <c r="R2385" s="28"/>
      <c r="S2385" s="28"/>
    </row>
    <row r="2386" spans="1:19" x14ac:dyDescent="0.25">
      <c r="A2386" s="28"/>
      <c r="B2386" s="28"/>
      <c r="C2386" s="28"/>
      <c r="D2386" s="28"/>
      <c r="E2386" s="28"/>
      <c r="F2386" s="28"/>
      <c r="G2386" s="28"/>
      <c r="H2386" s="28"/>
      <c r="I2386" s="28"/>
      <c r="J2386" s="28"/>
      <c r="K2386" s="28"/>
      <c r="L2386" s="28"/>
      <c r="M2386" s="28"/>
      <c r="N2386" s="28"/>
      <c r="O2386" s="28"/>
      <c r="P2386" s="28"/>
      <c r="Q2386" s="28"/>
      <c r="R2386" s="28"/>
      <c r="S2386" s="28"/>
    </row>
    <row r="2387" spans="1:19" x14ac:dyDescent="0.25">
      <c r="A2387" s="28"/>
      <c r="B2387" s="28"/>
      <c r="C2387" s="28"/>
      <c r="D2387" s="28"/>
      <c r="E2387" s="28"/>
      <c r="F2387" s="28"/>
      <c r="G2387" s="28"/>
      <c r="H2387" s="28"/>
      <c r="I2387" s="28"/>
      <c r="J2387" s="28"/>
      <c r="K2387" s="28"/>
      <c r="L2387" s="28"/>
      <c r="M2387" s="28"/>
      <c r="N2387" s="28"/>
      <c r="O2387" s="28"/>
      <c r="P2387" s="28"/>
      <c r="Q2387" s="28"/>
      <c r="R2387" s="28"/>
      <c r="S2387" s="28"/>
    </row>
    <row r="2388" spans="1:19" x14ac:dyDescent="0.25">
      <c r="A2388" s="28"/>
      <c r="B2388" s="28"/>
      <c r="C2388" s="28"/>
      <c r="D2388" s="28"/>
      <c r="E2388" s="28"/>
      <c r="F2388" s="28"/>
      <c r="G2388" s="28"/>
      <c r="H2388" s="28"/>
      <c r="I2388" s="28"/>
      <c r="J2388" s="28"/>
      <c r="K2388" s="28"/>
      <c r="L2388" s="28"/>
      <c r="M2388" s="28"/>
      <c r="N2388" s="28"/>
      <c r="O2388" s="28"/>
      <c r="P2388" s="28"/>
      <c r="Q2388" s="28"/>
      <c r="R2388" s="28"/>
      <c r="S2388" s="28"/>
    </row>
    <row r="2389" spans="1:19" x14ac:dyDescent="0.25">
      <c r="A2389" s="28"/>
      <c r="B2389" s="28"/>
      <c r="C2389" s="28"/>
      <c r="D2389" s="28"/>
      <c r="E2389" s="28"/>
      <c r="F2389" s="28"/>
      <c r="G2389" s="28"/>
      <c r="H2389" s="28"/>
      <c r="I2389" s="28"/>
      <c r="J2389" s="28"/>
      <c r="K2389" s="28"/>
      <c r="L2389" s="28"/>
      <c r="M2389" s="28"/>
      <c r="N2389" s="28"/>
      <c r="O2389" s="28"/>
      <c r="P2389" s="28"/>
      <c r="Q2389" s="28"/>
      <c r="R2389" s="28"/>
      <c r="S2389" s="28"/>
    </row>
    <row r="2390" spans="1:19" x14ac:dyDescent="0.25">
      <c r="A2390" s="28"/>
      <c r="B2390" s="28"/>
      <c r="C2390" s="28"/>
      <c r="D2390" s="28"/>
      <c r="E2390" s="28"/>
      <c r="F2390" s="28"/>
      <c r="G2390" s="28"/>
      <c r="H2390" s="28"/>
      <c r="I2390" s="28"/>
      <c r="J2390" s="28"/>
      <c r="K2390" s="28"/>
      <c r="L2390" s="28"/>
      <c r="M2390" s="28"/>
      <c r="N2390" s="28"/>
      <c r="O2390" s="28"/>
      <c r="P2390" s="28"/>
      <c r="Q2390" s="28"/>
      <c r="R2390" s="28"/>
      <c r="S2390" s="28"/>
    </row>
    <row r="2391" spans="1:19" x14ac:dyDescent="0.25">
      <c r="A2391" s="28"/>
      <c r="B2391" s="28"/>
      <c r="C2391" s="28"/>
      <c r="D2391" s="28"/>
      <c r="E2391" s="28"/>
      <c r="F2391" s="28"/>
      <c r="G2391" s="28"/>
      <c r="H2391" s="28"/>
      <c r="I2391" s="28"/>
      <c r="J2391" s="28"/>
      <c r="K2391" s="28"/>
      <c r="L2391" s="28"/>
      <c r="M2391" s="28"/>
      <c r="N2391" s="28"/>
      <c r="O2391" s="28"/>
      <c r="P2391" s="28"/>
      <c r="Q2391" s="28"/>
      <c r="R2391" s="28"/>
      <c r="S2391" s="28"/>
    </row>
    <row r="2392" spans="1:19" x14ac:dyDescent="0.25">
      <c r="A2392" s="28"/>
      <c r="B2392" s="28"/>
      <c r="C2392" s="28"/>
      <c r="D2392" s="28"/>
      <c r="E2392" s="28"/>
      <c r="F2392" s="28"/>
      <c r="G2392" s="28"/>
      <c r="H2392" s="28"/>
      <c r="I2392" s="28"/>
      <c r="J2392" s="28"/>
      <c r="K2392" s="28"/>
      <c r="L2392" s="28"/>
      <c r="M2392" s="28"/>
      <c r="N2392" s="28"/>
      <c r="O2392" s="28"/>
      <c r="P2392" s="28"/>
      <c r="Q2392" s="28"/>
      <c r="R2392" s="28"/>
      <c r="S2392" s="28"/>
    </row>
    <row r="2393" spans="1:19" x14ac:dyDescent="0.25">
      <c r="A2393" s="28"/>
      <c r="B2393" s="28"/>
      <c r="C2393" s="28"/>
      <c r="D2393" s="28"/>
      <c r="E2393" s="28"/>
      <c r="F2393" s="28"/>
      <c r="G2393" s="28"/>
      <c r="H2393" s="28"/>
      <c r="I2393" s="28"/>
      <c r="J2393" s="28"/>
      <c r="K2393" s="28"/>
      <c r="L2393" s="28"/>
      <c r="M2393" s="28"/>
      <c r="N2393" s="28"/>
      <c r="O2393" s="28"/>
      <c r="P2393" s="28"/>
      <c r="Q2393" s="28"/>
      <c r="R2393" s="28"/>
      <c r="S2393" s="28"/>
    </row>
    <row r="2394" spans="1:19" x14ac:dyDescent="0.25">
      <c r="A2394" s="28"/>
      <c r="B2394" s="28"/>
      <c r="C2394" s="28"/>
      <c r="D2394" s="28"/>
      <c r="E2394" s="28"/>
      <c r="F2394" s="28"/>
      <c r="G2394" s="28"/>
      <c r="H2394" s="28"/>
      <c r="I2394" s="28"/>
      <c r="J2394" s="28"/>
      <c r="K2394" s="28"/>
      <c r="L2394" s="28"/>
      <c r="M2394" s="28"/>
      <c r="N2394" s="28"/>
      <c r="O2394" s="28"/>
      <c r="P2394" s="28"/>
      <c r="Q2394" s="28"/>
      <c r="R2394" s="28"/>
      <c r="S2394" s="28"/>
    </row>
    <row r="2395" spans="1:19" x14ac:dyDescent="0.25">
      <c r="A2395" s="28"/>
      <c r="B2395" s="28"/>
      <c r="C2395" s="28"/>
      <c r="D2395" s="28"/>
      <c r="E2395" s="28"/>
      <c r="F2395" s="28"/>
      <c r="G2395" s="28"/>
      <c r="H2395" s="28"/>
      <c r="I2395" s="28"/>
      <c r="J2395" s="28"/>
      <c r="K2395" s="28"/>
      <c r="L2395" s="28"/>
      <c r="M2395" s="28"/>
      <c r="N2395" s="28"/>
      <c r="O2395" s="28"/>
      <c r="P2395" s="28"/>
      <c r="Q2395" s="28"/>
      <c r="R2395" s="28"/>
      <c r="S2395" s="28"/>
    </row>
    <row r="2396" spans="1:19" x14ac:dyDescent="0.25">
      <c r="A2396" s="28"/>
      <c r="B2396" s="28"/>
      <c r="C2396" s="28"/>
      <c r="D2396" s="28"/>
      <c r="E2396" s="28"/>
      <c r="F2396" s="28"/>
      <c r="G2396" s="28"/>
      <c r="H2396" s="28"/>
      <c r="I2396" s="28"/>
      <c r="J2396" s="28"/>
      <c r="K2396" s="28"/>
      <c r="L2396" s="28"/>
      <c r="M2396" s="28"/>
      <c r="N2396" s="28"/>
      <c r="O2396" s="28"/>
      <c r="P2396" s="28"/>
      <c r="Q2396" s="28"/>
      <c r="R2396" s="28"/>
      <c r="S2396" s="28"/>
    </row>
    <row r="2397" spans="1:19" x14ac:dyDescent="0.25">
      <c r="A2397" s="28"/>
      <c r="B2397" s="28"/>
      <c r="C2397" s="28"/>
      <c r="D2397" s="28"/>
      <c r="E2397" s="28"/>
      <c r="F2397" s="28"/>
      <c r="G2397" s="28"/>
      <c r="H2397" s="28"/>
      <c r="I2397" s="28"/>
      <c r="J2397" s="28"/>
      <c r="K2397" s="28"/>
      <c r="L2397" s="28"/>
      <c r="M2397" s="28"/>
      <c r="N2397" s="28"/>
      <c r="O2397" s="28"/>
      <c r="P2397" s="28"/>
      <c r="Q2397" s="28"/>
      <c r="R2397" s="28"/>
      <c r="S2397" s="28"/>
    </row>
    <row r="2398" spans="1:19" x14ac:dyDescent="0.25">
      <c r="A2398" s="28"/>
      <c r="B2398" s="28"/>
      <c r="C2398" s="28"/>
      <c r="D2398" s="28"/>
      <c r="E2398" s="28"/>
      <c r="F2398" s="28"/>
      <c r="G2398" s="28"/>
      <c r="H2398" s="28"/>
      <c r="I2398" s="28"/>
      <c r="J2398" s="28"/>
      <c r="K2398" s="28"/>
      <c r="L2398" s="28"/>
      <c r="M2398" s="28"/>
      <c r="N2398" s="28"/>
      <c r="O2398" s="28"/>
      <c r="P2398" s="28"/>
      <c r="Q2398" s="28"/>
      <c r="R2398" s="28"/>
      <c r="S2398" s="28"/>
    </row>
    <row r="2399" spans="1:19" x14ac:dyDescent="0.25">
      <c r="A2399" s="28"/>
      <c r="B2399" s="28"/>
      <c r="C2399" s="28"/>
      <c r="D2399" s="28"/>
      <c r="E2399" s="28"/>
      <c r="F2399" s="28"/>
      <c r="G2399" s="28"/>
      <c r="H2399" s="28"/>
      <c r="I2399" s="28"/>
      <c r="J2399" s="28"/>
      <c r="K2399" s="28"/>
      <c r="L2399" s="28"/>
      <c r="M2399" s="28"/>
      <c r="N2399" s="28"/>
      <c r="O2399" s="28"/>
      <c r="P2399" s="28"/>
      <c r="Q2399" s="28"/>
      <c r="R2399" s="28"/>
      <c r="S2399" s="28"/>
    </row>
    <row r="2400" spans="1:19" x14ac:dyDescent="0.25">
      <c r="A2400" s="28"/>
      <c r="B2400" s="28"/>
      <c r="C2400" s="28"/>
      <c r="D2400" s="28"/>
      <c r="E2400" s="28"/>
      <c r="F2400" s="28"/>
      <c r="G2400" s="28"/>
      <c r="H2400" s="28"/>
      <c r="I2400" s="28"/>
      <c r="J2400" s="28"/>
      <c r="K2400" s="28"/>
      <c r="L2400" s="28"/>
      <c r="M2400" s="28"/>
      <c r="N2400" s="28"/>
      <c r="O2400" s="28"/>
      <c r="P2400" s="28"/>
      <c r="Q2400" s="28"/>
      <c r="R2400" s="28"/>
      <c r="S2400" s="28"/>
    </row>
    <row r="2401" spans="1:19" x14ac:dyDescent="0.25">
      <c r="A2401" s="28"/>
      <c r="B2401" s="28"/>
      <c r="C2401" s="28"/>
      <c r="D2401" s="28"/>
      <c r="E2401" s="28"/>
      <c r="F2401" s="28"/>
      <c r="G2401" s="28"/>
      <c r="H2401" s="28"/>
      <c r="I2401" s="28"/>
      <c r="J2401" s="28"/>
      <c r="K2401" s="28"/>
      <c r="L2401" s="28"/>
      <c r="M2401" s="28"/>
      <c r="N2401" s="28"/>
      <c r="O2401" s="28"/>
      <c r="P2401" s="28"/>
      <c r="Q2401" s="28"/>
      <c r="R2401" s="28"/>
      <c r="S2401" s="28"/>
    </row>
    <row r="2402" spans="1:19" x14ac:dyDescent="0.25">
      <c r="A2402" s="28"/>
      <c r="B2402" s="28"/>
      <c r="C2402" s="28"/>
      <c r="D2402" s="28"/>
      <c r="E2402" s="28"/>
      <c r="F2402" s="28"/>
      <c r="G2402" s="28"/>
      <c r="H2402" s="28"/>
      <c r="I2402" s="28"/>
      <c r="J2402" s="28"/>
      <c r="K2402" s="28"/>
      <c r="L2402" s="28"/>
      <c r="M2402" s="28"/>
      <c r="N2402" s="28"/>
      <c r="O2402" s="28"/>
      <c r="P2402" s="28"/>
      <c r="Q2402" s="28"/>
      <c r="R2402" s="28"/>
      <c r="S2402" s="28"/>
    </row>
    <row r="2403" spans="1:19" x14ac:dyDescent="0.25">
      <c r="A2403" s="28"/>
      <c r="B2403" s="28"/>
      <c r="C2403" s="28"/>
      <c r="D2403" s="28"/>
      <c r="E2403" s="28"/>
      <c r="F2403" s="28"/>
      <c r="G2403" s="28"/>
      <c r="H2403" s="28"/>
      <c r="I2403" s="28"/>
      <c r="J2403" s="28"/>
      <c r="K2403" s="28"/>
      <c r="L2403" s="28"/>
      <c r="M2403" s="28"/>
      <c r="N2403" s="28"/>
      <c r="O2403" s="28"/>
      <c r="P2403" s="28"/>
      <c r="Q2403" s="28"/>
      <c r="R2403" s="28"/>
      <c r="S2403" s="28"/>
    </row>
    <row r="2404" spans="1:19" x14ac:dyDescent="0.25">
      <c r="A2404" s="28"/>
      <c r="B2404" s="28"/>
      <c r="C2404" s="28"/>
      <c r="D2404" s="28"/>
      <c r="E2404" s="28"/>
      <c r="F2404" s="28"/>
      <c r="G2404" s="28"/>
      <c r="H2404" s="28"/>
      <c r="I2404" s="28"/>
      <c r="J2404" s="28"/>
      <c r="K2404" s="28"/>
      <c r="L2404" s="28"/>
      <c r="M2404" s="28"/>
      <c r="N2404" s="28"/>
      <c r="O2404" s="28"/>
      <c r="P2404" s="28"/>
      <c r="Q2404" s="28"/>
      <c r="R2404" s="28"/>
      <c r="S2404" s="28"/>
    </row>
    <row r="2405" spans="1:19" x14ac:dyDescent="0.25">
      <c r="A2405" s="28"/>
      <c r="B2405" s="28"/>
      <c r="C2405" s="28"/>
      <c r="D2405" s="28"/>
      <c r="E2405" s="28"/>
      <c r="F2405" s="28"/>
      <c r="G2405" s="28"/>
      <c r="H2405" s="28"/>
      <c r="I2405" s="28"/>
      <c r="J2405" s="28"/>
      <c r="K2405" s="28"/>
      <c r="L2405" s="28"/>
      <c r="M2405" s="28"/>
      <c r="N2405" s="28"/>
      <c r="O2405" s="28"/>
      <c r="P2405" s="28"/>
      <c r="Q2405" s="28"/>
      <c r="R2405" s="28"/>
      <c r="S2405" s="28"/>
    </row>
    <row r="2406" spans="1:19" x14ac:dyDescent="0.25">
      <c r="A2406" s="28"/>
      <c r="B2406" s="28"/>
      <c r="C2406" s="28"/>
      <c r="D2406" s="28"/>
      <c r="E2406" s="28"/>
      <c r="F2406" s="28"/>
      <c r="G2406" s="28"/>
      <c r="H2406" s="28"/>
      <c r="I2406" s="28"/>
      <c r="J2406" s="28"/>
      <c r="K2406" s="28"/>
      <c r="L2406" s="28"/>
      <c r="M2406" s="28"/>
      <c r="N2406" s="28"/>
      <c r="O2406" s="28"/>
      <c r="P2406" s="28"/>
      <c r="Q2406" s="28"/>
      <c r="R2406" s="28"/>
      <c r="S2406" s="28"/>
    </row>
    <row r="2407" spans="1:19" x14ac:dyDescent="0.25">
      <c r="A2407" s="28"/>
      <c r="B2407" s="28"/>
      <c r="C2407" s="28"/>
      <c r="D2407" s="28"/>
      <c r="E2407" s="28"/>
      <c r="F2407" s="28"/>
      <c r="G2407" s="28"/>
      <c r="H2407" s="28"/>
      <c r="I2407" s="28"/>
      <c r="J2407" s="28"/>
      <c r="K2407" s="28"/>
      <c r="L2407" s="28"/>
      <c r="M2407" s="28"/>
      <c r="N2407" s="28"/>
      <c r="O2407" s="28"/>
      <c r="P2407" s="28"/>
      <c r="Q2407" s="28"/>
      <c r="R2407" s="28"/>
      <c r="S2407" s="28"/>
    </row>
    <row r="2408" spans="1:19" x14ac:dyDescent="0.25">
      <c r="A2408" s="28"/>
      <c r="B2408" s="28"/>
      <c r="C2408" s="28"/>
      <c r="D2408" s="28"/>
      <c r="E2408" s="28"/>
      <c r="F2408" s="28"/>
      <c r="G2408" s="28"/>
      <c r="H2408" s="28"/>
      <c r="I2408" s="28"/>
      <c r="J2408" s="28"/>
      <c r="K2408" s="28"/>
      <c r="L2408" s="28"/>
      <c r="M2408" s="28"/>
      <c r="N2408" s="28"/>
      <c r="O2408" s="28"/>
      <c r="P2408" s="28"/>
      <c r="Q2408" s="28"/>
      <c r="R2408" s="28"/>
      <c r="S2408" s="28"/>
    </row>
    <row r="2409" spans="1:19" x14ac:dyDescent="0.25">
      <c r="A2409" s="28"/>
      <c r="B2409" s="28"/>
      <c r="C2409" s="28"/>
      <c r="D2409" s="28"/>
      <c r="E2409" s="28"/>
      <c r="F2409" s="28"/>
      <c r="G2409" s="28"/>
      <c r="H2409" s="28"/>
      <c r="I2409" s="28"/>
      <c r="J2409" s="28"/>
      <c r="K2409" s="28"/>
      <c r="L2409" s="28"/>
      <c r="M2409" s="28"/>
      <c r="N2409" s="28"/>
      <c r="O2409" s="28"/>
      <c r="P2409" s="28"/>
      <c r="Q2409" s="28"/>
      <c r="R2409" s="28"/>
      <c r="S2409" s="28"/>
    </row>
    <row r="2410" spans="1:19" x14ac:dyDescent="0.25">
      <c r="A2410" s="28"/>
      <c r="B2410" s="28"/>
      <c r="C2410" s="28"/>
      <c r="D2410" s="28"/>
      <c r="E2410" s="28"/>
      <c r="F2410" s="28"/>
      <c r="G2410" s="28"/>
      <c r="H2410" s="28"/>
      <c r="I2410" s="28"/>
      <c r="J2410" s="28"/>
      <c r="K2410" s="28"/>
      <c r="L2410" s="28"/>
      <c r="M2410" s="28"/>
      <c r="N2410" s="28"/>
      <c r="O2410" s="28"/>
      <c r="P2410" s="28"/>
      <c r="Q2410" s="28"/>
      <c r="R2410" s="28"/>
      <c r="S2410" s="28"/>
    </row>
    <row r="2411" spans="1:19" x14ac:dyDescent="0.25">
      <c r="A2411" s="28"/>
      <c r="B2411" s="28"/>
      <c r="C2411" s="28"/>
      <c r="D2411" s="28"/>
      <c r="E2411" s="28"/>
      <c r="F2411" s="28"/>
      <c r="G2411" s="28"/>
      <c r="H2411" s="28"/>
      <c r="I2411" s="28"/>
      <c r="J2411" s="28"/>
      <c r="K2411" s="28"/>
      <c r="L2411" s="28"/>
      <c r="M2411" s="28"/>
      <c r="N2411" s="28"/>
      <c r="O2411" s="28"/>
      <c r="P2411" s="28"/>
      <c r="Q2411" s="28"/>
      <c r="R2411" s="28"/>
      <c r="S2411" s="28"/>
    </row>
    <row r="2412" spans="1:19" x14ac:dyDescent="0.25">
      <c r="A2412" s="28"/>
      <c r="B2412" s="28"/>
      <c r="C2412" s="28"/>
      <c r="D2412" s="28"/>
      <c r="E2412" s="28"/>
      <c r="F2412" s="28"/>
      <c r="G2412" s="28"/>
      <c r="H2412" s="28"/>
      <c r="I2412" s="28"/>
      <c r="J2412" s="28"/>
      <c r="K2412" s="28"/>
      <c r="L2412" s="28"/>
      <c r="M2412" s="28"/>
      <c r="N2412" s="28"/>
      <c r="O2412" s="28"/>
      <c r="P2412" s="28"/>
      <c r="Q2412" s="28"/>
      <c r="R2412" s="28"/>
      <c r="S2412" s="28"/>
    </row>
    <row r="2413" spans="1:19" x14ac:dyDescent="0.25">
      <c r="A2413" s="28"/>
      <c r="B2413" s="28"/>
      <c r="C2413" s="28"/>
      <c r="D2413" s="28"/>
      <c r="E2413" s="28"/>
      <c r="F2413" s="28"/>
      <c r="G2413" s="28"/>
      <c r="H2413" s="28"/>
      <c r="I2413" s="28"/>
      <c r="J2413" s="28"/>
      <c r="K2413" s="28"/>
      <c r="L2413" s="28"/>
      <c r="M2413" s="28"/>
      <c r="N2413" s="28"/>
      <c r="O2413" s="28"/>
      <c r="P2413" s="28"/>
      <c r="Q2413" s="28"/>
      <c r="R2413" s="28"/>
      <c r="S2413" s="28"/>
    </row>
    <row r="2414" spans="1:19" x14ac:dyDescent="0.25">
      <c r="A2414" s="28"/>
      <c r="B2414" s="28"/>
      <c r="C2414" s="28"/>
      <c r="D2414" s="28"/>
      <c r="E2414" s="28"/>
      <c r="F2414" s="28"/>
      <c r="G2414" s="28"/>
      <c r="H2414" s="28"/>
      <c r="I2414" s="28"/>
      <c r="J2414" s="28"/>
      <c r="K2414" s="28"/>
      <c r="L2414" s="28"/>
      <c r="M2414" s="28"/>
      <c r="N2414" s="28"/>
      <c r="O2414" s="28"/>
      <c r="P2414" s="28"/>
      <c r="Q2414" s="28"/>
      <c r="R2414" s="28"/>
      <c r="S2414" s="28"/>
    </row>
    <row r="2415" spans="1:19" x14ac:dyDescent="0.25">
      <c r="A2415" s="28"/>
      <c r="B2415" s="28"/>
      <c r="C2415" s="28"/>
      <c r="D2415" s="28"/>
      <c r="E2415" s="28"/>
      <c r="F2415" s="28"/>
      <c r="G2415" s="28"/>
      <c r="H2415" s="28"/>
      <c r="I2415" s="28"/>
      <c r="J2415" s="28"/>
      <c r="K2415" s="28"/>
      <c r="L2415" s="28"/>
      <c r="M2415" s="28"/>
      <c r="N2415" s="28"/>
      <c r="O2415" s="28"/>
      <c r="P2415" s="28"/>
      <c r="Q2415" s="28"/>
      <c r="R2415" s="28"/>
      <c r="S2415" s="28"/>
    </row>
    <row r="2416" spans="1:19" x14ac:dyDescent="0.25">
      <c r="A2416" s="28"/>
      <c r="B2416" s="28"/>
      <c r="C2416" s="28"/>
      <c r="D2416" s="28"/>
      <c r="E2416" s="28"/>
      <c r="F2416" s="28"/>
      <c r="G2416" s="28"/>
      <c r="H2416" s="28"/>
      <c r="I2416" s="28"/>
      <c r="J2416" s="28"/>
      <c r="K2416" s="28"/>
      <c r="L2416" s="28"/>
      <c r="M2416" s="28"/>
      <c r="N2416" s="28"/>
      <c r="O2416" s="28"/>
      <c r="P2416" s="28"/>
      <c r="Q2416" s="28"/>
      <c r="R2416" s="28"/>
      <c r="S2416" s="28"/>
    </row>
    <row r="2417" spans="1:19" x14ac:dyDescent="0.25">
      <c r="A2417" s="28"/>
      <c r="B2417" s="28"/>
      <c r="C2417" s="28"/>
      <c r="D2417" s="28"/>
      <c r="E2417" s="28"/>
      <c r="F2417" s="28"/>
      <c r="G2417" s="28"/>
      <c r="H2417" s="28"/>
      <c r="I2417" s="28"/>
      <c r="J2417" s="28"/>
      <c r="K2417" s="28"/>
      <c r="L2417" s="28"/>
      <c r="M2417" s="28"/>
      <c r="N2417" s="28"/>
      <c r="O2417" s="28"/>
      <c r="P2417" s="28"/>
      <c r="Q2417" s="28"/>
      <c r="R2417" s="28"/>
      <c r="S2417" s="28"/>
    </row>
    <row r="2418" spans="1:19" x14ac:dyDescent="0.25">
      <c r="A2418" s="28"/>
      <c r="B2418" s="28"/>
      <c r="C2418" s="28"/>
      <c r="D2418" s="28"/>
      <c r="E2418" s="28"/>
      <c r="F2418" s="28"/>
      <c r="G2418" s="28"/>
      <c r="H2418" s="28"/>
      <c r="I2418" s="28"/>
      <c r="J2418" s="28"/>
      <c r="K2418" s="28"/>
      <c r="L2418" s="28"/>
      <c r="M2418" s="28"/>
      <c r="N2418" s="28"/>
      <c r="O2418" s="28"/>
      <c r="P2418" s="28"/>
      <c r="Q2418" s="28"/>
      <c r="R2418" s="28"/>
      <c r="S2418" s="28"/>
    </row>
    <row r="2419" spans="1:19" x14ac:dyDescent="0.25">
      <c r="A2419" s="28"/>
      <c r="B2419" s="28"/>
      <c r="C2419" s="28"/>
      <c r="D2419" s="28"/>
      <c r="E2419" s="28"/>
      <c r="F2419" s="28"/>
      <c r="G2419" s="28"/>
      <c r="H2419" s="28"/>
      <c r="I2419" s="28"/>
      <c r="J2419" s="28"/>
      <c r="K2419" s="28"/>
      <c r="L2419" s="28"/>
      <c r="M2419" s="28"/>
      <c r="N2419" s="28"/>
      <c r="O2419" s="28"/>
      <c r="P2419" s="28"/>
      <c r="Q2419" s="28"/>
      <c r="R2419" s="28"/>
      <c r="S2419" s="28"/>
    </row>
    <row r="2420" spans="1:19" x14ac:dyDescent="0.25">
      <c r="A2420" s="28"/>
      <c r="B2420" s="28"/>
      <c r="C2420" s="28"/>
      <c r="D2420" s="28"/>
      <c r="E2420" s="28"/>
      <c r="F2420" s="28"/>
      <c r="G2420" s="28"/>
      <c r="H2420" s="28"/>
      <c r="I2420" s="28"/>
      <c r="J2420" s="28"/>
      <c r="K2420" s="28"/>
      <c r="L2420" s="28"/>
      <c r="M2420" s="28"/>
      <c r="N2420" s="28"/>
      <c r="O2420" s="28"/>
      <c r="P2420" s="28"/>
      <c r="Q2420" s="28"/>
      <c r="R2420" s="28"/>
      <c r="S2420" s="28"/>
    </row>
    <row r="2421" spans="1:19" x14ac:dyDescent="0.25">
      <c r="A2421" s="28"/>
      <c r="B2421" s="28"/>
      <c r="C2421" s="28"/>
      <c r="D2421" s="28"/>
      <c r="E2421" s="28"/>
      <c r="F2421" s="28"/>
      <c r="G2421" s="28"/>
      <c r="H2421" s="28"/>
      <c r="I2421" s="28"/>
      <c r="J2421" s="28"/>
      <c r="K2421" s="28"/>
      <c r="L2421" s="28"/>
      <c r="M2421" s="28"/>
      <c r="N2421" s="28"/>
      <c r="O2421" s="28"/>
      <c r="P2421" s="28"/>
      <c r="Q2421" s="28"/>
      <c r="R2421" s="28"/>
      <c r="S2421" s="28"/>
    </row>
    <row r="2422" spans="1:19" x14ac:dyDescent="0.25">
      <c r="A2422" s="28"/>
      <c r="B2422" s="28"/>
      <c r="C2422" s="28"/>
      <c r="D2422" s="28"/>
      <c r="E2422" s="28"/>
      <c r="F2422" s="28"/>
      <c r="G2422" s="28"/>
      <c r="H2422" s="28"/>
      <c r="I2422" s="28"/>
      <c r="J2422" s="28"/>
      <c r="K2422" s="28"/>
      <c r="L2422" s="28"/>
      <c r="M2422" s="28"/>
      <c r="N2422" s="28"/>
      <c r="O2422" s="28"/>
      <c r="P2422" s="28"/>
      <c r="Q2422" s="28"/>
      <c r="R2422" s="28"/>
      <c r="S2422" s="28"/>
    </row>
    <row r="2423" spans="1:19" x14ac:dyDescent="0.25">
      <c r="A2423" s="28"/>
      <c r="B2423" s="28"/>
      <c r="C2423" s="28"/>
      <c r="D2423" s="28"/>
      <c r="E2423" s="28"/>
      <c r="F2423" s="28"/>
      <c r="G2423" s="28"/>
      <c r="H2423" s="28"/>
      <c r="I2423" s="28"/>
      <c r="J2423" s="28"/>
      <c r="K2423" s="28"/>
      <c r="L2423" s="28"/>
      <c r="M2423" s="28"/>
      <c r="N2423" s="28"/>
      <c r="O2423" s="28"/>
      <c r="P2423" s="28"/>
      <c r="Q2423" s="28"/>
      <c r="R2423" s="28"/>
      <c r="S2423" s="28"/>
    </row>
    <row r="2424" spans="1:19" x14ac:dyDescent="0.25">
      <c r="A2424" s="28"/>
      <c r="B2424" s="28"/>
      <c r="C2424" s="28"/>
      <c r="D2424" s="28"/>
      <c r="E2424" s="28"/>
      <c r="F2424" s="28"/>
      <c r="G2424" s="28"/>
      <c r="H2424" s="28"/>
      <c r="I2424" s="28"/>
      <c r="J2424" s="28"/>
      <c r="K2424" s="28"/>
      <c r="L2424" s="28"/>
      <c r="M2424" s="28"/>
      <c r="N2424" s="28"/>
      <c r="O2424" s="28"/>
      <c r="P2424" s="28"/>
      <c r="Q2424" s="28"/>
      <c r="R2424" s="28"/>
      <c r="S2424" s="28"/>
    </row>
    <row r="2425" spans="1:19" x14ac:dyDescent="0.25">
      <c r="A2425" s="28"/>
      <c r="B2425" s="28"/>
      <c r="C2425" s="28"/>
      <c r="D2425" s="28"/>
      <c r="E2425" s="28"/>
      <c r="F2425" s="28"/>
      <c r="G2425" s="28"/>
      <c r="H2425" s="28"/>
      <c r="I2425" s="28"/>
      <c r="J2425" s="28"/>
      <c r="K2425" s="28"/>
      <c r="L2425" s="28"/>
      <c r="M2425" s="28"/>
      <c r="N2425" s="28"/>
      <c r="O2425" s="28"/>
      <c r="P2425" s="28"/>
      <c r="Q2425" s="28"/>
      <c r="R2425" s="28"/>
      <c r="S2425" s="28"/>
    </row>
    <row r="2426" spans="1:19" x14ac:dyDescent="0.25">
      <c r="A2426" s="28"/>
      <c r="B2426" s="28"/>
      <c r="C2426" s="28"/>
      <c r="D2426" s="28"/>
      <c r="E2426" s="28"/>
      <c r="F2426" s="28"/>
      <c r="G2426" s="28"/>
      <c r="H2426" s="28"/>
      <c r="I2426" s="28"/>
      <c r="J2426" s="28"/>
      <c r="K2426" s="28"/>
      <c r="L2426" s="28"/>
      <c r="M2426" s="28"/>
      <c r="N2426" s="28"/>
      <c r="O2426" s="28"/>
      <c r="P2426" s="28"/>
      <c r="Q2426" s="28"/>
      <c r="R2426" s="28"/>
      <c r="S2426" s="28"/>
    </row>
    <row r="2427" spans="1:19" x14ac:dyDescent="0.25">
      <c r="A2427" s="28"/>
      <c r="B2427" s="28"/>
      <c r="C2427" s="28"/>
      <c r="D2427" s="28"/>
      <c r="E2427" s="28"/>
      <c r="F2427" s="28"/>
      <c r="G2427" s="28"/>
      <c r="H2427" s="28"/>
      <c r="I2427" s="28"/>
      <c r="J2427" s="28"/>
      <c r="K2427" s="28"/>
      <c r="L2427" s="28"/>
      <c r="M2427" s="28"/>
      <c r="N2427" s="28"/>
      <c r="O2427" s="28"/>
      <c r="P2427" s="28"/>
      <c r="Q2427" s="28"/>
      <c r="R2427" s="28"/>
      <c r="S2427" s="28"/>
    </row>
    <row r="2428" spans="1:19" x14ac:dyDescent="0.25">
      <c r="A2428" s="28"/>
      <c r="B2428" s="28"/>
      <c r="C2428" s="28"/>
      <c r="D2428" s="28"/>
      <c r="E2428" s="28"/>
      <c r="F2428" s="28"/>
      <c r="G2428" s="28"/>
      <c r="H2428" s="28"/>
      <c r="I2428" s="28"/>
      <c r="J2428" s="28"/>
      <c r="K2428" s="28"/>
      <c r="L2428" s="28"/>
      <c r="M2428" s="28"/>
      <c r="N2428" s="28"/>
      <c r="O2428" s="28"/>
      <c r="P2428" s="28"/>
      <c r="Q2428" s="28"/>
      <c r="R2428" s="28"/>
      <c r="S2428" s="28"/>
    </row>
    <row r="2429" spans="1:19" x14ac:dyDescent="0.25">
      <c r="A2429" s="28"/>
      <c r="B2429" s="28"/>
      <c r="C2429" s="28"/>
      <c r="D2429" s="28"/>
      <c r="E2429" s="28"/>
      <c r="F2429" s="28"/>
      <c r="G2429" s="28"/>
      <c r="H2429" s="28"/>
      <c r="I2429" s="28"/>
      <c r="J2429" s="28"/>
      <c r="K2429" s="28"/>
      <c r="L2429" s="28"/>
      <c r="M2429" s="28"/>
      <c r="N2429" s="28"/>
      <c r="O2429" s="28"/>
      <c r="P2429" s="28"/>
      <c r="Q2429" s="28"/>
      <c r="R2429" s="28"/>
      <c r="S2429" s="28"/>
    </row>
    <row r="2430" spans="1:19" x14ac:dyDescent="0.25">
      <c r="A2430" s="28"/>
      <c r="B2430" s="28"/>
      <c r="C2430" s="28"/>
      <c r="D2430" s="28"/>
      <c r="E2430" s="28"/>
      <c r="F2430" s="28"/>
      <c r="G2430" s="28"/>
      <c r="H2430" s="28"/>
      <c r="I2430" s="28"/>
      <c r="J2430" s="28"/>
      <c r="K2430" s="28"/>
      <c r="L2430" s="28"/>
      <c r="M2430" s="28"/>
      <c r="N2430" s="28"/>
      <c r="O2430" s="28"/>
      <c r="P2430" s="28"/>
      <c r="Q2430" s="28"/>
      <c r="R2430" s="28"/>
      <c r="S2430" s="28"/>
    </row>
    <row r="2431" spans="1:19" x14ac:dyDescent="0.25">
      <c r="A2431" s="28"/>
      <c r="B2431" s="28"/>
      <c r="C2431" s="28"/>
      <c r="D2431" s="28"/>
      <c r="E2431" s="28"/>
      <c r="F2431" s="28"/>
      <c r="G2431" s="28"/>
      <c r="H2431" s="28"/>
      <c r="I2431" s="28"/>
      <c r="J2431" s="28"/>
      <c r="K2431" s="28"/>
      <c r="L2431" s="28"/>
      <c r="M2431" s="28"/>
      <c r="N2431" s="28"/>
      <c r="O2431" s="28"/>
      <c r="P2431" s="28"/>
      <c r="Q2431" s="28"/>
      <c r="R2431" s="28"/>
      <c r="S2431" s="28"/>
    </row>
    <row r="2432" spans="1:19" x14ac:dyDescent="0.25">
      <c r="A2432" s="28"/>
      <c r="B2432" s="28"/>
      <c r="C2432" s="28"/>
      <c r="D2432" s="28"/>
      <c r="E2432" s="28"/>
      <c r="F2432" s="28"/>
      <c r="G2432" s="28"/>
      <c r="H2432" s="28"/>
      <c r="I2432" s="28"/>
      <c r="J2432" s="28"/>
      <c r="K2432" s="28"/>
      <c r="L2432" s="28"/>
      <c r="M2432" s="28"/>
      <c r="N2432" s="28"/>
      <c r="O2432" s="28"/>
      <c r="P2432" s="28"/>
      <c r="Q2432" s="28"/>
      <c r="R2432" s="28"/>
      <c r="S2432" s="28"/>
    </row>
    <row r="2433" spans="1:19" x14ac:dyDescent="0.25">
      <c r="A2433" s="28"/>
      <c r="B2433" s="28"/>
      <c r="C2433" s="28"/>
      <c r="D2433" s="28"/>
      <c r="E2433" s="28"/>
      <c r="F2433" s="28"/>
      <c r="G2433" s="28"/>
      <c r="H2433" s="28"/>
      <c r="I2433" s="28"/>
      <c r="J2433" s="28"/>
      <c r="K2433" s="28"/>
      <c r="L2433" s="28"/>
      <c r="M2433" s="28"/>
      <c r="N2433" s="28"/>
      <c r="O2433" s="28"/>
      <c r="P2433" s="28"/>
      <c r="Q2433" s="28"/>
      <c r="R2433" s="28"/>
      <c r="S2433" s="28"/>
    </row>
    <row r="2434" spans="1:19" x14ac:dyDescent="0.25">
      <c r="A2434" s="28"/>
      <c r="B2434" s="28"/>
      <c r="C2434" s="28"/>
      <c r="D2434" s="28"/>
      <c r="E2434" s="28"/>
      <c r="F2434" s="28"/>
      <c r="G2434" s="28"/>
      <c r="H2434" s="28"/>
      <c r="I2434" s="28"/>
      <c r="J2434" s="28"/>
      <c r="K2434" s="28"/>
      <c r="L2434" s="28"/>
      <c r="M2434" s="28"/>
      <c r="N2434" s="28"/>
      <c r="O2434" s="28"/>
      <c r="P2434" s="28"/>
      <c r="Q2434" s="28"/>
      <c r="R2434" s="28"/>
      <c r="S2434" s="28"/>
    </row>
    <row r="2435" spans="1:19" x14ac:dyDescent="0.25">
      <c r="A2435" s="28"/>
      <c r="B2435" s="28"/>
      <c r="C2435" s="28"/>
      <c r="D2435" s="28"/>
      <c r="E2435" s="28"/>
      <c r="F2435" s="28"/>
      <c r="G2435" s="28"/>
      <c r="H2435" s="28"/>
      <c r="I2435" s="28"/>
      <c r="J2435" s="28"/>
      <c r="K2435" s="28"/>
      <c r="L2435" s="28"/>
      <c r="M2435" s="28"/>
      <c r="N2435" s="28"/>
      <c r="O2435" s="28"/>
      <c r="P2435" s="28"/>
      <c r="Q2435" s="28"/>
      <c r="R2435" s="28"/>
      <c r="S2435" s="28"/>
    </row>
    <row r="2436" spans="1:19" x14ac:dyDescent="0.25">
      <c r="A2436" s="28"/>
      <c r="B2436" s="28"/>
      <c r="C2436" s="28"/>
      <c r="D2436" s="28"/>
      <c r="E2436" s="28"/>
      <c r="F2436" s="28"/>
      <c r="G2436" s="28"/>
      <c r="H2436" s="28"/>
      <c r="I2436" s="28"/>
      <c r="J2436" s="28"/>
      <c r="K2436" s="28"/>
      <c r="L2436" s="28"/>
      <c r="M2436" s="28"/>
      <c r="N2436" s="28"/>
      <c r="O2436" s="28"/>
      <c r="P2436" s="28"/>
      <c r="Q2436" s="28"/>
      <c r="R2436" s="28"/>
      <c r="S2436" s="28"/>
    </row>
    <row r="2437" spans="1:19" x14ac:dyDescent="0.25">
      <c r="A2437" s="28"/>
      <c r="B2437" s="28"/>
      <c r="C2437" s="28"/>
      <c r="D2437" s="28"/>
      <c r="E2437" s="28"/>
      <c r="F2437" s="28"/>
      <c r="G2437" s="28"/>
      <c r="H2437" s="28"/>
      <c r="I2437" s="28"/>
      <c r="J2437" s="28"/>
      <c r="K2437" s="28"/>
      <c r="L2437" s="28"/>
      <c r="M2437" s="28"/>
      <c r="N2437" s="28"/>
      <c r="O2437" s="28"/>
      <c r="P2437" s="28"/>
      <c r="Q2437" s="28"/>
      <c r="R2437" s="28"/>
      <c r="S2437" s="28"/>
    </row>
    <row r="2438" spans="1:19" x14ac:dyDescent="0.25">
      <c r="A2438" s="28"/>
      <c r="B2438" s="28"/>
      <c r="C2438" s="28"/>
      <c r="D2438" s="28"/>
      <c r="E2438" s="28"/>
      <c r="F2438" s="28"/>
      <c r="G2438" s="28"/>
      <c r="H2438" s="28"/>
      <c r="I2438" s="28"/>
      <c r="J2438" s="28"/>
      <c r="K2438" s="28"/>
      <c r="L2438" s="28"/>
      <c r="M2438" s="28"/>
      <c r="N2438" s="28"/>
      <c r="O2438" s="28"/>
      <c r="P2438" s="28"/>
      <c r="Q2438" s="28"/>
      <c r="R2438" s="28"/>
      <c r="S2438" s="28"/>
    </row>
    <row r="2439" spans="1:19" x14ac:dyDescent="0.25">
      <c r="A2439" s="28"/>
      <c r="B2439" s="28"/>
      <c r="C2439" s="28"/>
      <c r="D2439" s="28"/>
      <c r="E2439" s="28"/>
      <c r="F2439" s="28"/>
      <c r="G2439" s="28"/>
      <c r="H2439" s="28"/>
      <c r="I2439" s="28"/>
      <c r="J2439" s="28"/>
      <c r="K2439" s="28"/>
      <c r="L2439" s="28"/>
      <c r="M2439" s="28"/>
      <c r="N2439" s="28"/>
      <c r="O2439" s="28"/>
      <c r="P2439" s="28"/>
      <c r="Q2439" s="28"/>
      <c r="R2439" s="28"/>
      <c r="S2439" s="28"/>
    </row>
    <row r="2440" spans="1:19" x14ac:dyDescent="0.25">
      <c r="A2440" s="28"/>
      <c r="B2440" s="28"/>
      <c r="C2440" s="28"/>
      <c r="D2440" s="28"/>
      <c r="E2440" s="28"/>
      <c r="F2440" s="28"/>
      <c r="G2440" s="28"/>
      <c r="H2440" s="28"/>
      <c r="I2440" s="28"/>
      <c r="J2440" s="28"/>
      <c r="K2440" s="28"/>
      <c r="L2440" s="28"/>
      <c r="M2440" s="28"/>
      <c r="N2440" s="28"/>
      <c r="O2440" s="28"/>
      <c r="P2440" s="28"/>
      <c r="Q2440" s="28"/>
      <c r="R2440" s="28"/>
      <c r="S2440" s="28"/>
    </row>
    <row r="2441" spans="1:19" x14ac:dyDescent="0.25">
      <c r="A2441" s="28"/>
      <c r="B2441" s="28"/>
      <c r="C2441" s="28"/>
      <c r="D2441" s="28"/>
      <c r="E2441" s="28"/>
      <c r="F2441" s="28"/>
      <c r="G2441" s="28"/>
      <c r="H2441" s="28"/>
      <c r="I2441" s="28"/>
      <c r="J2441" s="28"/>
      <c r="K2441" s="28"/>
      <c r="L2441" s="28"/>
      <c r="M2441" s="28"/>
      <c r="N2441" s="28"/>
      <c r="O2441" s="28"/>
      <c r="P2441" s="28"/>
      <c r="Q2441" s="28"/>
      <c r="R2441" s="28"/>
      <c r="S2441" s="28"/>
    </row>
    <row r="2442" spans="1:19" x14ac:dyDescent="0.25">
      <c r="A2442" s="28"/>
      <c r="B2442" s="28"/>
      <c r="C2442" s="28"/>
      <c r="D2442" s="28"/>
      <c r="E2442" s="28"/>
      <c r="F2442" s="28"/>
      <c r="G2442" s="28"/>
      <c r="H2442" s="28"/>
      <c r="I2442" s="28"/>
      <c r="J2442" s="28"/>
      <c r="K2442" s="28"/>
      <c r="L2442" s="28"/>
      <c r="M2442" s="28"/>
      <c r="N2442" s="28"/>
      <c r="O2442" s="28"/>
      <c r="P2442" s="28"/>
      <c r="Q2442" s="28"/>
      <c r="R2442" s="28"/>
      <c r="S2442" s="28"/>
    </row>
    <row r="2443" spans="1:19" x14ac:dyDescent="0.25">
      <c r="A2443" s="28"/>
      <c r="B2443" s="28"/>
      <c r="C2443" s="28"/>
      <c r="D2443" s="28"/>
      <c r="E2443" s="28"/>
      <c r="F2443" s="28"/>
      <c r="G2443" s="28"/>
      <c r="H2443" s="28"/>
      <c r="I2443" s="28"/>
      <c r="J2443" s="28"/>
      <c r="K2443" s="28"/>
      <c r="L2443" s="28"/>
      <c r="M2443" s="28"/>
      <c r="N2443" s="28"/>
      <c r="O2443" s="28"/>
      <c r="P2443" s="28"/>
      <c r="Q2443" s="28"/>
      <c r="R2443" s="28"/>
      <c r="S2443" s="28"/>
    </row>
    <row r="2444" spans="1:19" x14ac:dyDescent="0.25">
      <c r="A2444" s="28"/>
      <c r="B2444" s="28"/>
      <c r="C2444" s="28"/>
      <c r="D2444" s="28"/>
      <c r="E2444" s="28"/>
      <c r="F2444" s="28"/>
      <c r="G2444" s="28"/>
      <c r="H2444" s="28"/>
      <c r="I2444" s="28"/>
      <c r="J2444" s="28"/>
      <c r="K2444" s="28"/>
      <c r="L2444" s="28"/>
      <c r="M2444" s="28"/>
      <c r="N2444" s="28"/>
      <c r="O2444" s="28"/>
      <c r="P2444" s="28"/>
      <c r="Q2444" s="28"/>
      <c r="R2444" s="28"/>
      <c r="S2444" s="28"/>
    </row>
    <row r="2445" spans="1:19" x14ac:dyDescent="0.25">
      <c r="A2445" s="28"/>
      <c r="B2445" s="28"/>
      <c r="C2445" s="28"/>
      <c r="D2445" s="28"/>
      <c r="E2445" s="28"/>
      <c r="F2445" s="28"/>
      <c r="G2445" s="28"/>
      <c r="H2445" s="28"/>
      <c r="I2445" s="28"/>
      <c r="J2445" s="28"/>
      <c r="K2445" s="28"/>
      <c r="L2445" s="28"/>
      <c r="M2445" s="28"/>
      <c r="N2445" s="28"/>
      <c r="O2445" s="28"/>
      <c r="P2445" s="28"/>
      <c r="Q2445" s="28"/>
      <c r="R2445" s="28"/>
      <c r="S2445" s="28"/>
    </row>
    <row r="2446" spans="1:19" x14ac:dyDescent="0.25">
      <c r="A2446" s="28"/>
      <c r="B2446" s="28"/>
      <c r="C2446" s="28"/>
      <c r="D2446" s="28"/>
      <c r="E2446" s="28"/>
      <c r="F2446" s="28"/>
      <c r="G2446" s="28"/>
      <c r="H2446" s="28"/>
      <c r="I2446" s="28"/>
      <c r="J2446" s="28"/>
      <c r="K2446" s="28"/>
      <c r="L2446" s="28"/>
      <c r="M2446" s="28"/>
      <c r="N2446" s="28"/>
      <c r="O2446" s="28"/>
      <c r="P2446" s="28"/>
      <c r="Q2446" s="28"/>
      <c r="R2446" s="28"/>
      <c r="S2446" s="28"/>
    </row>
    <row r="2447" spans="1:19" x14ac:dyDescent="0.25">
      <c r="A2447" s="28"/>
      <c r="B2447" s="28"/>
      <c r="C2447" s="28"/>
      <c r="D2447" s="28"/>
      <c r="E2447" s="28"/>
      <c r="F2447" s="28"/>
      <c r="G2447" s="28"/>
      <c r="H2447" s="28"/>
      <c r="I2447" s="28"/>
      <c r="J2447" s="28"/>
      <c r="K2447" s="28"/>
      <c r="L2447" s="28"/>
      <c r="M2447" s="28"/>
      <c r="N2447" s="28"/>
      <c r="O2447" s="28"/>
      <c r="P2447" s="28"/>
      <c r="Q2447" s="28"/>
      <c r="R2447" s="28"/>
      <c r="S2447" s="28"/>
    </row>
    <row r="2448" spans="1:19" x14ac:dyDescent="0.25">
      <c r="A2448" s="28"/>
      <c r="B2448" s="28"/>
      <c r="C2448" s="28"/>
      <c r="D2448" s="28"/>
      <c r="E2448" s="28"/>
      <c r="F2448" s="28"/>
      <c r="G2448" s="28"/>
      <c r="H2448" s="28"/>
      <c r="I2448" s="28"/>
      <c r="J2448" s="28"/>
      <c r="K2448" s="28"/>
      <c r="L2448" s="28"/>
      <c r="M2448" s="28"/>
      <c r="N2448" s="28"/>
      <c r="O2448" s="28"/>
      <c r="P2448" s="28"/>
      <c r="Q2448" s="28"/>
      <c r="R2448" s="28"/>
      <c r="S2448" s="28"/>
    </row>
    <row r="2449" spans="1:19" x14ac:dyDescent="0.25">
      <c r="A2449" s="28"/>
      <c r="B2449" s="28"/>
      <c r="C2449" s="28"/>
      <c r="D2449" s="28"/>
      <c r="E2449" s="28"/>
      <c r="F2449" s="28"/>
      <c r="G2449" s="28"/>
      <c r="H2449" s="28"/>
      <c r="I2449" s="28"/>
      <c r="J2449" s="28"/>
      <c r="K2449" s="28"/>
      <c r="L2449" s="28"/>
      <c r="M2449" s="28"/>
      <c r="N2449" s="28"/>
      <c r="O2449" s="28"/>
      <c r="P2449" s="28"/>
      <c r="Q2449" s="28"/>
      <c r="R2449" s="28"/>
      <c r="S2449" s="28"/>
    </row>
    <row r="2450" spans="1:19" x14ac:dyDescent="0.25">
      <c r="A2450" s="28"/>
      <c r="B2450" s="28"/>
      <c r="C2450" s="28"/>
      <c r="D2450" s="28"/>
      <c r="E2450" s="28"/>
      <c r="F2450" s="28"/>
      <c r="G2450" s="28"/>
      <c r="H2450" s="28"/>
      <c r="I2450" s="28"/>
      <c r="J2450" s="28"/>
      <c r="K2450" s="28"/>
      <c r="L2450" s="28"/>
      <c r="M2450" s="28"/>
      <c r="N2450" s="28"/>
      <c r="O2450" s="28"/>
      <c r="P2450" s="28"/>
      <c r="Q2450" s="28"/>
      <c r="R2450" s="28"/>
      <c r="S2450" s="28"/>
    </row>
    <row r="2451" spans="1:19" x14ac:dyDescent="0.25">
      <c r="A2451" s="28"/>
      <c r="B2451" s="28"/>
      <c r="C2451" s="28"/>
      <c r="D2451" s="28"/>
      <c r="E2451" s="28"/>
      <c r="F2451" s="28"/>
      <c r="G2451" s="28"/>
      <c r="H2451" s="28"/>
      <c r="I2451" s="28"/>
      <c r="J2451" s="28"/>
      <c r="K2451" s="28"/>
      <c r="L2451" s="28"/>
      <c r="M2451" s="28"/>
      <c r="N2451" s="28"/>
      <c r="O2451" s="28"/>
      <c r="P2451" s="28"/>
      <c r="Q2451" s="28"/>
      <c r="R2451" s="28"/>
      <c r="S2451" s="28"/>
    </row>
    <row r="2452" spans="1:19" x14ac:dyDescent="0.25">
      <c r="A2452" s="28"/>
      <c r="B2452" s="28"/>
      <c r="C2452" s="28"/>
      <c r="D2452" s="28"/>
      <c r="E2452" s="28"/>
      <c r="F2452" s="28"/>
      <c r="G2452" s="28"/>
      <c r="H2452" s="28"/>
      <c r="I2452" s="28"/>
      <c r="J2452" s="28"/>
      <c r="K2452" s="28"/>
      <c r="L2452" s="28"/>
      <c r="M2452" s="28"/>
      <c r="N2452" s="28"/>
      <c r="O2452" s="28"/>
      <c r="P2452" s="28"/>
      <c r="Q2452" s="28"/>
      <c r="R2452" s="28"/>
      <c r="S2452" s="28"/>
    </row>
    <row r="2453" spans="1:19" x14ac:dyDescent="0.25">
      <c r="A2453" s="28"/>
      <c r="B2453" s="28"/>
      <c r="C2453" s="28"/>
      <c r="D2453" s="28"/>
      <c r="E2453" s="28"/>
      <c r="F2453" s="28"/>
      <c r="G2453" s="28"/>
      <c r="H2453" s="28"/>
      <c r="I2453" s="28"/>
      <c r="J2453" s="28"/>
      <c r="K2453" s="28"/>
      <c r="L2453" s="28"/>
      <c r="M2453" s="28"/>
      <c r="N2453" s="28"/>
      <c r="O2453" s="28"/>
      <c r="P2453" s="28"/>
      <c r="Q2453" s="28"/>
      <c r="R2453" s="28"/>
      <c r="S2453" s="28"/>
    </row>
    <row r="2454" spans="1:19" x14ac:dyDescent="0.25">
      <c r="A2454" s="28"/>
      <c r="B2454" s="28"/>
      <c r="C2454" s="28"/>
      <c r="D2454" s="28"/>
      <c r="E2454" s="28"/>
      <c r="F2454" s="28"/>
      <c r="G2454" s="28"/>
      <c r="H2454" s="28"/>
      <c r="I2454" s="28"/>
      <c r="J2454" s="28"/>
      <c r="K2454" s="28"/>
      <c r="L2454" s="28"/>
      <c r="M2454" s="28"/>
      <c r="N2454" s="28"/>
      <c r="O2454" s="28"/>
      <c r="P2454" s="28"/>
      <c r="Q2454" s="28"/>
      <c r="R2454" s="28"/>
      <c r="S2454" s="28"/>
    </row>
    <row r="2455" spans="1:19" x14ac:dyDescent="0.25">
      <c r="A2455" s="28"/>
      <c r="B2455" s="28"/>
      <c r="C2455" s="28"/>
      <c r="D2455" s="28"/>
      <c r="E2455" s="28"/>
      <c r="F2455" s="28"/>
      <c r="G2455" s="28"/>
      <c r="H2455" s="28"/>
      <c r="I2455" s="28"/>
      <c r="J2455" s="28"/>
      <c r="K2455" s="28"/>
      <c r="L2455" s="28"/>
      <c r="M2455" s="28"/>
      <c r="N2455" s="28"/>
      <c r="O2455" s="28"/>
      <c r="P2455" s="28"/>
      <c r="Q2455" s="28"/>
      <c r="R2455" s="28"/>
      <c r="S2455" s="28"/>
    </row>
    <row r="2456" spans="1:19" x14ac:dyDescent="0.25">
      <c r="A2456" s="28"/>
      <c r="B2456" s="28"/>
      <c r="C2456" s="28"/>
      <c r="D2456" s="28"/>
      <c r="E2456" s="28"/>
      <c r="F2456" s="28"/>
      <c r="G2456" s="28"/>
      <c r="H2456" s="28"/>
      <c r="I2456" s="28"/>
      <c r="J2456" s="28"/>
      <c r="K2456" s="28"/>
      <c r="L2456" s="28"/>
      <c r="M2456" s="28"/>
      <c r="N2456" s="28"/>
      <c r="O2456" s="28"/>
      <c r="P2456" s="28"/>
      <c r="Q2456" s="28"/>
      <c r="R2456" s="28"/>
      <c r="S2456" s="28"/>
    </row>
    <row r="2457" spans="1:19" x14ac:dyDescent="0.25">
      <c r="A2457" s="28"/>
      <c r="B2457" s="28"/>
      <c r="C2457" s="28"/>
      <c r="D2457" s="28"/>
      <c r="E2457" s="28"/>
      <c r="F2457" s="28"/>
      <c r="G2457" s="28"/>
      <c r="H2457" s="28"/>
      <c r="I2457" s="28"/>
      <c r="J2457" s="28"/>
      <c r="K2457" s="28"/>
      <c r="L2457" s="28"/>
      <c r="M2457" s="28"/>
      <c r="N2457" s="28"/>
      <c r="O2457" s="28"/>
      <c r="P2457" s="28"/>
      <c r="Q2457" s="28"/>
      <c r="R2457" s="28"/>
      <c r="S2457" s="28"/>
    </row>
    <row r="2458" spans="1:19" x14ac:dyDescent="0.25">
      <c r="A2458" s="28"/>
      <c r="B2458" s="28"/>
      <c r="C2458" s="28"/>
      <c r="D2458" s="28"/>
      <c r="E2458" s="28"/>
      <c r="F2458" s="28"/>
      <c r="G2458" s="28"/>
      <c r="H2458" s="28"/>
      <c r="I2458" s="28"/>
      <c r="J2458" s="28"/>
      <c r="K2458" s="28"/>
      <c r="L2458" s="28"/>
      <c r="M2458" s="28"/>
      <c r="N2458" s="28"/>
      <c r="O2458" s="28"/>
      <c r="P2458" s="28"/>
      <c r="Q2458" s="28"/>
      <c r="R2458" s="28"/>
      <c r="S2458" s="28"/>
    </row>
    <row r="2459" spans="1:19" x14ac:dyDescent="0.25">
      <c r="A2459" s="28"/>
      <c r="B2459" s="28"/>
      <c r="C2459" s="28"/>
      <c r="D2459" s="28"/>
      <c r="E2459" s="28"/>
      <c r="F2459" s="28"/>
      <c r="G2459" s="28"/>
      <c r="H2459" s="28"/>
      <c r="I2459" s="28"/>
      <c r="J2459" s="28"/>
      <c r="K2459" s="28"/>
      <c r="L2459" s="28"/>
      <c r="M2459" s="28"/>
      <c r="N2459" s="28"/>
      <c r="O2459" s="28"/>
      <c r="P2459" s="28"/>
      <c r="Q2459" s="28"/>
      <c r="R2459" s="28"/>
      <c r="S2459" s="28"/>
    </row>
    <row r="2460" spans="1:19" x14ac:dyDescent="0.25">
      <c r="A2460" s="28"/>
      <c r="B2460" s="28"/>
      <c r="C2460" s="28"/>
      <c r="D2460" s="28"/>
      <c r="E2460" s="28"/>
      <c r="F2460" s="28"/>
      <c r="G2460" s="28"/>
      <c r="H2460" s="28"/>
      <c r="I2460" s="28"/>
      <c r="J2460" s="28"/>
      <c r="K2460" s="28"/>
      <c r="L2460" s="28"/>
      <c r="M2460" s="28"/>
      <c r="N2460" s="28"/>
      <c r="O2460" s="28"/>
      <c r="P2460" s="28"/>
      <c r="Q2460" s="28"/>
      <c r="R2460" s="28"/>
      <c r="S2460" s="28"/>
    </row>
    <row r="2461" spans="1:19" x14ac:dyDescent="0.25">
      <c r="A2461" s="28"/>
      <c r="B2461" s="28"/>
      <c r="C2461" s="28"/>
      <c r="D2461" s="28"/>
      <c r="E2461" s="28"/>
      <c r="F2461" s="28"/>
      <c r="G2461" s="28"/>
      <c r="H2461" s="28"/>
      <c r="I2461" s="28"/>
      <c r="J2461" s="28"/>
      <c r="K2461" s="28"/>
      <c r="L2461" s="28"/>
      <c r="M2461" s="28"/>
      <c r="N2461" s="28"/>
      <c r="O2461" s="28"/>
      <c r="P2461" s="28"/>
      <c r="Q2461" s="28"/>
      <c r="R2461" s="28"/>
      <c r="S2461" s="28"/>
    </row>
    <row r="2462" spans="1:19" x14ac:dyDescent="0.25">
      <c r="A2462" s="28"/>
      <c r="B2462" s="28"/>
      <c r="C2462" s="28"/>
      <c r="D2462" s="28"/>
      <c r="E2462" s="28"/>
      <c r="F2462" s="28"/>
      <c r="G2462" s="28"/>
      <c r="H2462" s="28"/>
      <c r="I2462" s="28"/>
      <c r="J2462" s="28"/>
      <c r="K2462" s="28"/>
      <c r="L2462" s="28"/>
      <c r="M2462" s="28"/>
      <c r="N2462" s="28"/>
      <c r="O2462" s="28"/>
      <c r="P2462" s="28"/>
      <c r="Q2462" s="28"/>
      <c r="R2462" s="28"/>
      <c r="S2462" s="28"/>
    </row>
    <row r="2463" spans="1:19" x14ac:dyDescent="0.25">
      <c r="A2463" s="28"/>
      <c r="B2463" s="28"/>
      <c r="C2463" s="28"/>
      <c r="D2463" s="28"/>
      <c r="E2463" s="28"/>
      <c r="F2463" s="28"/>
      <c r="G2463" s="28"/>
      <c r="H2463" s="28"/>
      <c r="I2463" s="28"/>
      <c r="J2463" s="28"/>
      <c r="K2463" s="28"/>
      <c r="L2463" s="28"/>
      <c r="M2463" s="28"/>
      <c r="N2463" s="28"/>
      <c r="O2463" s="28"/>
      <c r="P2463" s="28"/>
      <c r="Q2463" s="28"/>
      <c r="R2463" s="28"/>
      <c r="S2463" s="28"/>
    </row>
    <row r="2464" spans="1:19" x14ac:dyDescent="0.25">
      <c r="A2464" s="28"/>
      <c r="B2464" s="28"/>
      <c r="C2464" s="28"/>
      <c r="D2464" s="28"/>
      <c r="E2464" s="28"/>
      <c r="F2464" s="28"/>
      <c r="G2464" s="28"/>
      <c r="H2464" s="28"/>
      <c r="I2464" s="28"/>
      <c r="J2464" s="28"/>
      <c r="K2464" s="28"/>
      <c r="L2464" s="28"/>
      <c r="M2464" s="28"/>
      <c r="N2464" s="28"/>
      <c r="O2464" s="28"/>
      <c r="P2464" s="28"/>
      <c r="Q2464" s="28"/>
      <c r="R2464" s="28"/>
      <c r="S2464" s="28"/>
    </row>
    <row r="2465" spans="1:19" x14ac:dyDescent="0.25">
      <c r="A2465" s="28"/>
      <c r="B2465" s="28"/>
      <c r="C2465" s="28"/>
      <c r="D2465" s="28"/>
      <c r="E2465" s="28"/>
      <c r="F2465" s="28"/>
      <c r="G2465" s="28"/>
      <c r="H2465" s="28"/>
      <c r="I2465" s="28"/>
      <c r="J2465" s="28"/>
      <c r="K2465" s="28"/>
      <c r="L2465" s="28"/>
      <c r="M2465" s="28"/>
      <c r="N2465" s="28"/>
      <c r="O2465" s="28"/>
      <c r="P2465" s="28"/>
      <c r="Q2465" s="28"/>
      <c r="R2465" s="28"/>
      <c r="S2465" s="28"/>
    </row>
    <row r="2466" spans="1:19" x14ac:dyDescent="0.25">
      <c r="A2466" s="28"/>
      <c r="B2466" s="28"/>
      <c r="C2466" s="28"/>
      <c r="D2466" s="28"/>
      <c r="E2466" s="28"/>
      <c r="F2466" s="28"/>
      <c r="G2466" s="28"/>
      <c r="H2466" s="28"/>
      <c r="I2466" s="28"/>
      <c r="J2466" s="28"/>
      <c r="K2466" s="28"/>
      <c r="L2466" s="28"/>
      <c r="M2466" s="28"/>
      <c r="N2466" s="28"/>
      <c r="O2466" s="28"/>
      <c r="P2466" s="28"/>
      <c r="Q2466" s="28"/>
      <c r="R2466" s="28"/>
      <c r="S2466" s="28"/>
    </row>
    <row r="2467" spans="1:19" x14ac:dyDescent="0.25">
      <c r="A2467" s="28"/>
      <c r="B2467" s="28"/>
      <c r="C2467" s="28"/>
      <c r="D2467" s="28"/>
      <c r="E2467" s="28"/>
      <c r="F2467" s="28"/>
      <c r="G2467" s="28"/>
      <c r="H2467" s="28"/>
      <c r="I2467" s="28"/>
      <c r="J2467" s="28"/>
      <c r="K2467" s="28"/>
      <c r="L2467" s="28"/>
      <c r="M2467" s="28"/>
      <c r="N2467" s="28"/>
      <c r="O2467" s="28"/>
      <c r="P2467" s="28"/>
      <c r="Q2467" s="28"/>
      <c r="R2467" s="28"/>
      <c r="S2467" s="28"/>
    </row>
    <row r="2468" spans="1:19" x14ac:dyDescent="0.25">
      <c r="A2468" s="28"/>
      <c r="B2468" s="28"/>
      <c r="C2468" s="28"/>
      <c r="D2468" s="28"/>
      <c r="E2468" s="28"/>
      <c r="F2468" s="28"/>
      <c r="G2468" s="28"/>
      <c r="H2468" s="28"/>
      <c r="I2468" s="28"/>
      <c r="J2468" s="28"/>
      <c r="K2468" s="28"/>
      <c r="L2468" s="28"/>
      <c r="M2468" s="28"/>
      <c r="N2468" s="28"/>
      <c r="O2468" s="28"/>
      <c r="P2468" s="28"/>
      <c r="Q2468" s="28"/>
      <c r="R2468" s="28"/>
      <c r="S2468" s="28"/>
    </row>
    <row r="2469" spans="1:19" x14ac:dyDescent="0.25">
      <c r="A2469" s="28"/>
      <c r="B2469" s="28"/>
      <c r="C2469" s="28"/>
      <c r="D2469" s="28"/>
      <c r="E2469" s="28"/>
      <c r="F2469" s="28"/>
      <c r="G2469" s="28"/>
      <c r="H2469" s="28"/>
      <c r="I2469" s="28"/>
      <c r="J2469" s="28"/>
      <c r="K2469" s="28"/>
      <c r="L2469" s="28"/>
      <c r="M2469" s="28"/>
      <c r="N2469" s="28"/>
      <c r="O2469" s="28"/>
      <c r="P2469" s="28"/>
      <c r="Q2469" s="28"/>
      <c r="R2469" s="28"/>
      <c r="S2469" s="28"/>
    </row>
    <row r="2470" spans="1:19" x14ac:dyDescent="0.25">
      <c r="A2470" s="28"/>
      <c r="B2470" s="28"/>
      <c r="C2470" s="28"/>
      <c r="D2470" s="28"/>
      <c r="E2470" s="28"/>
      <c r="F2470" s="28"/>
      <c r="G2470" s="28"/>
      <c r="H2470" s="28"/>
      <c r="I2470" s="28"/>
      <c r="J2470" s="28"/>
      <c r="K2470" s="28"/>
      <c r="L2470" s="28"/>
      <c r="M2470" s="28"/>
      <c r="N2470" s="28"/>
      <c r="O2470" s="28"/>
      <c r="P2470" s="28"/>
      <c r="Q2470" s="28"/>
      <c r="R2470" s="28"/>
      <c r="S2470" s="28"/>
    </row>
    <row r="2471" spans="1:19" x14ac:dyDescent="0.25">
      <c r="A2471" s="28"/>
      <c r="B2471" s="28"/>
      <c r="C2471" s="28"/>
      <c r="D2471" s="28"/>
      <c r="E2471" s="28"/>
      <c r="F2471" s="28"/>
      <c r="G2471" s="28"/>
      <c r="H2471" s="28"/>
      <c r="I2471" s="28"/>
      <c r="J2471" s="28"/>
      <c r="K2471" s="28"/>
      <c r="L2471" s="28"/>
      <c r="M2471" s="28"/>
      <c r="N2471" s="28"/>
      <c r="O2471" s="28"/>
      <c r="P2471" s="28"/>
      <c r="Q2471" s="28"/>
      <c r="R2471" s="28"/>
      <c r="S2471" s="28"/>
    </row>
    <row r="2472" spans="1:19" x14ac:dyDescent="0.25">
      <c r="A2472" s="28"/>
      <c r="B2472" s="28"/>
      <c r="C2472" s="28"/>
      <c r="D2472" s="28"/>
      <c r="E2472" s="28"/>
      <c r="F2472" s="28"/>
      <c r="G2472" s="28"/>
      <c r="H2472" s="28"/>
      <c r="I2472" s="28"/>
      <c r="J2472" s="28"/>
      <c r="K2472" s="28"/>
      <c r="L2472" s="28"/>
      <c r="M2472" s="28"/>
      <c r="N2472" s="28"/>
      <c r="O2472" s="28"/>
      <c r="P2472" s="28"/>
      <c r="Q2472" s="28"/>
      <c r="R2472" s="28"/>
      <c r="S2472" s="28"/>
    </row>
    <row r="2473" spans="1:19" x14ac:dyDescent="0.25">
      <c r="A2473" s="28"/>
      <c r="B2473" s="28"/>
      <c r="C2473" s="28"/>
      <c r="D2473" s="28"/>
      <c r="E2473" s="28"/>
      <c r="F2473" s="28"/>
      <c r="G2473" s="28"/>
      <c r="H2473" s="28"/>
      <c r="I2473" s="28"/>
      <c r="J2473" s="28"/>
      <c r="K2473" s="28"/>
      <c r="L2473" s="28"/>
      <c r="M2473" s="28"/>
      <c r="N2473" s="28"/>
      <c r="O2473" s="28"/>
      <c r="P2473" s="28"/>
      <c r="Q2473" s="28"/>
      <c r="R2473" s="28"/>
      <c r="S2473" s="28"/>
    </row>
    <row r="2474" spans="1:19" x14ac:dyDescent="0.25">
      <c r="A2474" s="28"/>
      <c r="B2474" s="28"/>
      <c r="C2474" s="28"/>
      <c r="D2474" s="28"/>
      <c r="E2474" s="28"/>
      <c r="F2474" s="28"/>
      <c r="G2474" s="28"/>
      <c r="H2474" s="28"/>
      <c r="I2474" s="28"/>
      <c r="J2474" s="28"/>
      <c r="K2474" s="28"/>
      <c r="L2474" s="28"/>
      <c r="M2474" s="28"/>
      <c r="N2474" s="28"/>
      <c r="O2474" s="28"/>
      <c r="P2474" s="28"/>
      <c r="Q2474" s="28"/>
      <c r="R2474" s="28"/>
      <c r="S2474" s="28"/>
    </row>
    <row r="2475" spans="1:19" x14ac:dyDescent="0.25">
      <c r="A2475" s="28"/>
      <c r="B2475" s="28"/>
      <c r="C2475" s="28"/>
      <c r="D2475" s="28"/>
      <c r="E2475" s="28"/>
      <c r="F2475" s="28"/>
      <c r="G2475" s="28"/>
      <c r="H2475" s="28"/>
      <c r="I2475" s="28"/>
      <c r="J2475" s="28"/>
      <c r="K2475" s="28"/>
      <c r="L2475" s="28"/>
      <c r="M2475" s="28"/>
      <c r="N2475" s="28"/>
      <c r="O2475" s="28"/>
      <c r="P2475" s="28"/>
      <c r="Q2475" s="28"/>
      <c r="R2475" s="28"/>
      <c r="S2475" s="28"/>
    </row>
    <row r="2476" spans="1:19" x14ac:dyDescent="0.25">
      <c r="A2476" s="28"/>
      <c r="B2476" s="28"/>
      <c r="C2476" s="28"/>
      <c r="D2476" s="28"/>
      <c r="E2476" s="28"/>
      <c r="F2476" s="28"/>
      <c r="G2476" s="28"/>
      <c r="H2476" s="28"/>
      <c r="I2476" s="28"/>
      <c r="J2476" s="28"/>
      <c r="K2476" s="28"/>
      <c r="L2476" s="28"/>
      <c r="M2476" s="28"/>
      <c r="N2476" s="28"/>
      <c r="O2476" s="28"/>
      <c r="P2476" s="28"/>
      <c r="Q2476" s="28"/>
      <c r="R2476" s="28"/>
      <c r="S2476" s="28"/>
    </row>
    <row r="2477" spans="1:19" x14ac:dyDescent="0.25">
      <c r="A2477" s="28"/>
      <c r="B2477" s="28"/>
      <c r="C2477" s="28"/>
      <c r="D2477" s="28"/>
      <c r="E2477" s="28"/>
      <c r="F2477" s="28"/>
      <c r="G2477" s="28"/>
      <c r="H2477" s="28"/>
      <c r="I2477" s="28"/>
      <c r="J2477" s="28"/>
      <c r="K2477" s="28"/>
      <c r="L2477" s="28"/>
      <c r="M2477" s="28"/>
      <c r="N2477" s="28"/>
      <c r="O2477" s="28"/>
      <c r="P2477" s="28"/>
      <c r="Q2477" s="28"/>
      <c r="R2477" s="28"/>
      <c r="S2477" s="28"/>
    </row>
    <row r="2478" spans="1:19" x14ac:dyDescent="0.25">
      <c r="A2478" s="28"/>
      <c r="B2478" s="28"/>
      <c r="C2478" s="28"/>
      <c r="D2478" s="28"/>
      <c r="E2478" s="28"/>
      <c r="F2478" s="28"/>
      <c r="G2478" s="28"/>
      <c r="H2478" s="28"/>
      <c r="I2478" s="28"/>
      <c r="J2478" s="28"/>
      <c r="K2478" s="28"/>
      <c r="L2478" s="28"/>
      <c r="M2478" s="28"/>
      <c r="N2478" s="28"/>
      <c r="O2478" s="28"/>
      <c r="P2478" s="28"/>
      <c r="Q2478" s="28"/>
      <c r="R2478" s="28"/>
      <c r="S2478" s="28"/>
    </row>
    <row r="2479" spans="1:19" x14ac:dyDescent="0.25">
      <c r="A2479" s="28"/>
      <c r="B2479" s="28"/>
      <c r="C2479" s="28"/>
      <c r="D2479" s="28"/>
      <c r="E2479" s="28"/>
      <c r="F2479" s="28"/>
      <c r="G2479" s="28"/>
      <c r="H2479" s="28"/>
      <c r="I2479" s="28"/>
      <c r="J2479" s="28"/>
      <c r="K2479" s="28"/>
      <c r="L2479" s="28"/>
      <c r="M2479" s="28"/>
      <c r="N2479" s="28"/>
      <c r="O2479" s="28"/>
      <c r="P2479" s="28"/>
      <c r="Q2479" s="28"/>
      <c r="R2479" s="28"/>
      <c r="S2479" s="28"/>
    </row>
    <row r="2480" spans="1:19" x14ac:dyDescent="0.25">
      <c r="A2480" s="28"/>
      <c r="B2480" s="28"/>
      <c r="C2480" s="28"/>
      <c r="D2480" s="28"/>
      <c r="E2480" s="28"/>
      <c r="F2480" s="28"/>
      <c r="G2480" s="28"/>
      <c r="H2480" s="28"/>
      <c r="I2480" s="28"/>
      <c r="J2480" s="28"/>
      <c r="K2480" s="28"/>
      <c r="L2480" s="28"/>
      <c r="M2480" s="28"/>
      <c r="N2480" s="28"/>
      <c r="O2480" s="28"/>
      <c r="P2480" s="28"/>
      <c r="Q2480" s="28"/>
      <c r="R2480" s="28"/>
      <c r="S2480" s="28"/>
    </row>
    <row r="2481" spans="1:19" x14ac:dyDescent="0.25">
      <c r="A2481" s="28"/>
      <c r="B2481" s="28"/>
      <c r="C2481" s="28"/>
      <c r="D2481" s="28"/>
      <c r="E2481" s="28"/>
      <c r="F2481" s="28"/>
      <c r="G2481" s="28"/>
      <c r="H2481" s="28"/>
      <c r="I2481" s="28"/>
      <c r="J2481" s="28"/>
      <c r="K2481" s="28"/>
      <c r="L2481" s="28"/>
      <c r="M2481" s="28"/>
      <c r="N2481" s="28"/>
      <c r="O2481" s="28"/>
      <c r="P2481" s="28"/>
      <c r="Q2481" s="28"/>
      <c r="R2481" s="28"/>
      <c r="S2481" s="28"/>
    </row>
    <row r="2482" spans="1:19" x14ac:dyDescent="0.25">
      <c r="A2482" s="28"/>
      <c r="B2482" s="28"/>
      <c r="C2482" s="28"/>
      <c r="D2482" s="28"/>
      <c r="E2482" s="28"/>
      <c r="F2482" s="28"/>
      <c r="G2482" s="28"/>
      <c r="H2482" s="28"/>
      <c r="I2482" s="28"/>
      <c r="J2482" s="28"/>
      <c r="K2482" s="28"/>
      <c r="L2482" s="28"/>
      <c r="M2482" s="28"/>
      <c r="N2482" s="28"/>
      <c r="O2482" s="28"/>
      <c r="P2482" s="28"/>
      <c r="Q2482" s="28"/>
      <c r="R2482" s="28"/>
      <c r="S2482" s="28"/>
    </row>
    <row r="2483" spans="1:19" x14ac:dyDescent="0.25">
      <c r="A2483" s="28"/>
      <c r="B2483" s="28"/>
      <c r="C2483" s="28"/>
      <c r="D2483" s="28"/>
      <c r="E2483" s="28"/>
      <c r="F2483" s="28"/>
      <c r="G2483" s="28"/>
      <c r="H2483" s="28"/>
      <c r="I2483" s="28"/>
      <c r="J2483" s="28"/>
      <c r="K2483" s="28"/>
      <c r="L2483" s="28"/>
      <c r="M2483" s="28"/>
      <c r="N2483" s="28"/>
      <c r="O2483" s="28"/>
      <c r="P2483" s="28"/>
      <c r="Q2483" s="28"/>
      <c r="R2483" s="28"/>
      <c r="S2483" s="28"/>
    </row>
    <row r="2484" spans="1:19" x14ac:dyDescent="0.25">
      <c r="A2484" s="28"/>
      <c r="B2484" s="28"/>
      <c r="C2484" s="28"/>
      <c r="D2484" s="28"/>
      <c r="E2484" s="28"/>
      <c r="F2484" s="28"/>
      <c r="G2484" s="28"/>
      <c r="H2484" s="28"/>
      <c r="I2484" s="28"/>
      <c r="J2484" s="28"/>
      <c r="K2484" s="28"/>
      <c r="L2484" s="28"/>
      <c r="M2484" s="28"/>
      <c r="N2484" s="28"/>
      <c r="O2484" s="28"/>
      <c r="P2484" s="28"/>
      <c r="Q2484" s="28"/>
      <c r="R2484" s="28"/>
      <c r="S2484" s="28"/>
    </row>
    <row r="2485" spans="1:19" x14ac:dyDescent="0.25">
      <c r="A2485" s="28"/>
      <c r="B2485" s="28"/>
      <c r="C2485" s="28"/>
      <c r="D2485" s="28"/>
      <c r="E2485" s="28"/>
      <c r="F2485" s="28"/>
      <c r="G2485" s="28"/>
      <c r="H2485" s="28"/>
      <c r="I2485" s="28"/>
      <c r="J2485" s="28"/>
      <c r="K2485" s="28"/>
      <c r="L2485" s="28"/>
      <c r="M2485" s="28"/>
      <c r="N2485" s="28"/>
      <c r="O2485" s="28"/>
      <c r="P2485" s="28"/>
      <c r="Q2485" s="28"/>
      <c r="R2485" s="28"/>
      <c r="S2485" s="28"/>
    </row>
    <row r="2486" spans="1:19" x14ac:dyDescent="0.25">
      <c r="A2486" s="28"/>
      <c r="B2486" s="28"/>
      <c r="C2486" s="28"/>
      <c r="D2486" s="28"/>
      <c r="E2486" s="28"/>
      <c r="F2486" s="28"/>
      <c r="G2486" s="28"/>
      <c r="H2486" s="28"/>
      <c r="I2486" s="28"/>
      <c r="J2486" s="28"/>
      <c r="K2486" s="28"/>
      <c r="L2486" s="28"/>
      <c r="M2486" s="28"/>
      <c r="N2486" s="28"/>
      <c r="O2486" s="28"/>
      <c r="P2486" s="28"/>
      <c r="Q2486" s="28"/>
      <c r="R2486" s="28"/>
      <c r="S2486" s="28"/>
    </row>
    <row r="2487" spans="1:19" x14ac:dyDescent="0.25">
      <c r="A2487" s="28"/>
      <c r="B2487" s="28"/>
      <c r="C2487" s="28"/>
      <c r="D2487" s="28"/>
      <c r="E2487" s="28"/>
      <c r="F2487" s="28"/>
      <c r="G2487" s="28"/>
      <c r="H2487" s="28"/>
      <c r="I2487" s="28"/>
      <c r="J2487" s="28"/>
      <c r="K2487" s="28"/>
      <c r="L2487" s="28"/>
      <c r="M2487" s="28"/>
      <c r="N2487" s="28"/>
      <c r="O2487" s="28"/>
      <c r="P2487" s="28"/>
      <c r="Q2487" s="28"/>
      <c r="R2487" s="28"/>
      <c r="S2487" s="28"/>
    </row>
    <row r="2488" spans="1:19" x14ac:dyDescent="0.25">
      <c r="A2488" s="28"/>
      <c r="B2488" s="28"/>
      <c r="C2488" s="28"/>
      <c r="D2488" s="28"/>
      <c r="E2488" s="28"/>
      <c r="F2488" s="28"/>
      <c r="G2488" s="28"/>
      <c r="H2488" s="28"/>
      <c r="I2488" s="28"/>
      <c r="J2488" s="28"/>
      <c r="K2488" s="28"/>
      <c r="L2488" s="28"/>
      <c r="M2488" s="28"/>
      <c r="N2488" s="28"/>
      <c r="O2488" s="28"/>
      <c r="P2488" s="28"/>
      <c r="Q2488" s="28"/>
      <c r="R2488" s="28"/>
      <c r="S2488" s="28"/>
    </row>
    <row r="2489" spans="1:19" x14ac:dyDescent="0.25">
      <c r="A2489" s="28"/>
      <c r="B2489" s="28"/>
      <c r="C2489" s="28"/>
      <c r="D2489" s="28"/>
      <c r="E2489" s="28"/>
      <c r="F2489" s="28"/>
      <c r="G2489" s="28"/>
      <c r="H2489" s="28"/>
      <c r="I2489" s="28"/>
      <c r="J2489" s="28"/>
      <c r="K2489" s="28"/>
      <c r="L2489" s="28"/>
      <c r="M2489" s="28"/>
      <c r="N2489" s="28"/>
      <c r="O2489" s="28"/>
      <c r="P2489" s="28"/>
      <c r="Q2489" s="28"/>
      <c r="R2489" s="28"/>
      <c r="S2489" s="28"/>
    </row>
    <row r="2490" spans="1:19" x14ac:dyDescent="0.25">
      <c r="A2490" s="28"/>
      <c r="B2490" s="28"/>
      <c r="C2490" s="28"/>
      <c r="D2490" s="28"/>
      <c r="E2490" s="28"/>
      <c r="F2490" s="28"/>
      <c r="G2490" s="28"/>
      <c r="H2490" s="28"/>
      <c r="I2490" s="28"/>
      <c r="J2490" s="28"/>
      <c r="K2490" s="28"/>
      <c r="L2490" s="28"/>
      <c r="M2490" s="28"/>
      <c r="N2490" s="28"/>
      <c r="O2490" s="28"/>
      <c r="P2490" s="28"/>
      <c r="Q2490" s="28"/>
      <c r="R2490" s="28"/>
      <c r="S2490" s="28"/>
    </row>
    <row r="2491" spans="1:19" x14ac:dyDescent="0.25">
      <c r="A2491" s="28"/>
      <c r="B2491" s="28"/>
      <c r="C2491" s="28"/>
      <c r="D2491" s="28"/>
      <c r="E2491" s="28"/>
      <c r="F2491" s="28"/>
      <c r="G2491" s="28"/>
      <c r="H2491" s="28"/>
      <c r="I2491" s="28"/>
      <c r="J2491" s="28"/>
      <c r="K2491" s="28"/>
      <c r="L2491" s="28"/>
      <c r="M2491" s="28"/>
      <c r="N2491" s="28"/>
      <c r="O2491" s="28"/>
      <c r="P2491" s="28"/>
      <c r="Q2491" s="28"/>
      <c r="R2491" s="28"/>
      <c r="S2491" s="28"/>
    </row>
    <row r="2492" spans="1:19" x14ac:dyDescent="0.25">
      <c r="A2492" s="28"/>
      <c r="B2492" s="28"/>
      <c r="C2492" s="28"/>
      <c r="D2492" s="28"/>
      <c r="E2492" s="28"/>
      <c r="F2492" s="28"/>
      <c r="G2492" s="28"/>
      <c r="H2492" s="28"/>
      <c r="I2492" s="28"/>
      <c r="J2492" s="28"/>
      <c r="K2492" s="28"/>
      <c r="L2492" s="28"/>
      <c r="M2492" s="28"/>
      <c r="N2492" s="28"/>
      <c r="O2492" s="28"/>
      <c r="P2492" s="28"/>
      <c r="Q2492" s="28"/>
      <c r="R2492" s="28"/>
      <c r="S2492" s="28"/>
    </row>
    <row r="2493" spans="1:19" x14ac:dyDescent="0.25">
      <c r="A2493" s="28"/>
      <c r="B2493" s="28"/>
      <c r="C2493" s="28"/>
      <c r="D2493" s="28"/>
      <c r="E2493" s="28"/>
      <c r="F2493" s="28"/>
      <c r="G2493" s="28"/>
      <c r="H2493" s="28"/>
      <c r="I2493" s="28"/>
      <c r="J2493" s="28"/>
      <c r="K2493" s="28"/>
      <c r="L2493" s="28"/>
      <c r="M2493" s="28"/>
      <c r="N2493" s="28"/>
      <c r="O2493" s="28"/>
      <c r="P2493" s="28"/>
      <c r="Q2493" s="28"/>
      <c r="R2493" s="28"/>
      <c r="S2493" s="28"/>
    </row>
    <row r="2494" spans="1:19" x14ac:dyDescent="0.25">
      <c r="A2494" s="28"/>
      <c r="B2494" s="28"/>
      <c r="C2494" s="28"/>
      <c r="D2494" s="28"/>
      <c r="E2494" s="28"/>
      <c r="F2494" s="28"/>
      <c r="G2494" s="28"/>
      <c r="H2494" s="28"/>
      <c r="I2494" s="28"/>
      <c r="J2494" s="28"/>
      <c r="K2494" s="28"/>
      <c r="L2494" s="28"/>
      <c r="M2494" s="28"/>
      <c r="N2494" s="28"/>
      <c r="O2494" s="28"/>
      <c r="P2494" s="28"/>
      <c r="Q2494" s="28"/>
      <c r="R2494" s="28"/>
      <c r="S2494" s="28"/>
    </row>
    <row r="2495" spans="1:19" x14ac:dyDescent="0.25">
      <c r="A2495" s="28"/>
      <c r="B2495" s="28"/>
      <c r="C2495" s="28"/>
      <c r="D2495" s="28"/>
      <c r="E2495" s="28"/>
      <c r="F2495" s="28"/>
      <c r="G2495" s="28"/>
      <c r="H2495" s="28"/>
      <c r="I2495" s="28"/>
      <c r="J2495" s="28"/>
      <c r="K2495" s="28"/>
      <c r="L2495" s="28"/>
      <c r="M2495" s="28"/>
      <c r="N2495" s="28"/>
      <c r="O2495" s="28"/>
      <c r="P2495" s="28"/>
      <c r="Q2495" s="28"/>
      <c r="R2495" s="28"/>
      <c r="S2495" s="28"/>
    </row>
    <row r="2496" spans="1:19" x14ac:dyDescent="0.25">
      <c r="A2496" s="28"/>
      <c r="B2496" s="28"/>
      <c r="C2496" s="28"/>
      <c r="D2496" s="28"/>
      <c r="E2496" s="28"/>
      <c r="F2496" s="28"/>
      <c r="G2496" s="28"/>
      <c r="H2496" s="28"/>
      <c r="I2496" s="28"/>
      <c r="J2496" s="28"/>
      <c r="K2496" s="28"/>
      <c r="L2496" s="28"/>
      <c r="M2496" s="28"/>
      <c r="N2496" s="28"/>
      <c r="O2496" s="28"/>
      <c r="P2496" s="28"/>
      <c r="Q2496" s="28"/>
      <c r="R2496" s="28"/>
      <c r="S2496" s="28"/>
    </row>
    <row r="2497" spans="1:19" x14ac:dyDescent="0.25">
      <c r="A2497" s="28"/>
      <c r="B2497" s="28"/>
      <c r="C2497" s="28"/>
      <c r="D2497" s="28"/>
      <c r="E2497" s="28"/>
      <c r="F2497" s="28"/>
      <c r="G2497" s="28"/>
      <c r="H2497" s="28"/>
      <c r="I2497" s="28"/>
      <c r="J2497" s="28"/>
      <c r="K2497" s="28"/>
      <c r="L2497" s="28"/>
      <c r="M2497" s="28"/>
      <c r="N2497" s="28"/>
      <c r="O2497" s="28"/>
      <c r="P2497" s="28"/>
      <c r="Q2497" s="28"/>
      <c r="R2497" s="28"/>
      <c r="S2497" s="28"/>
    </row>
    <row r="2498" spans="1:19" x14ac:dyDescent="0.25">
      <c r="A2498" s="28"/>
      <c r="B2498" s="28"/>
      <c r="C2498" s="28"/>
      <c r="D2498" s="28"/>
      <c r="E2498" s="28"/>
      <c r="F2498" s="28"/>
      <c r="G2498" s="28"/>
      <c r="H2498" s="28"/>
      <c r="I2498" s="28"/>
      <c r="J2498" s="28"/>
      <c r="K2498" s="28"/>
      <c r="L2498" s="28"/>
      <c r="M2498" s="28"/>
      <c r="N2498" s="28"/>
      <c r="O2498" s="28"/>
      <c r="P2498" s="28"/>
      <c r="Q2498" s="28"/>
      <c r="R2498" s="28"/>
      <c r="S2498" s="28"/>
    </row>
    <row r="2499" spans="1:19" x14ac:dyDescent="0.25">
      <c r="A2499" s="28"/>
      <c r="B2499" s="28"/>
      <c r="C2499" s="28"/>
      <c r="D2499" s="28"/>
      <c r="E2499" s="28"/>
      <c r="F2499" s="28"/>
      <c r="G2499" s="28"/>
      <c r="H2499" s="28"/>
      <c r="I2499" s="28"/>
      <c r="J2499" s="28"/>
      <c r="K2499" s="28"/>
      <c r="L2499" s="28"/>
      <c r="M2499" s="28"/>
      <c r="N2499" s="28"/>
      <c r="O2499" s="28"/>
      <c r="P2499" s="28"/>
      <c r="Q2499" s="28"/>
      <c r="R2499" s="28"/>
      <c r="S2499" s="28"/>
    </row>
    <row r="2500" spans="1:19" x14ac:dyDescent="0.25">
      <c r="A2500" s="28"/>
      <c r="B2500" s="28"/>
      <c r="C2500" s="28"/>
      <c r="D2500" s="28"/>
      <c r="E2500" s="28"/>
      <c r="F2500" s="28"/>
      <c r="G2500" s="28"/>
      <c r="H2500" s="28"/>
      <c r="I2500" s="28"/>
      <c r="J2500" s="28"/>
      <c r="K2500" s="28"/>
      <c r="L2500" s="28"/>
      <c r="M2500" s="28"/>
      <c r="N2500" s="28"/>
      <c r="O2500" s="28"/>
      <c r="P2500" s="28"/>
      <c r="Q2500" s="28"/>
      <c r="R2500" s="28"/>
      <c r="S2500" s="28"/>
    </row>
    <row r="2501" spans="1:19" x14ac:dyDescent="0.25">
      <c r="A2501" s="28"/>
      <c r="B2501" s="28"/>
      <c r="C2501" s="28"/>
      <c r="D2501" s="28"/>
      <c r="E2501" s="28"/>
      <c r="F2501" s="28"/>
      <c r="G2501" s="28"/>
      <c r="H2501" s="28"/>
      <c r="I2501" s="28"/>
      <c r="J2501" s="28"/>
      <c r="K2501" s="28"/>
      <c r="L2501" s="28"/>
      <c r="M2501" s="28"/>
      <c r="N2501" s="28"/>
      <c r="O2501" s="28"/>
      <c r="P2501" s="28"/>
      <c r="Q2501" s="28"/>
      <c r="R2501" s="28"/>
      <c r="S2501" s="28"/>
    </row>
    <row r="2502" spans="1:19" x14ac:dyDescent="0.25">
      <c r="A2502" s="28"/>
      <c r="B2502" s="28"/>
      <c r="C2502" s="28"/>
      <c r="D2502" s="28"/>
      <c r="E2502" s="28"/>
      <c r="F2502" s="28"/>
      <c r="G2502" s="28"/>
      <c r="H2502" s="28"/>
      <c r="I2502" s="28"/>
      <c r="J2502" s="28"/>
      <c r="K2502" s="28"/>
      <c r="L2502" s="28"/>
      <c r="M2502" s="28"/>
      <c r="N2502" s="28"/>
      <c r="O2502" s="28"/>
      <c r="P2502" s="28"/>
      <c r="Q2502" s="28"/>
      <c r="R2502" s="28"/>
      <c r="S2502" s="28"/>
    </row>
    <row r="2503" spans="1:19" x14ac:dyDescent="0.25">
      <c r="A2503" s="28"/>
      <c r="B2503" s="28"/>
      <c r="C2503" s="28"/>
      <c r="D2503" s="28"/>
      <c r="E2503" s="28"/>
      <c r="F2503" s="28"/>
      <c r="G2503" s="28"/>
      <c r="H2503" s="28"/>
      <c r="I2503" s="28"/>
      <c r="J2503" s="28"/>
      <c r="K2503" s="28"/>
      <c r="L2503" s="28"/>
      <c r="M2503" s="28"/>
      <c r="N2503" s="28"/>
      <c r="O2503" s="28"/>
      <c r="P2503" s="28"/>
      <c r="Q2503" s="28"/>
      <c r="R2503" s="28"/>
      <c r="S2503" s="28"/>
    </row>
    <row r="2504" spans="1:19" x14ac:dyDescent="0.25">
      <c r="A2504" s="28"/>
      <c r="B2504" s="28"/>
      <c r="C2504" s="28"/>
      <c r="D2504" s="28"/>
      <c r="E2504" s="28"/>
      <c r="F2504" s="28"/>
      <c r="G2504" s="28"/>
      <c r="H2504" s="28"/>
      <c r="I2504" s="28"/>
      <c r="J2504" s="28"/>
      <c r="K2504" s="28"/>
      <c r="L2504" s="28"/>
      <c r="M2504" s="28"/>
      <c r="N2504" s="28"/>
      <c r="O2504" s="28"/>
      <c r="P2504" s="28"/>
      <c r="Q2504" s="28"/>
      <c r="R2504" s="28"/>
      <c r="S2504" s="28"/>
    </row>
    <row r="2505" spans="1:19" x14ac:dyDescent="0.25">
      <c r="A2505" s="28"/>
      <c r="B2505" s="28"/>
      <c r="C2505" s="28"/>
      <c r="D2505" s="28"/>
      <c r="E2505" s="28"/>
      <c r="F2505" s="28"/>
      <c r="G2505" s="28"/>
      <c r="H2505" s="28"/>
      <c r="I2505" s="28"/>
      <c r="J2505" s="28"/>
      <c r="K2505" s="28"/>
      <c r="L2505" s="28"/>
      <c r="M2505" s="28"/>
      <c r="N2505" s="28"/>
      <c r="O2505" s="28"/>
      <c r="P2505" s="28"/>
      <c r="Q2505" s="28"/>
      <c r="R2505" s="28"/>
      <c r="S2505" s="28"/>
    </row>
    <row r="2506" spans="1:19" x14ac:dyDescent="0.25">
      <c r="A2506" s="28"/>
      <c r="B2506" s="28"/>
      <c r="C2506" s="28"/>
      <c r="D2506" s="28"/>
      <c r="E2506" s="28"/>
      <c r="F2506" s="28"/>
      <c r="G2506" s="28"/>
      <c r="H2506" s="28"/>
      <c r="I2506" s="28"/>
      <c r="J2506" s="28"/>
      <c r="K2506" s="28"/>
      <c r="L2506" s="28"/>
      <c r="M2506" s="28"/>
      <c r="N2506" s="28"/>
      <c r="O2506" s="28"/>
      <c r="P2506" s="28"/>
      <c r="Q2506" s="28"/>
      <c r="R2506" s="28"/>
      <c r="S2506" s="28"/>
    </row>
    <row r="2507" spans="1:19" x14ac:dyDescent="0.25">
      <c r="A2507" s="28"/>
      <c r="B2507" s="28"/>
      <c r="C2507" s="28"/>
      <c r="D2507" s="28"/>
      <c r="E2507" s="28"/>
      <c r="F2507" s="28"/>
      <c r="G2507" s="28"/>
      <c r="H2507" s="28"/>
      <c r="I2507" s="28"/>
      <c r="J2507" s="28"/>
      <c r="K2507" s="28"/>
      <c r="L2507" s="28"/>
      <c r="M2507" s="28"/>
      <c r="N2507" s="28"/>
      <c r="O2507" s="28"/>
      <c r="P2507" s="28"/>
      <c r="Q2507" s="28"/>
      <c r="R2507" s="28"/>
      <c r="S2507" s="28"/>
    </row>
    <row r="2508" spans="1:19" x14ac:dyDescent="0.25">
      <c r="A2508" s="28"/>
      <c r="B2508" s="28"/>
      <c r="C2508" s="28"/>
      <c r="D2508" s="28"/>
      <c r="E2508" s="28"/>
      <c r="F2508" s="28"/>
      <c r="G2508" s="28"/>
      <c r="H2508" s="28"/>
      <c r="I2508" s="28"/>
      <c r="J2508" s="28"/>
      <c r="K2508" s="28"/>
      <c r="L2508" s="28"/>
      <c r="M2508" s="28"/>
      <c r="N2508" s="28"/>
      <c r="O2508" s="28"/>
      <c r="P2508" s="28"/>
      <c r="Q2508" s="28"/>
      <c r="R2508" s="28"/>
      <c r="S2508" s="28"/>
    </row>
    <row r="2509" spans="1:19" x14ac:dyDescent="0.25">
      <c r="A2509" s="28"/>
      <c r="B2509" s="28"/>
      <c r="C2509" s="28"/>
      <c r="D2509" s="28"/>
      <c r="E2509" s="28"/>
      <c r="F2509" s="28"/>
      <c r="G2509" s="28"/>
      <c r="H2509" s="28"/>
      <c r="I2509" s="28"/>
      <c r="J2509" s="28"/>
      <c r="K2509" s="28"/>
      <c r="L2509" s="28"/>
      <c r="M2509" s="28"/>
      <c r="N2509" s="28"/>
      <c r="O2509" s="28"/>
      <c r="P2509" s="28"/>
      <c r="Q2509" s="28"/>
      <c r="R2509" s="28"/>
      <c r="S2509" s="28"/>
    </row>
    <row r="2510" spans="1:19" x14ac:dyDescent="0.25">
      <c r="A2510" s="28"/>
      <c r="B2510" s="28"/>
      <c r="C2510" s="28"/>
      <c r="D2510" s="28"/>
      <c r="E2510" s="28"/>
      <c r="F2510" s="28"/>
      <c r="G2510" s="28"/>
      <c r="H2510" s="28"/>
      <c r="I2510" s="28"/>
      <c r="J2510" s="28"/>
      <c r="K2510" s="28"/>
      <c r="L2510" s="28"/>
      <c r="M2510" s="28"/>
      <c r="N2510" s="28"/>
      <c r="O2510" s="28"/>
      <c r="P2510" s="28"/>
      <c r="Q2510" s="28"/>
      <c r="R2510" s="28"/>
      <c r="S2510" s="28"/>
    </row>
    <row r="2511" spans="1:19" x14ac:dyDescent="0.25">
      <c r="A2511" s="28"/>
      <c r="B2511" s="28"/>
      <c r="C2511" s="28"/>
      <c r="D2511" s="28"/>
      <c r="E2511" s="28"/>
      <c r="F2511" s="28"/>
      <c r="G2511" s="28"/>
      <c r="H2511" s="28"/>
      <c r="I2511" s="28"/>
      <c r="J2511" s="28"/>
      <c r="K2511" s="28"/>
      <c r="L2511" s="28"/>
      <c r="M2511" s="28"/>
      <c r="N2511" s="28"/>
      <c r="O2511" s="28"/>
      <c r="P2511" s="28"/>
      <c r="Q2511" s="28"/>
      <c r="R2511" s="28"/>
      <c r="S2511" s="28"/>
    </row>
    <row r="2512" spans="1:19" x14ac:dyDescent="0.25">
      <c r="A2512" s="28"/>
      <c r="B2512" s="28"/>
      <c r="C2512" s="28"/>
      <c r="D2512" s="28"/>
      <c r="E2512" s="28"/>
      <c r="F2512" s="28"/>
      <c r="G2512" s="28"/>
      <c r="H2512" s="28"/>
      <c r="I2512" s="28"/>
      <c r="J2512" s="28"/>
      <c r="K2512" s="28"/>
      <c r="L2512" s="28"/>
      <c r="M2512" s="28"/>
      <c r="N2512" s="28"/>
      <c r="O2512" s="28"/>
      <c r="P2512" s="28"/>
      <c r="Q2512" s="28"/>
      <c r="R2512" s="28"/>
      <c r="S2512" s="28"/>
    </row>
    <row r="2513" spans="1:19" x14ac:dyDescent="0.25">
      <c r="A2513" s="28"/>
      <c r="B2513" s="28"/>
      <c r="C2513" s="28"/>
      <c r="D2513" s="28"/>
      <c r="E2513" s="28"/>
      <c r="F2513" s="28"/>
      <c r="G2513" s="28"/>
      <c r="H2513" s="28"/>
      <c r="I2513" s="28"/>
      <c r="J2513" s="28"/>
      <c r="K2513" s="28"/>
      <c r="L2513" s="28"/>
      <c r="M2513" s="28"/>
      <c r="N2513" s="28"/>
      <c r="O2513" s="28"/>
      <c r="P2513" s="28"/>
      <c r="Q2513" s="28"/>
      <c r="R2513" s="28"/>
      <c r="S2513" s="28"/>
    </row>
    <row r="2514" spans="1:19" x14ac:dyDescent="0.25">
      <c r="A2514" s="28"/>
      <c r="B2514" s="28"/>
      <c r="C2514" s="28"/>
      <c r="D2514" s="28"/>
      <c r="E2514" s="28"/>
      <c r="F2514" s="28"/>
      <c r="G2514" s="28"/>
      <c r="H2514" s="28"/>
      <c r="I2514" s="28"/>
      <c r="J2514" s="28"/>
      <c r="K2514" s="28"/>
      <c r="L2514" s="28"/>
      <c r="M2514" s="28"/>
      <c r="N2514" s="28"/>
      <c r="O2514" s="28"/>
      <c r="P2514" s="28"/>
      <c r="Q2514" s="28"/>
      <c r="R2514" s="28"/>
      <c r="S2514" s="28"/>
    </row>
    <row r="2515" spans="1:19" x14ac:dyDescent="0.25">
      <c r="A2515" s="28"/>
      <c r="B2515" s="28"/>
      <c r="C2515" s="28"/>
      <c r="D2515" s="28"/>
      <c r="E2515" s="28"/>
      <c r="F2515" s="28"/>
      <c r="G2515" s="28"/>
      <c r="H2515" s="28"/>
      <c r="I2515" s="28"/>
      <c r="J2515" s="28"/>
      <c r="K2515" s="28"/>
      <c r="L2515" s="28"/>
      <c r="M2515" s="28"/>
      <c r="N2515" s="28"/>
      <c r="O2515" s="28"/>
      <c r="P2515" s="28"/>
      <c r="Q2515" s="28"/>
      <c r="R2515" s="28"/>
      <c r="S2515" s="28"/>
    </row>
    <row r="2516" spans="1:19" x14ac:dyDescent="0.25">
      <c r="A2516" s="28"/>
      <c r="B2516" s="28"/>
      <c r="C2516" s="28"/>
      <c r="D2516" s="28"/>
      <c r="E2516" s="28"/>
      <c r="F2516" s="28"/>
      <c r="G2516" s="28"/>
      <c r="H2516" s="28"/>
      <c r="I2516" s="28"/>
      <c r="J2516" s="28"/>
      <c r="K2516" s="28"/>
      <c r="L2516" s="28"/>
      <c r="M2516" s="28"/>
      <c r="N2516" s="28"/>
      <c r="O2516" s="28"/>
      <c r="P2516" s="28"/>
      <c r="Q2516" s="28"/>
      <c r="R2516" s="28"/>
      <c r="S2516" s="28"/>
    </row>
    <row r="2517" spans="1:19" x14ac:dyDescent="0.25">
      <c r="A2517" s="28"/>
      <c r="B2517" s="28"/>
      <c r="C2517" s="28"/>
      <c r="D2517" s="28"/>
      <c r="E2517" s="28"/>
      <c r="F2517" s="28"/>
      <c r="G2517" s="28"/>
      <c r="H2517" s="28"/>
      <c r="I2517" s="28"/>
      <c r="J2517" s="28"/>
      <c r="K2517" s="28"/>
      <c r="L2517" s="28"/>
      <c r="M2517" s="28"/>
      <c r="N2517" s="28"/>
      <c r="O2517" s="28"/>
      <c r="P2517" s="28"/>
      <c r="Q2517" s="28"/>
      <c r="R2517" s="28"/>
      <c r="S2517" s="28"/>
    </row>
    <row r="2518" spans="1:19" x14ac:dyDescent="0.25">
      <c r="A2518" s="28"/>
      <c r="B2518" s="28"/>
      <c r="C2518" s="28"/>
      <c r="D2518" s="28"/>
      <c r="E2518" s="28"/>
      <c r="F2518" s="28"/>
      <c r="G2518" s="28"/>
      <c r="H2518" s="28"/>
      <c r="I2518" s="28"/>
      <c r="J2518" s="28"/>
      <c r="K2518" s="28"/>
      <c r="L2518" s="28"/>
      <c r="M2518" s="28"/>
      <c r="N2518" s="28"/>
      <c r="O2518" s="28"/>
      <c r="P2518" s="28"/>
      <c r="Q2518" s="28"/>
      <c r="R2518" s="28"/>
      <c r="S2518" s="28"/>
    </row>
    <row r="2519" spans="1:19" x14ac:dyDescent="0.25">
      <c r="A2519" s="28"/>
      <c r="B2519" s="28"/>
      <c r="C2519" s="28"/>
      <c r="D2519" s="28"/>
      <c r="E2519" s="28"/>
      <c r="F2519" s="28"/>
      <c r="G2519" s="28"/>
      <c r="H2519" s="28"/>
      <c r="I2519" s="28"/>
      <c r="J2519" s="28"/>
      <c r="K2519" s="28"/>
      <c r="L2519" s="28"/>
      <c r="M2519" s="28"/>
      <c r="N2519" s="28"/>
      <c r="O2519" s="28"/>
      <c r="P2519" s="28"/>
      <c r="Q2519" s="28"/>
      <c r="R2519" s="28"/>
      <c r="S2519" s="28"/>
    </row>
    <row r="2520" spans="1:19" x14ac:dyDescent="0.25">
      <c r="A2520" s="28"/>
      <c r="B2520" s="28"/>
      <c r="C2520" s="28"/>
      <c r="D2520" s="28"/>
      <c r="E2520" s="28"/>
      <c r="F2520" s="28"/>
      <c r="G2520" s="28"/>
      <c r="H2520" s="28"/>
      <c r="I2520" s="28"/>
      <c r="J2520" s="28"/>
      <c r="K2520" s="28"/>
      <c r="L2520" s="28"/>
      <c r="M2520" s="28"/>
      <c r="N2520" s="28"/>
      <c r="O2520" s="28"/>
      <c r="P2520" s="28"/>
      <c r="Q2520" s="28"/>
      <c r="R2520" s="28"/>
      <c r="S2520" s="28"/>
    </row>
    <row r="2521" spans="1:19" x14ac:dyDescent="0.25">
      <c r="A2521" s="28"/>
      <c r="B2521" s="28"/>
      <c r="C2521" s="28"/>
      <c r="D2521" s="28"/>
      <c r="E2521" s="28"/>
      <c r="F2521" s="28"/>
      <c r="G2521" s="28"/>
      <c r="H2521" s="28"/>
      <c r="I2521" s="28"/>
      <c r="J2521" s="28"/>
      <c r="K2521" s="28"/>
      <c r="L2521" s="28"/>
      <c r="M2521" s="28"/>
      <c r="N2521" s="28"/>
      <c r="O2521" s="28"/>
      <c r="P2521" s="28"/>
      <c r="Q2521" s="28"/>
      <c r="R2521" s="28"/>
      <c r="S2521" s="28"/>
    </row>
    <row r="2522" spans="1:19" x14ac:dyDescent="0.25">
      <c r="A2522" s="28"/>
      <c r="B2522" s="28"/>
      <c r="C2522" s="28"/>
      <c r="D2522" s="28"/>
      <c r="E2522" s="28"/>
      <c r="F2522" s="28"/>
      <c r="G2522" s="28"/>
      <c r="H2522" s="28"/>
      <c r="I2522" s="28"/>
      <c r="J2522" s="28"/>
      <c r="K2522" s="28"/>
      <c r="L2522" s="28"/>
      <c r="M2522" s="28"/>
      <c r="N2522" s="28"/>
      <c r="O2522" s="28"/>
      <c r="P2522" s="28"/>
      <c r="Q2522" s="28"/>
      <c r="R2522" s="28"/>
      <c r="S2522" s="28"/>
    </row>
    <row r="2523" spans="1:19" x14ac:dyDescent="0.25">
      <c r="A2523" s="28"/>
      <c r="B2523" s="28"/>
      <c r="C2523" s="28"/>
      <c r="D2523" s="28"/>
      <c r="E2523" s="28"/>
      <c r="F2523" s="28"/>
      <c r="G2523" s="28"/>
      <c r="H2523" s="28"/>
      <c r="I2523" s="28"/>
      <c r="J2523" s="28"/>
      <c r="K2523" s="28"/>
      <c r="L2523" s="28"/>
      <c r="M2523" s="28"/>
      <c r="N2523" s="28"/>
      <c r="O2523" s="28"/>
      <c r="P2523" s="28"/>
      <c r="Q2523" s="28"/>
      <c r="R2523" s="28"/>
      <c r="S2523" s="28"/>
    </row>
    <row r="2524" spans="1:19" x14ac:dyDescent="0.25">
      <c r="A2524" s="28"/>
      <c r="B2524" s="28"/>
      <c r="C2524" s="28"/>
      <c r="D2524" s="28"/>
      <c r="E2524" s="28"/>
      <c r="F2524" s="28"/>
      <c r="G2524" s="28"/>
      <c r="H2524" s="28"/>
      <c r="I2524" s="28"/>
      <c r="J2524" s="28"/>
      <c r="K2524" s="28"/>
      <c r="L2524" s="28"/>
      <c r="M2524" s="28"/>
      <c r="N2524" s="28"/>
      <c r="O2524" s="28"/>
      <c r="P2524" s="28"/>
      <c r="Q2524" s="28"/>
      <c r="R2524" s="28"/>
      <c r="S2524" s="28"/>
    </row>
    <row r="2525" spans="1:19" x14ac:dyDescent="0.25">
      <c r="A2525" s="28"/>
      <c r="B2525" s="28"/>
      <c r="C2525" s="28"/>
      <c r="D2525" s="28"/>
      <c r="E2525" s="28"/>
      <c r="F2525" s="28"/>
      <c r="G2525" s="28"/>
      <c r="H2525" s="28"/>
      <c r="I2525" s="28"/>
      <c r="J2525" s="28"/>
      <c r="K2525" s="28"/>
      <c r="L2525" s="28"/>
      <c r="M2525" s="28"/>
      <c r="N2525" s="28"/>
      <c r="O2525" s="28"/>
      <c r="P2525" s="28"/>
      <c r="Q2525" s="28"/>
      <c r="R2525" s="28"/>
      <c r="S2525" s="28"/>
    </row>
    <row r="2526" spans="1:19" x14ac:dyDescent="0.25">
      <c r="A2526" s="28"/>
      <c r="B2526" s="28"/>
      <c r="C2526" s="28"/>
      <c r="D2526" s="28"/>
      <c r="E2526" s="28"/>
      <c r="F2526" s="28"/>
      <c r="G2526" s="28"/>
      <c r="H2526" s="28"/>
      <c r="I2526" s="28"/>
      <c r="J2526" s="28"/>
      <c r="K2526" s="28"/>
      <c r="L2526" s="28"/>
      <c r="M2526" s="28"/>
      <c r="N2526" s="28"/>
      <c r="O2526" s="28"/>
      <c r="P2526" s="28"/>
      <c r="Q2526" s="28"/>
      <c r="R2526" s="28"/>
      <c r="S2526" s="28"/>
    </row>
    <row r="2527" spans="1:19" x14ac:dyDescent="0.25">
      <c r="A2527" s="28"/>
      <c r="B2527" s="28"/>
      <c r="C2527" s="28"/>
      <c r="D2527" s="28"/>
      <c r="E2527" s="28"/>
      <c r="F2527" s="28"/>
      <c r="G2527" s="28"/>
      <c r="H2527" s="28"/>
      <c r="I2527" s="28"/>
      <c r="J2527" s="28"/>
      <c r="K2527" s="28"/>
      <c r="L2527" s="28"/>
      <c r="M2527" s="28"/>
      <c r="N2527" s="28"/>
      <c r="O2527" s="28"/>
      <c r="P2527" s="28"/>
      <c r="Q2527" s="28"/>
      <c r="R2527" s="28"/>
      <c r="S2527" s="28"/>
    </row>
    <row r="2528" spans="1:19" x14ac:dyDescent="0.25">
      <c r="A2528" s="28"/>
      <c r="B2528" s="28"/>
      <c r="C2528" s="28"/>
      <c r="D2528" s="28"/>
      <c r="E2528" s="28"/>
      <c r="F2528" s="28"/>
      <c r="G2528" s="28"/>
      <c r="H2528" s="28"/>
      <c r="I2528" s="28"/>
      <c r="J2528" s="28"/>
      <c r="K2528" s="28"/>
      <c r="L2528" s="28"/>
      <c r="M2528" s="28"/>
      <c r="N2528" s="28"/>
      <c r="O2528" s="28"/>
      <c r="P2528" s="28"/>
      <c r="Q2528" s="28"/>
      <c r="R2528" s="28"/>
      <c r="S2528" s="28"/>
    </row>
    <row r="2529" spans="1:19" x14ac:dyDescent="0.25">
      <c r="A2529" s="28"/>
      <c r="B2529" s="28"/>
      <c r="C2529" s="28"/>
      <c r="D2529" s="28"/>
      <c r="E2529" s="28"/>
      <c r="F2529" s="28"/>
      <c r="G2529" s="28"/>
      <c r="H2529" s="28"/>
      <c r="I2529" s="28"/>
      <c r="J2529" s="28"/>
      <c r="K2529" s="28"/>
      <c r="L2529" s="28"/>
      <c r="M2529" s="28"/>
      <c r="N2529" s="28"/>
      <c r="O2529" s="28"/>
      <c r="P2529" s="28"/>
      <c r="Q2529" s="28"/>
      <c r="R2529" s="28"/>
      <c r="S2529" s="28"/>
    </row>
    <row r="2530" spans="1:19" x14ac:dyDescent="0.25">
      <c r="A2530" s="28"/>
      <c r="B2530" s="28"/>
      <c r="C2530" s="28"/>
      <c r="D2530" s="28"/>
      <c r="E2530" s="28"/>
      <c r="F2530" s="28"/>
      <c r="G2530" s="28"/>
      <c r="H2530" s="28"/>
      <c r="I2530" s="28"/>
      <c r="J2530" s="28"/>
      <c r="K2530" s="28"/>
      <c r="L2530" s="28"/>
      <c r="M2530" s="28"/>
      <c r="N2530" s="28"/>
      <c r="O2530" s="28"/>
      <c r="P2530" s="28"/>
      <c r="Q2530" s="28"/>
      <c r="R2530" s="28"/>
      <c r="S2530" s="28"/>
    </row>
    <row r="2531" spans="1:19" x14ac:dyDescent="0.25">
      <c r="A2531" s="28"/>
      <c r="B2531" s="28"/>
      <c r="C2531" s="28"/>
      <c r="D2531" s="28"/>
      <c r="E2531" s="28"/>
      <c r="F2531" s="28"/>
      <c r="G2531" s="28"/>
      <c r="H2531" s="28"/>
      <c r="I2531" s="28"/>
      <c r="J2531" s="28"/>
      <c r="K2531" s="28"/>
      <c r="L2531" s="28"/>
      <c r="M2531" s="28"/>
      <c r="N2531" s="28"/>
      <c r="O2531" s="28"/>
      <c r="P2531" s="28"/>
      <c r="Q2531" s="28"/>
      <c r="R2531" s="28"/>
      <c r="S2531" s="28"/>
    </row>
    <row r="2532" spans="1:19" x14ac:dyDescent="0.25">
      <c r="A2532" s="28"/>
      <c r="B2532" s="28"/>
      <c r="C2532" s="28"/>
      <c r="D2532" s="28"/>
      <c r="E2532" s="28"/>
      <c r="F2532" s="28"/>
      <c r="G2532" s="28"/>
      <c r="H2532" s="28"/>
      <c r="I2532" s="28"/>
      <c r="J2532" s="28"/>
      <c r="K2532" s="28"/>
      <c r="L2532" s="28"/>
      <c r="M2532" s="28"/>
      <c r="N2532" s="28"/>
      <c r="O2532" s="28"/>
      <c r="P2532" s="28"/>
      <c r="Q2532" s="28"/>
      <c r="R2532" s="28"/>
      <c r="S2532" s="28"/>
    </row>
    <row r="2533" spans="1:19" x14ac:dyDescent="0.25">
      <c r="A2533" s="28"/>
      <c r="B2533" s="28"/>
      <c r="C2533" s="28"/>
      <c r="D2533" s="28"/>
      <c r="E2533" s="28"/>
      <c r="F2533" s="28"/>
      <c r="G2533" s="28"/>
      <c r="H2533" s="28"/>
      <c r="I2533" s="28"/>
      <c r="J2533" s="28"/>
      <c r="K2533" s="28"/>
      <c r="L2533" s="28"/>
      <c r="M2533" s="28"/>
      <c r="N2533" s="28"/>
      <c r="O2533" s="28"/>
      <c r="P2533" s="28"/>
      <c r="Q2533" s="28"/>
      <c r="R2533" s="28"/>
      <c r="S2533" s="28"/>
    </row>
    <row r="2534" spans="1:19" x14ac:dyDescent="0.25">
      <c r="A2534" s="28"/>
      <c r="B2534" s="28"/>
      <c r="C2534" s="28"/>
      <c r="D2534" s="28"/>
      <c r="E2534" s="28"/>
      <c r="F2534" s="28"/>
      <c r="G2534" s="28"/>
      <c r="H2534" s="28"/>
      <c r="I2534" s="28"/>
      <c r="J2534" s="28"/>
      <c r="K2534" s="28"/>
      <c r="L2534" s="28"/>
      <c r="M2534" s="28"/>
      <c r="N2534" s="28"/>
      <c r="O2534" s="28"/>
      <c r="P2534" s="28"/>
      <c r="Q2534" s="28"/>
      <c r="R2534" s="28"/>
      <c r="S2534" s="28"/>
    </row>
    <row r="2535" spans="1:19" x14ac:dyDescent="0.25">
      <c r="A2535" s="28"/>
      <c r="B2535" s="28"/>
      <c r="C2535" s="28"/>
      <c r="D2535" s="28"/>
      <c r="E2535" s="28"/>
      <c r="F2535" s="28"/>
      <c r="G2535" s="28"/>
      <c r="H2535" s="28"/>
      <c r="I2535" s="28"/>
      <c r="J2535" s="28"/>
      <c r="K2535" s="28"/>
      <c r="L2535" s="28"/>
      <c r="M2535" s="28"/>
      <c r="N2535" s="28"/>
      <c r="O2535" s="28"/>
      <c r="P2535" s="28"/>
      <c r="Q2535" s="28"/>
      <c r="R2535" s="28"/>
      <c r="S2535" s="28"/>
    </row>
    <row r="2536" spans="1:19" x14ac:dyDescent="0.25">
      <c r="A2536" s="28"/>
      <c r="B2536" s="28"/>
      <c r="C2536" s="28"/>
      <c r="D2536" s="28"/>
      <c r="E2536" s="28"/>
      <c r="F2536" s="28"/>
      <c r="G2536" s="28"/>
      <c r="H2536" s="28"/>
      <c r="I2536" s="28"/>
      <c r="J2536" s="28"/>
      <c r="K2536" s="28"/>
      <c r="L2536" s="28"/>
      <c r="M2536" s="28"/>
      <c r="N2536" s="28"/>
      <c r="O2536" s="28"/>
      <c r="P2536" s="28"/>
      <c r="Q2536" s="28"/>
      <c r="R2536" s="28"/>
      <c r="S2536" s="28"/>
    </row>
    <row r="2537" spans="1:19" x14ac:dyDescent="0.25">
      <c r="A2537" s="28"/>
      <c r="B2537" s="28"/>
      <c r="C2537" s="28"/>
      <c r="D2537" s="28"/>
      <c r="E2537" s="28"/>
      <c r="F2537" s="28"/>
      <c r="G2537" s="28"/>
      <c r="H2537" s="28"/>
      <c r="I2537" s="28"/>
      <c r="J2537" s="28"/>
      <c r="K2537" s="28"/>
      <c r="L2537" s="28"/>
      <c r="M2537" s="28"/>
      <c r="N2537" s="28"/>
      <c r="O2537" s="28"/>
      <c r="P2537" s="28"/>
      <c r="Q2537" s="28"/>
      <c r="R2537" s="28"/>
      <c r="S2537" s="28"/>
    </row>
    <row r="2538" spans="1:19" x14ac:dyDescent="0.25">
      <c r="A2538" s="28"/>
      <c r="B2538" s="28"/>
      <c r="C2538" s="28"/>
      <c r="D2538" s="28"/>
      <c r="E2538" s="28"/>
      <c r="F2538" s="28"/>
      <c r="G2538" s="28"/>
      <c r="H2538" s="28"/>
      <c r="I2538" s="28"/>
      <c r="J2538" s="28"/>
      <c r="K2538" s="28"/>
      <c r="L2538" s="28"/>
      <c r="M2538" s="28"/>
      <c r="N2538" s="28"/>
      <c r="O2538" s="28"/>
      <c r="P2538" s="28"/>
      <c r="Q2538" s="28"/>
      <c r="R2538" s="28"/>
      <c r="S2538" s="28"/>
    </row>
    <row r="2539" spans="1:19" x14ac:dyDescent="0.25">
      <c r="A2539" s="28"/>
      <c r="B2539" s="28"/>
      <c r="C2539" s="28"/>
      <c r="D2539" s="28"/>
      <c r="E2539" s="28"/>
      <c r="F2539" s="28"/>
      <c r="G2539" s="28"/>
      <c r="H2539" s="28"/>
      <c r="I2539" s="28"/>
      <c r="J2539" s="28"/>
      <c r="K2539" s="28"/>
      <c r="L2539" s="28"/>
      <c r="M2539" s="28"/>
      <c r="N2539" s="28"/>
      <c r="O2539" s="28"/>
      <c r="P2539" s="28"/>
      <c r="Q2539" s="28"/>
      <c r="R2539" s="28"/>
      <c r="S2539" s="28"/>
    </row>
    <row r="2540" spans="1:19" x14ac:dyDescent="0.25">
      <c r="A2540" s="28"/>
      <c r="B2540" s="28"/>
      <c r="C2540" s="28"/>
      <c r="D2540" s="28"/>
      <c r="E2540" s="28"/>
      <c r="F2540" s="28"/>
      <c r="G2540" s="28"/>
      <c r="H2540" s="28"/>
      <c r="I2540" s="28"/>
      <c r="J2540" s="28"/>
      <c r="K2540" s="28"/>
      <c r="L2540" s="28"/>
      <c r="M2540" s="28"/>
      <c r="N2540" s="28"/>
      <c r="O2540" s="28"/>
      <c r="P2540" s="28"/>
      <c r="Q2540" s="28"/>
      <c r="R2540" s="28"/>
      <c r="S2540" s="28"/>
    </row>
    <row r="2541" spans="1:19" x14ac:dyDescent="0.25">
      <c r="A2541" s="28"/>
      <c r="B2541" s="28"/>
      <c r="C2541" s="28"/>
      <c r="D2541" s="28"/>
      <c r="E2541" s="28"/>
      <c r="F2541" s="28"/>
      <c r="G2541" s="28"/>
      <c r="H2541" s="28"/>
      <c r="I2541" s="28"/>
      <c r="J2541" s="28"/>
      <c r="K2541" s="28"/>
      <c r="L2541" s="28"/>
      <c r="M2541" s="28"/>
      <c r="N2541" s="28"/>
      <c r="O2541" s="28"/>
      <c r="P2541" s="28"/>
      <c r="Q2541" s="28"/>
      <c r="R2541" s="28"/>
      <c r="S2541" s="28"/>
    </row>
    <row r="2542" spans="1:19" x14ac:dyDescent="0.25">
      <c r="A2542" s="28"/>
      <c r="B2542" s="28"/>
      <c r="C2542" s="28"/>
      <c r="D2542" s="28"/>
      <c r="E2542" s="28"/>
      <c r="F2542" s="28"/>
      <c r="G2542" s="28"/>
      <c r="H2542" s="28"/>
      <c r="I2542" s="28"/>
      <c r="J2542" s="28"/>
      <c r="K2542" s="28"/>
      <c r="L2542" s="28"/>
      <c r="M2542" s="28"/>
      <c r="N2542" s="28"/>
      <c r="O2542" s="28"/>
      <c r="P2542" s="28"/>
      <c r="Q2542" s="28"/>
      <c r="R2542" s="28"/>
      <c r="S2542" s="28"/>
    </row>
    <row r="2543" spans="1:19" x14ac:dyDescent="0.25">
      <c r="A2543" s="28"/>
      <c r="B2543" s="28"/>
      <c r="C2543" s="28"/>
      <c r="D2543" s="28"/>
      <c r="E2543" s="28"/>
      <c r="F2543" s="28"/>
      <c r="G2543" s="28"/>
      <c r="H2543" s="28"/>
      <c r="I2543" s="28"/>
      <c r="J2543" s="28"/>
      <c r="K2543" s="28"/>
      <c r="L2543" s="28"/>
      <c r="M2543" s="28"/>
      <c r="N2543" s="28"/>
      <c r="O2543" s="28"/>
      <c r="P2543" s="28"/>
      <c r="Q2543" s="28"/>
      <c r="R2543" s="28"/>
      <c r="S2543" s="28"/>
    </row>
    <row r="2544" spans="1:19" x14ac:dyDescent="0.25">
      <c r="A2544" s="28"/>
      <c r="B2544" s="28"/>
      <c r="C2544" s="28"/>
      <c r="D2544" s="28"/>
      <c r="E2544" s="28"/>
      <c r="F2544" s="28"/>
      <c r="G2544" s="28"/>
      <c r="H2544" s="28"/>
      <c r="I2544" s="28"/>
      <c r="J2544" s="28"/>
      <c r="K2544" s="28"/>
      <c r="L2544" s="28"/>
      <c r="M2544" s="28"/>
      <c r="N2544" s="28"/>
      <c r="O2544" s="28"/>
      <c r="P2544" s="28"/>
      <c r="Q2544" s="28"/>
      <c r="R2544" s="28"/>
      <c r="S2544" s="28"/>
    </row>
    <row r="2545" spans="1:19" x14ac:dyDescent="0.25">
      <c r="A2545" s="28"/>
      <c r="B2545" s="28"/>
      <c r="C2545" s="28"/>
      <c r="D2545" s="28"/>
      <c r="E2545" s="28"/>
      <c r="F2545" s="28"/>
      <c r="G2545" s="28"/>
      <c r="H2545" s="28"/>
      <c r="I2545" s="28"/>
      <c r="J2545" s="28"/>
      <c r="K2545" s="28"/>
      <c r="L2545" s="28"/>
      <c r="M2545" s="28"/>
      <c r="N2545" s="28"/>
      <c r="O2545" s="28"/>
      <c r="P2545" s="28"/>
      <c r="Q2545" s="28"/>
      <c r="R2545" s="28"/>
      <c r="S2545" s="28"/>
    </row>
    <row r="2546" spans="1:19" x14ac:dyDescent="0.25">
      <c r="A2546" s="28"/>
      <c r="B2546" s="28"/>
      <c r="C2546" s="28"/>
      <c r="D2546" s="28"/>
      <c r="E2546" s="28"/>
      <c r="F2546" s="28"/>
      <c r="G2546" s="28"/>
      <c r="H2546" s="28"/>
      <c r="I2546" s="28"/>
      <c r="J2546" s="28"/>
      <c r="K2546" s="28"/>
      <c r="L2546" s="28"/>
      <c r="M2546" s="28"/>
      <c r="N2546" s="28"/>
      <c r="O2546" s="28"/>
      <c r="P2546" s="28"/>
      <c r="Q2546" s="28"/>
      <c r="R2546" s="28"/>
      <c r="S2546" s="28"/>
    </row>
    <row r="2547" spans="1:19" x14ac:dyDescent="0.25">
      <c r="A2547" s="28"/>
      <c r="B2547" s="28"/>
      <c r="C2547" s="28"/>
      <c r="D2547" s="28"/>
      <c r="E2547" s="28"/>
      <c r="F2547" s="28"/>
      <c r="G2547" s="28"/>
      <c r="H2547" s="28"/>
      <c r="I2547" s="28"/>
      <c r="J2547" s="28"/>
      <c r="K2547" s="28"/>
      <c r="L2547" s="28"/>
      <c r="M2547" s="28"/>
      <c r="N2547" s="28"/>
      <c r="O2547" s="28"/>
      <c r="P2547" s="28"/>
      <c r="Q2547" s="28"/>
      <c r="R2547" s="28"/>
      <c r="S2547" s="28"/>
    </row>
    <row r="2548" spans="1:19" x14ac:dyDescent="0.25">
      <c r="A2548" s="28"/>
      <c r="B2548" s="28"/>
      <c r="C2548" s="28"/>
      <c r="D2548" s="28"/>
      <c r="E2548" s="28"/>
      <c r="F2548" s="28"/>
      <c r="G2548" s="28"/>
      <c r="H2548" s="28"/>
      <c r="I2548" s="28"/>
      <c r="J2548" s="28"/>
      <c r="K2548" s="28"/>
      <c r="L2548" s="28"/>
      <c r="M2548" s="28"/>
      <c r="N2548" s="28"/>
      <c r="O2548" s="28"/>
      <c r="P2548" s="28"/>
      <c r="Q2548" s="28"/>
      <c r="R2548" s="28"/>
      <c r="S2548" s="28"/>
    </row>
    <row r="2549" spans="1:19" x14ac:dyDescent="0.25">
      <c r="A2549" s="28"/>
      <c r="B2549" s="28"/>
      <c r="C2549" s="28"/>
      <c r="D2549" s="28"/>
      <c r="E2549" s="28"/>
      <c r="F2549" s="28"/>
      <c r="G2549" s="28"/>
      <c r="H2549" s="28"/>
      <c r="I2549" s="28"/>
      <c r="J2549" s="28"/>
      <c r="K2549" s="28"/>
      <c r="L2549" s="28"/>
      <c r="M2549" s="28"/>
      <c r="N2549" s="28"/>
      <c r="O2549" s="28"/>
      <c r="P2549" s="28"/>
      <c r="Q2549" s="28"/>
      <c r="R2549" s="28"/>
      <c r="S2549" s="28"/>
    </row>
    <row r="2550" spans="1:19" x14ac:dyDescent="0.25">
      <c r="A2550" s="28"/>
      <c r="B2550" s="28"/>
      <c r="C2550" s="28"/>
      <c r="D2550" s="28"/>
      <c r="E2550" s="28"/>
      <c r="F2550" s="28"/>
      <c r="G2550" s="28"/>
      <c r="H2550" s="28"/>
      <c r="I2550" s="28"/>
      <c r="J2550" s="28"/>
      <c r="K2550" s="28"/>
      <c r="L2550" s="28"/>
      <c r="M2550" s="28"/>
      <c r="N2550" s="28"/>
      <c r="O2550" s="28"/>
      <c r="P2550" s="28"/>
      <c r="Q2550" s="28"/>
      <c r="R2550" s="28"/>
      <c r="S2550" s="28"/>
    </row>
    <row r="2551" spans="1:19" x14ac:dyDescent="0.25">
      <c r="A2551" s="28"/>
      <c r="B2551" s="28"/>
      <c r="C2551" s="28"/>
      <c r="D2551" s="28"/>
      <c r="E2551" s="28"/>
      <c r="F2551" s="28"/>
      <c r="G2551" s="28"/>
      <c r="H2551" s="28"/>
      <c r="I2551" s="28"/>
      <c r="J2551" s="28"/>
      <c r="K2551" s="28"/>
      <c r="L2551" s="28"/>
      <c r="M2551" s="28"/>
      <c r="N2551" s="28"/>
      <c r="O2551" s="28"/>
      <c r="P2551" s="28"/>
      <c r="Q2551" s="28"/>
      <c r="R2551" s="28"/>
      <c r="S2551" s="28"/>
    </row>
    <row r="2552" spans="1:19" x14ac:dyDescent="0.25">
      <c r="A2552" s="28"/>
      <c r="B2552" s="28"/>
      <c r="C2552" s="28"/>
      <c r="D2552" s="28"/>
      <c r="E2552" s="28"/>
      <c r="F2552" s="28"/>
      <c r="G2552" s="28"/>
      <c r="H2552" s="28"/>
      <c r="I2552" s="28"/>
      <c r="J2552" s="28"/>
      <c r="K2552" s="28"/>
      <c r="L2552" s="28"/>
      <c r="M2552" s="28"/>
      <c r="N2552" s="28"/>
      <c r="O2552" s="28"/>
      <c r="P2552" s="28"/>
      <c r="Q2552" s="28"/>
      <c r="R2552" s="28"/>
      <c r="S2552" s="28"/>
    </row>
    <row r="2553" spans="1:19" x14ac:dyDescent="0.25">
      <c r="A2553" s="28"/>
      <c r="B2553" s="28"/>
      <c r="C2553" s="28"/>
      <c r="D2553" s="28"/>
      <c r="E2553" s="28"/>
      <c r="F2553" s="28"/>
      <c r="G2553" s="28"/>
      <c r="H2553" s="28"/>
      <c r="I2553" s="28"/>
      <c r="J2553" s="28"/>
      <c r="K2553" s="28"/>
      <c r="L2553" s="28"/>
      <c r="M2553" s="28"/>
      <c r="N2553" s="28"/>
      <c r="O2553" s="28"/>
      <c r="P2553" s="28"/>
      <c r="Q2553" s="28"/>
      <c r="R2553" s="28"/>
      <c r="S2553" s="28"/>
    </row>
    <row r="2554" spans="1:19" x14ac:dyDescent="0.25">
      <c r="A2554" s="28"/>
      <c r="B2554" s="28"/>
      <c r="C2554" s="28"/>
      <c r="D2554" s="28"/>
      <c r="E2554" s="28"/>
      <c r="F2554" s="28"/>
      <c r="G2554" s="28"/>
      <c r="H2554" s="28"/>
      <c r="I2554" s="28"/>
      <c r="J2554" s="28"/>
      <c r="K2554" s="28"/>
      <c r="L2554" s="28"/>
      <c r="M2554" s="28"/>
      <c r="N2554" s="28"/>
      <c r="O2554" s="28"/>
      <c r="P2554" s="28"/>
      <c r="Q2554" s="28"/>
      <c r="R2554" s="28"/>
      <c r="S2554" s="28"/>
    </row>
    <row r="2555" spans="1:19" x14ac:dyDescent="0.25">
      <c r="A2555" s="28"/>
      <c r="B2555" s="28"/>
      <c r="C2555" s="28"/>
      <c r="D2555" s="28"/>
      <c r="E2555" s="28"/>
      <c r="F2555" s="28"/>
      <c r="G2555" s="28"/>
      <c r="H2555" s="28"/>
      <c r="I2555" s="28"/>
      <c r="J2555" s="28"/>
      <c r="K2555" s="28"/>
      <c r="L2555" s="28"/>
      <c r="M2555" s="28"/>
      <c r="N2555" s="28"/>
      <c r="O2555" s="28"/>
      <c r="P2555" s="28"/>
      <c r="Q2555" s="28"/>
      <c r="R2555" s="28"/>
      <c r="S2555" s="28"/>
    </row>
    <row r="2556" spans="1:19" x14ac:dyDescent="0.25">
      <c r="A2556" s="28"/>
      <c r="B2556" s="28"/>
      <c r="C2556" s="28"/>
      <c r="D2556" s="28"/>
      <c r="E2556" s="28"/>
      <c r="F2556" s="28"/>
      <c r="G2556" s="28"/>
      <c r="H2556" s="28"/>
      <c r="I2556" s="28"/>
      <c r="J2556" s="28"/>
      <c r="K2556" s="28"/>
      <c r="L2556" s="28"/>
      <c r="M2556" s="28"/>
      <c r="N2556" s="28"/>
      <c r="O2556" s="28"/>
      <c r="P2556" s="28"/>
      <c r="Q2556" s="28"/>
      <c r="R2556" s="28"/>
      <c r="S2556" s="28"/>
    </row>
    <row r="2557" spans="1:19" x14ac:dyDescent="0.25">
      <c r="A2557" s="28"/>
      <c r="B2557" s="28"/>
      <c r="C2557" s="28"/>
      <c r="D2557" s="28"/>
      <c r="E2557" s="28"/>
      <c r="F2557" s="28"/>
      <c r="G2557" s="28"/>
      <c r="H2557" s="28"/>
      <c r="I2557" s="28"/>
      <c r="J2557" s="28"/>
      <c r="K2557" s="28"/>
      <c r="L2557" s="28"/>
      <c r="M2557" s="28"/>
      <c r="N2557" s="28"/>
      <c r="O2557" s="28"/>
      <c r="P2557" s="28"/>
      <c r="Q2557" s="28"/>
      <c r="R2557" s="28"/>
      <c r="S2557" s="28"/>
    </row>
    <row r="2558" spans="1:19" x14ac:dyDescent="0.25">
      <c r="A2558" s="28"/>
      <c r="B2558" s="28"/>
      <c r="C2558" s="28"/>
      <c r="D2558" s="28"/>
      <c r="E2558" s="28"/>
      <c r="F2558" s="28"/>
      <c r="G2558" s="28"/>
      <c r="H2558" s="28"/>
      <c r="I2558" s="28"/>
      <c r="J2558" s="28"/>
      <c r="K2558" s="28"/>
      <c r="L2558" s="28"/>
      <c r="M2558" s="28"/>
      <c r="N2558" s="28"/>
      <c r="O2558" s="28"/>
      <c r="P2558" s="28"/>
      <c r="Q2558" s="28"/>
      <c r="R2558" s="28"/>
      <c r="S2558" s="28"/>
    </row>
    <row r="2559" spans="1:19" x14ac:dyDescent="0.25">
      <c r="A2559" s="28"/>
      <c r="B2559" s="28"/>
      <c r="C2559" s="28"/>
      <c r="D2559" s="28"/>
      <c r="E2559" s="28"/>
      <c r="F2559" s="28"/>
      <c r="G2559" s="28"/>
      <c r="H2559" s="28"/>
      <c r="I2559" s="28"/>
      <c r="J2559" s="28"/>
      <c r="K2559" s="28"/>
      <c r="L2559" s="28"/>
      <c r="M2559" s="28"/>
      <c r="N2559" s="28"/>
      <c r="O2559" s="28"/>
      <c r="P2559" s="28"/>
      <c r="Q2559" s="28"/>
      <c r="R2559" s="28"/>
      <c r="S2559" s="28"/>
    </row>
    <row r="2560" spans="1:19" x14ac:dyDescent="0.25">
      <c r="A2560" s="28"/>
      <c r="B2560" s="28"/>
      <c r="C2560" s="28"/>
      <c r="D2560" s="28"/>
      <c r="E2560" s="28"/>
      <c r="F2560" s="28"/>
      <c r="G2560" s="28"/>
      <c r="H2560" s="28"/>
      <c r="I2560" s="28"/>
      <c r="J2560" s="28"/>
      <c r="K2560" s="28"/>
      <c r="L2560" s="28"/>
      <c r="M2560" s="28"/>
      <c r="N2560" s="28"/>
      <c r="O2560" s="28"/>
      <c r="P2560" s="28"/>
      <c r="Q2560" s="28"/>
      <c r="R2560" s="28"/>
      <c r="S2560" s="28"/>
    </row>
    <row r="2561" spans="1:19" x14ac:dyDescent="0.25">
      <c r="A2561" s="28"/>
      <c r="B2561" s="28"/>
      <c r="C2561" s="28"/>
      <c r="D2561" s="28"/>
      <c r="E2561" s="28"/>
      <c r="F2561" s="28"/>
      <c r="G2561" s="28"/>
      <c r="H2561" s="28"/>
      <c r="I2561" s="28"/>
      <c r="J2561" s="28"/>
      <c r="K2561" s="28"/>
      <c r="L2561" s="28"/>
      <c r="M2561" s="28"/>
      <c r="N2561" s="28"/>
      <c r="O2561" s="28"/>
      <c r="P2561" s="28"/>
      <c r="Q2561" s="28"/>
      <c r="R2561" s="28"/>
      <c r="S2561" s="28"/>
    </row>
    <row r="2562" spans="1:19" x14ac:dyDescent="0.25">
      <c r="A2562" s="28"/>
      <c r="B2562" s="28"/>
      <c r="C2562" s="28"/>
      <c r="D2562" s="28"/>
      <c r="E2562" s="28"/>
      <c r="F2562" s="28"/>
      <c r="G2562" s="28"/>
      <c r="H2562" s="28"/>
      <c r="I2562" s="28"/>
      <c r="J2562" s="28"/>
      <c r="K2562" s="28"/>
      <c r="L2562" s="28"/>
      <c r="M2562" s="28"/>
      <c r="N2562" s="28"/>
      <c r="O2562" s="28"/>
      <c r="P2562" s="28"/>
      <c r="Q2562" s="28"/>
      <c r="R2562" s="28"/>
      <c r="S2562" s="28"/>
    </row>
    <row r="2563" spans="1:19" x14ac:dyDescent="0.25">
      <c r="A2563" s="28"/>
      <c r="B2563" s="28"/>
      <c r="C2563" s="28"/>
      <c r="D2563" s="28"/>
      <c r="E2563" s="28"/>
      <c r="F2563" s="28"/>
      <c r="G2563" s="28"/>
      <c r="H2563" s="28"/>
      <c r="I2563" s="28"/>
      <c r="J2563" s="28"/>
      <c r="K2563" s="28"/>
      <c r="L2563" s="28"/>
      <c r="M2563" s="28"/>
      <c r="N2563" s="28"/>
      <c r="O2563" s="28"/>
      <c r="P2563" s="28"/>
      <c r="Q2563" s="28"/>
      <c r="R2563" s="28"/>
      <c r="S2563" s="28"/>
    </row>
    <row r="2564" spans="1:19" x14ac:dyDescent="0.25">
      <c r="A2564" s="28"/>
      <c r="B2564" s="28"/>
      <c r="C2564" s="28"/>
      <c r="D2564" s="28"/>
      <c r="E2564" s="28"/>
      <c r="F2564" s="28"/>
      <c r="G2564" s="28"/>
      <c r="H2564" s="28"/>
      <c r="I2564" s="28"/>
      <c r="J2564" s="28"/>
      <c r="K2564" s="28"/>
      <c r="L2564" s="28"/>
      <c r="M2564" s="28"/>
      <c r="N2564" s="28"/>
      <c r="O2564" s="28"/>
      <c r="P2564" s="28"/>
      <c r="Q2564" s="28"/>
      <c r="R2564" s="28"/>
      <c r="S2564" s="28"/>
    </row>
    <row r="2565" spans="1:19" x14ac:dyDescent="0.25">
      <c r="A2565" s="28"/>
      <c r="B2565" s="28"/>
      <c r="C2565" s="28"/>
      <c r="D2565" s="28"/>
      <c r="E2565" s="28"/>
      <c r="F2565" s="28"/>
      <c r="G2565" s="28"/>
      <c r="H2565" s="28"/>
      <c r="I2565" s="28"/>
      <c r="J2565" s="28"/>
      <c r="K2565" s="28"/>
      <c r="L2565" s="28"/>
      <c r="M2565" s="28"/>
      <c r="N2565" s="28"/>
      <c r="O2565" s="28"/>
      <c r="P2565" s="28"/>
      <c r="Q2565" s="28"/>
      <c r="R2565" s="28"/>
      <c r="S2565" s="28"/>
    </row>
    <row r="2566" spans="1:19" x14ac:dyDescent="0.25">
      <c r="A2566" s="28"/>
      <c r="B2566" s="28"/>
      <c r="C2566" s="28"/>
      <c r="D2566" s="28"/>
      <c r="E2566" s="28"/>
      <c r="F2566" s="28"/>
      <c r="G2566" s="28"/>
      <c r="H2566" s="28"/>
      <c r="I2566" s="28"/>
      <c r="J2566" s="28"/>
      <c r="K2566" s="28"/>
      <c r="L2566" s="28"/>
      <c r="M2566" s="28"/>
      <c r="N2566" s="28"/>
      <c r="O2566" s="28"/>
      <c r="P2566" s="28"/>
      <c r="Q2566" s="28"/>
      <c r="R2566" s="28"/>
      <c r="S2566" s="28"/>
    </row>
    <row r="2567" spans="1:19" x14ac:dyDescent="0.25">
      <c r="A2567" s="28"/>
      <c r="B2567" s="28"/>
      <c r="C2567" s="28"/>
      <c r="D2567" s="28"/>
      <c r="E2567" s="28"/>
      <c r="F2567" s="28"/>
      <c r="G2567" s="28"/>
      <c r="H2567" s="28"/>
      <c r="I2567" s="28"/>
      <c r="J2567" s="28"/>
      <c r="K2567" s="28"/>
      <c r="L2567" s="28"/>
      <c r="M2567" s="28"/>
      <c r="N2567" s="28"/>
      <c r="O2567" s="28"/>
      <c r="P2567" s="28"/>
      <c r="Q2567" s="28"/>
      <c r="R2567" s="28"/>
      <c r="S2567" s="28"/>
    </row>
    <row r="2568" spans="1:19" x14ac:dyDescent="0.25">
      <c r="A2568" s="28"/>
      <c r="B2568" s="28"/>
      <c r="C2568" s="28"/>
      <c r="D2568" s="28"/>
      <c r="E2568" s="28"/>
      <c r="F2568" s="28"/>
      <c r="G2568" s="28"/>
      <c r="H2568" s="28"/>
      <c r="I2568" s="28"/>
      <c r="J2568" s="28"/>
      <c r="K2568" s="28"/>
      <c r="L2568" s="28"/>
      <c r="M2568" s="28"/>
      <c r="N2568" s="28"/>
      <c r="O2568" s="28"/>
      <c r="P2568" s="28"/>
      <c r="Q2568" s="28"/>
      <c r="R2568" s="28"/>
      <c r="S2568" s="28"/>
    </row>
    <row r="2569" spans="1:19" x14ac:dyDescent="0.25">
      <c r="A2569" s="28"/>
      <c r="B2569" s="28"/>
      <c r="C2569" s="28"/>
      <c r="D2569" s="28"/>
      <c r="E2569" s="28"/>
      <c r="F2569" s="28"/>
      <c r="G2569" s="28"/>
      <c r="H2569" s="28"/>
      <c r="I2569" s="28"/>
      <c r="J2569" s="28"/>
      <c r="K2569" s="28"/>
      <c r="L2569" s="28"/>
      <c r="M2569" s="28"/>
      <c r="N2569" s="28"/>
      <c r="O2569" s="28"/>
      <c r="P2569" s="28"/>
      <c r="Q2569" s="28"/>
      <c r="R2569" s="28"/>
      <c r="S2569" s="28"/>
    </row>
    <row r="2570" spans="1:19" x14ac:dyDescent="0.25">
      <c r="A2570" s="28"/>
      <c r="B2570" s="28"/>
      <c r="C2570" s="28"/>
      <c r="D2570" s="28"/>
      <c r="E2570" s="28"/>
      <c r="F2570" s="28"/>
      <c r="G2570" s="28"/>
      <c r="H2570" s="28"/>
      <c r="I2570" s="28"/>
      <c r="J2570" s="28"/>
      <c r="K2570" s="28"/>
      <c r="L2570" s="28"/>
      <c r="M2570" s="28"/>
      <c r="N2570" s="28"/>
      <c r="O2570" s="28"/>
      <c r="P2570" s="28"/>
      <c r="Q2570" s="28"/>
      <c r="R2570" s="28"/>
      <c r="S2570" s="28"/>
    </row>
    <row r="2571" spans="1:19" x14ac:dyDescent="0.25">
      <c r="A2571" s="28"/>
      <c r="B2571" s="28"/>
      <c r="C2571" s="28"/>
      <c r="D2571" s="28"/>
      <c r="E2571" s="28"/>
      <c r="F2571" s="28"/>
      <c r="G2571" s="28"/>
      <c r="H2571" s="28"/>
      <c r="I2571" s="28"/>
      <c r="J2571" s="28"/>
      <c r="K2571" s="28"/>
      <c r="L2571" s="28"/>
      <c r="M2571" s="28"/>
      <c r="N2571" s="28"/>
      <c r="O2571" s="28"/>
      <c r="P2571" s="28"/>
      <c r="Q2571" s="28"/>
      <c r="R2571" s="28"/>
      <c r="S2571" s="28"/>
    </row>
    <row r="2572" spans="1:19" x14ac:dyDescent="0.25">
      <c r="A2572" s="28"/>
      <c r="B2572" s="28"/>
      <c r="C2572" s="28"/>
      <c r="D2572" s="28"/>
      <c r="E2572" s="28"/>
      <c r="F2572" s="28"/>
      <c r="G2572" s="28"/>
      <c r="H2572" s="28"/>
      <c r="I2572" s="28"/>
      <c r="J2572" s="28"/>
      <c r="K2572" s="28"/>
      <c r="L2572" s="28"/>
      <c r="M2572" s="28"/>
      <c r="N2572" s="28"/>
      <c r="O2572" s="28"/>
      <c r="P2572" s="28"/>
      <c r="Q2572" s="28"/>
      <c r="R2572" s="28"/>
      <c r="S2572" s="28"/>
    </row>
    <row r="2573" spans="1:19" x14ac:dyDescent="0.25">
      <c r="A2573" s="28"/>
      <c r="B2573" s="28"/>
      <c r="C2573" s="28"/>
      <c r="D2573" s="28"/>
      <c r="E2573" s="28"/>
      <c r="F2573" s="28"/>
      <c r="G2573" s="28"/>
      <c r="H2573" s="28"/>
      <c r="I2573" s="28"/>
      <c r="J2573" s="28"/>
      <c r="K2573" s="28"/>
      <c r="L2573" s="28"/>
      <c r="M2573" s="28"/>
      <c r="N2573" s="28"/>
      <c r="O2573" s="28"/>
      <c r="P2573" s="28"/>
      <c r="Q2573" s="28"/>
      <c r="R2573" s="28"/>
      <c r="S2573" s="28"/>
    </row>
    <row r="2574" spans="1:19" x14ac:dyDescent="0.25">
      <c r="A2574" s="28"/>
      <c r="B2574" s="28"/>
      <c r="C2574" s="28"/>
      <c r="D2574" s="28"/>
      <c r="E2574" s="28"/>
      <c r="F2574" s="28"/>
      <c r="G2574" s="28"/>
      <c r="H2574" s="28"/>
      <c r="I2574" s="28"/>
      <c r="J2574" s="28"/>
      <c r="K2574" s="28"/>
      <c r="L2574" s="28"/>
      <c r="M2574" s="28"/>
      <c r="N2574" s="28"/>
      <c r="O2574" s="28"/>
      <c r="P2574" s="28"/>
      <c r="Q2574" s="28"/>
      <c r="R2574" s="28"/>
      <c r="S2574" s="28"/>
    </row>
    <row r="2575" spans="1:19" x14ac:dyDescent="0.25">
      <c r="A2575" s="28"/>
      <c r="B2575" s="28"/>
      <c r="C2575" s="28"/>
      <c r="D2575" s="28"/>
      <c r="E2575" s="28"/>
      <c r="F2575" s="28"/>
      <c r="G2575" s="28"/>
      <c r="H2575" s="28"/>
      <c r="I2575" s="28"/>
      <c r="J2575" s="28"/>
      <c r="K2575" s="28"/>
      <c r="L2575" s="28"/>
      <c r="M2575" s="28"/>
      <c r="N2575" s="28"/>
      <c r="O2575" s="28"/>
      <c r="P2575" s="28"/>
      <c r="Q2575" s="28"/>
      <c r="R2575" s="28"/>
      <c r="S2575" s="28"/>
    </row>
    <row r="2576" spans="1:19" x14ac:dyDescent="0.25">
      <c r="A2576" s="28"/>
      <c r="B2576" s="28"/>
      <c r="C2576" s="28"/>
      <c r="D2576" s="28"/>
      <c r="E2576" s="28"/>
      <c r="F2576" s="28"/>
      <c r="G2576" s="28"/>
      <c r="H2576" s="28"/>
      <c r="I2576" s="28"/>
      <c r="J2576" s="28"/>
      <c r="K2576" s="28"/>
      <c r="L2576" s="28"/>
      <c r="M2576" s="28"/>
      <c r="N2576" s="28"/>
      <c r="O2576" s="28"/>
      <c r="P2576" s="28"/>
      <c r="Q2576" s="28"/>
      <c r="R2576" s="28"/>
      <c r="S2576" s="28"/>
    </row>
    <row r="2577" spans="1:19" x14ac:dyDescent="0.25">
      <c r="A2577" s="28"/>
      <c r="B2577" s="28"/>
      <c r="C2577" s="28"/>
      <c r="D2577" s="28"/>
      <c r="E2577" s="28"/>
      <c r="F2577" s="28"/>
      <c r="G2577" s="28"/>
      <c r="H2577" s="28"/>
      <c r="I2577" s="28"/>
      <c r="J2577" s="28"/>
      <c r="K2577" s="28"/>
      <c r="L2577" s="28"/>
      <c r="M2577" s="28"/>
      <c r="N2577" s="28"/>
      <c r="O2577" s="28"/>
      <c r="P2577" s="28"/>
      <c r="Q2577" s="28"/>
      <c r="R2577" s="28"/>
      <c r="S2577" s="28"/>
    </row>
    <row r="2578" spans="1:19" x14ac:dyDescent="0.25">
      <c r="A2578" s="28"/>
      <c r="B2578" s="28"/>
      <c r="C2578" s="28"/>
      <c r="D2578" s="28"/>
      <c r="E2578" s="28"/>
      <c r="F2578" s="28"/>
      <c r="G2578" s="28"/>
      <c r="H2578" s="28"/>
      <c r="I2578" s="28"/>
      <c r="J2578" s="28"/>
      <c r="K2578" s="28"/>
      <c r="L2578" s="28"/>
      <c r="M2578" s="28"/>
      <c r="N2578" s="28"/>
      <c r="O2578" s="28"/>
      <c r="P2578" s="28"/>
      <c r="Q2578" s="28"/>
      <c r="R2578" s="28"/>
      <c r="S2578" s="28"/>
    </row>
    <row r="2579" spans="1:19" x14ac:dyDescent="0.25">
      <c r="A2579" s="28"/>
      <c r="B2579" s="28"/>
      <c r="C2579" s="28"/>
      <c r="D2579" s="28"/>
      <c r="E2579" s="28"/>
      <c r="F2579" s="28"/>
      <c r="G2579" s="28"/>
      <c r="H2579" s="28"/>
      <c r="I2579" s="28"/>
      <c r="J2579" s="28"/>
      <c r="K2579" s="28"/>
      <c r="L2579" s="28"/>
      <c r="M2579" s="28"/>
      <c r="N2579" s="28"/>
      <c r="O2579" s="28"/>
      <c r="P2579" s="28"/>
      <c r="Q2579" s="28"/>
      <c r="R2579" s="28"/>
      <c r="S2579" s="28"/>
    </row>
    <row r="2580" spans="1:19" x14ac:dyDescent="0.25">
      <c r="A2580" s="28"/>
      <c r="B2580" s="28"/>
      <c r="C2580" s="28"/>
      <c r="D2580" s="28"/>
      <c r="E2580" s="28"/>
      <c r="F2580" s="28"/>
      <c r="G2580" s="28"/>
      <c r="H2580" s="28"/>
      <c r="I2580" s="28"/>
      <c r="J2580" s="28"/>
      <c r="K2580" s="28"/>
      <c r="L2580" s="28"/>
      <c r="M2580" s="28"/>
      <c r="N2580" s="28"/>
      <c r="O2580" s="28"/>
      <c r="P2580" s="28"/>
      <c r="Q2580" s="28"/>
      <c r="R2580" s="28"/>
      <c r="S2580" s="28"/>
    </row>
    <row r="2581" spans="1:19" x14ac:dyDescent="0.25">
      <c r="A2581" s="28"/>
      <c r="B2581" s="28"/>
      <c r="C2581" s="28"/>
      <c r="D2581" s="28"/>
      <c r="E2581" s="28"/>
      <c r="F2581" s="28"/>
      <c r="G2581" s="28"/>
      <c r="H2581" s="28"/>
      <c r="I2581" s="28"/>
      <c r="J2581" s="28"/>
      <c r="K2581" s="28"/>
      <c r="L2581" s="28"/>
      <c r="M2581" s="28"/>
      <c r="N2581" s="28"/>
      <c r="O2581" s="28"/>
      <c r="P2581" s="28"/>
      <c r="Q2581" s="28"/>
      <c r="R2581" s="28"/>
      <c r="S2581" s="28"/>
    </row>
    <row r="2582" spans="1:19" x14ac:dyDescent="0.25">
      <c r="A2582" s="28"/>
      <c r="B2582" s="28"/>
      <c r="C2582" s="28"/>
      <c r="D2582" s="28"/>
      <c r="E2582" s="28"/>
      <c r="F2582" s="28"/>
      <c r="G2582" s="28"/>
      <c r="H2582" s="28"/>
      <c r="I2582" s="28"/>
      <c r="J2582" s="28"/>
      <c r="K2582" s="28"/>
      <c r="L2582" s="28"/>
      <c r="M2582" s="28"/>
      <c r="N2582" s="28"/>
      <c r="O2582" s="28"/>
      <c r="P2582" s="28"/>
      <c r="Q2582" s="28"/>
      <c r="R2582" s="28"/>
      <c r="S2582" s="28"/>
    </row>
    <row r="2583" spans="1:19" x14ac:dyDescent="0.25">
      <c r="A2583" s="28"/>
      <c r="B2583" s="28"/>
      <c r="C2583" s="28"/>
      <c r="D2583" s="28"/>
      <c r="E2583" s="28"/>
      <c r="F2583" s="28"/>
      <c r="G2583" s="28"/>
      <c r="H2583" s="28"/>
      <c r="I2583" s="28"/>
      <c r="J2583" s="28"/>
      <c r="K2583" s="28"/>
      <c r="L2583" s="28"/>
      <c r="M2583" s="28"/>
      <c r="N2583" s="28"/>
      <c r="O2583" s="28"/>
      <c r="P2583" s="28"/>
      <c r="Q2583" s="28"/>
      <c r="R2583" s="28"/>
      <c r="S2583" s="28"/>
    </row>
    <row r="2584" spans="1:19" x14ac:dyDescent="0.25">
      <c r="A2584" s="28"/>
      <c r="B2584" s="28"/>
      <c r="C2584" s="28"/>
      <c r="D2584" s="28"/>
      <c r="E2584" s="28"/>
      <c r="F2584" s="28"/>
      <c r="G2584" s="28"/>
      <c r="H2584" s="28"/>
      <c r="I2584" s="28"/>
      <c r="J2584" s="28"/>
      <c r="K2584" s="28"/>
      <c r="L2584" s="28"/>
      <c r="M2584" s="28"/>
      <c r="N2584" s="28"/>
      <c r="O2584" s="28"/>
      <c r="P2584" s="28"/>
      <c r="Q2584" s="28"/>
      <c r="R2584" s="28"/>
      <c r="S2584" s="28"/>
    </row>
    <row r="2585" spans="1:19" x14ac:dyDescent="0.25">
      <c r="A2585" s="28"/>
      <c r="B2585" s="28"/>
      <c r="C2585" s="28"/>
      <c r="D2585" s="28"/>
      <c r="E2585" s="28"/>
      <c r="F2585" s="28"/>
      <c r="G2585" s="28"/>
      <c r="H2585" s="28"/>
      <c r="I2585" s="28"/>
      <c r="J2585" s="28"/>
      <c r="K2585" s="28"/>
      <c r="L2585" s="28"/>
      <c r="M2585" s="28"/>
      <c r="N2585" s="28"/>
      <c r="O2585" s="28"/>
      <c r="P2585" s="28"/>
      <c r="Q2585" s="28"/>
      <c r="R2585" s="28"/>
      <c r="S2585" s="28"/>
    </row>
    <row r="2586" spans="1:19" x14ac:dyDescent="0.25">
      <c r="A2586" s="28"/>
      <c r="B2586" s="28"/>
      <c r="C2586" s="28"/>
      <c r="D2586" s="28"/>
      <c r="E2586" s="28"/>
      <c r="F2586" s="28"/>
      <c r="G2586" s="28"/>
      <c r="H2586" s="28"/>
      <c r="I2586" s="28"/>
      <c r="J2586" s="28"/>
      <c r="K2586" s="28"/>
      <c r="L2586" s="28"/>
      <c r="M2586" s="28"/>
      <c r="N2586" s="28"/>
      <c r="O2586" s="28"/>
      <c r="P2586" s="28"/>
      <c r="Q2586" s="28"/>
      <c r="R2586" s="28"/>
      <c r="S2586" s="28"/>
    </row>
    <row r="2587" spans="1:19" x14ac:dyDescent="0.25">
      <c r="A2587" s="28"/>
      <c r="B2587" s="28"/>
      <c r="C2587" s="28"/>
      <c r="D2587" s="28"/>
      <c r="E2587" s="28"/>
      <c r="F2587" s="28"/>
      <c r="G2587" s="28"/>
      <c r="H2587" s="28"/>
      <c r="I2587" s="28"/>
      <c r="J2587" s="28"/>
      <c r="K2587" s="28"/>
      <c r="L2587" s="28"/>
      <c r="M2587" s="28"/>
      <c r="N2587" s="28"/>
      <c r="O2587" s="28"/>
      <c r="P2587" s="28"/>
      <c r="Q2587" s="28"/>
      <c r="R2587" s="28"/>
      <c r="S2587" s="28"/>
    </row>
    <row r="2588" spans="1:19" x14ac:dyDescent="0.25">
      <c r="A2588" s="28"/>
      <c r="B2588" s="28"/>
      <c r="C2588" s="28"/>
      <c r="D2588" s="28"/>
      <c r="E2588" s="28"/>
      <c r="F2588" s="28"/>
      <c r="G2588" s="28"/>
      <c r="H2588" s="28"/>
      <c r="I2588" s="28"/>
      <c r="J2588" s="28"/>
      <c r="K2588" s="28"/>
      <c r="L2588" s="28"/>
      <c r="M2588" s="28"/>
      <c r="N2588" s="28"/>
      <c r="O2588" s="28"/>
      <c r="P2588" s="28"/>
      <c r="Q2588" s="28"/>
      <c r="R2588" s="28"/>
      <c r="S2588" s="28"/>
    </row>
    <row r="2589" spans="1:19" x14ac:dyDescent="0.25">
      <c r="A2589" s="28"/>
      <c r="B2589" s="28"/>
      <c r="C2589" s="28"/>
      <c r="D2589" s="28"/>
      <c r="E2589" s="28"/>
      <c r="F2589" s="28"/>
      <c r="G2589" s="28"/>
      <c r="H2589" s="28"/>
      <c r="I2589" s="28"/>
      <c r="J2589" s="28"/>
      <c r="K2589" s="28"/>
      <c r="L2589" s="28"/>
      <c r="M2589" s="28"/>
      <c r="N2589" s="28"/>
      <c r="O2589" s="28"/>
      <c r="P2589" s="28"/>
      <c r="Q2589" s="28"/>
      <c r="R2589" s="28"/>
      <c r="S2589" s="28"/>
    </row>
    <row r="2590" spans="1:19" x14ac:dyDescent="0.25">
      <c r="A2590" s="28"/>
      <c r="B2590" s="28"/>
      <c r="C2590" s="28"/>
      <c r="D2590" s="28"/>
      <c r="E2590" s="28"/>
      <c r="F2590" s="28"/>
      <c r="G2590" s="28"/>
      <c r="H2590" s="28"/>
      <c r="I2590" s="28"/>
      <c r="J2590" s="28"/>
      <c r="K2590" s="28"/>
      <c r="L2590" s="28"/>
      <c r="M2590" s="28"/>
      <c r="N2590" s="28"/>
      <c r="O2590" s="28"/>
      <c r="P2590" s="28"/>
      <c r="Q2590" s="28"/>
      <c r="R2590" s="28"/>
      <c r="S2590" s="28"/>
    </row>
    <row r="2591" spans="1:19" x14ac:dyDescent="0.25">
      <c r="A2591" s="28"/>
      <c r="B2591" s="28"/>
      <c r="C2591" s="28"/>
      <c r="D2591" s="28"/>
      <c r="E2591" s="28"/>
      <c r="F2591" s="28"/>
      <c r="G2591" s="28"/>
      <c r="H2591" s="28"/>
      <c r="I2591" s="28"/>
      <c r="J2591" s="28"/>
      <c r="K2591" s="28"/>
      <c r="L2591" s="28"/>
      <c r="M2591" s="28"/>
      <c r="N2591" s="28"/>
      <c r="O2591" s="28"/>
      <c r="P2591" s="28"/>
      <c r="Q2591" s="28"/>
      <c r="R2591" s="28"/>
      <c r="S2591" s="28"/>
    </row>
    <row r="2592" spans="1:19" x14ac:dyDescent="0.25">
      <c r="A2592" s="28"/>
      <c r="B2592" s="28"/>
      <c r="C2592" s="28"/>
      <c r="D2592" s="28"/>
      <c r="E2592" s="28"/>
      <c r="F2592" s="28"/>
      <c r="G2592" s="28"/>
      <c r="H2592" s="28"/>
      <c r="I2592" s="28"/>
      <c r="J2592" s="28"/>
      <c r="K2592" s="28"/>
      <c r="L2592" s="28"/>
      <c r="M2592" s="28"/>
      <c r="N2592" s="28"/>
      <c r="O2592" s="28"/>
      <c r="P2592" s="28"/>
      <c r="Q2592" s="28"/>
      <c r="R2592" s="28"/>
      <c r="S2592" s="28"/>
    </row>
    <row r="2593" spans="1:19" x14ac:dyDescent="0.25">
      <c r="A2593" s="28"/>
      <c r="B2593" s="28"/>
      <c r="C2593" s="28"/>
      <c r="D2593" s="28"/>
      <c r="E2593" s="28"/>
      <c r="F2593" s="28"/>
      <c r="G2593" s="28"/>
      <c r="H2593" s="28"/>
      <c r="I2593" s="28"/>
      <c r="J2593" s="28"/>
      <c r="K2593" s="28"/>
      <c r="L2593" s="28"/>
      <c r="M2593" s="28"/>
      <c r="N2593" s="28"/>
      <c r="O2593" s="28"/>
      <c r="P2593" s="28"/>
      <c r="Q2593" s="28"/>
      <c r="R2593" s="28"/>
      <c r="S2593" s="28"/>
    </row>
    <row r="2594" spans="1:19" x14ac:dyDescent="0.25">
      <c r="A2594" s="28"/>
      <c r="B2594" s="28"/>
      <c r="C2594" s="28"/>
      <c r="D2594" s="28"/>
      <c r="E2594" s="28"/>
      <c r="F2594" s="28"/>
      <c r="G2594" s="28"/>
      <c r="H2594" s="28"/>
      <c r="I2594" s="28"/>
      <c r="J2594" s="28"/>
      <c r="K2594" s="28"/>
      <c r="L2594" s="28"/>
      <c r="M2594" s="28"/>
      <c r="N2594" s="28"/>
      <c r="O2594" s="28"/>
      <c r="P2594" s="28"/>
      <c r="Q2594" s="28"/>
      <c r="R2594" s="28"/>
      <c r="S2594" s="28"/>
    </row>
    <row r="2595" spans="1:19" x14ac:dyDescent="0.25">
      <c r="A2595" s="28"/>
      <c r="B2595" s="28"/>
      <c r="C2595" s="28"/>
      <c r="D2595" s="28"/>
      <c r="E2595" s="28"/>
      <c r="F2595" s="28"/>
      <c r="G2595" s="28"/>
      <c r="H2595" s="28"/>
      <c r="I2595" s="28"/>
      <c r="J2595" s="28"/>
      <c r="K2595" s="28"/>
      <c r="L2595" s="28"/>
      <c r="M2595" s="28"/>
      <c r="N2595" s="28"/>
      <c r="O2595" s="28"/>
      <c r="P2595" s="28"/>
      <c r="Q2595" s="28"/>
      <c r="R2595" s="28"/>
      <c r="S2595" s="28"/>
    </row>
    <row r="2596" spans="1:19" x14ac:dyDescent="0.25">
      <c r="A2596" s="28"/>
      <c r="B2596" s="28"/>
      <c r="C2596" s="28"/>
      <c r="D2596" s="28"/>
      <c r="E2596" s="28"/>
      <c r="F2596" s="28"/>
      <c r="G2596" s="28"/>
      <c r="H2596" s="28"/>
      <c r="I2596" s="28"/>
      <c r="J2596" s="28"/>
      <c r="K2596" s="28"/>
      <c r="L2596" s="28"/>
      <c r="M2596" s="28"/>
      <c r="N2596" s="28"/>
      <c r="O2596" s="28"/>
      <c r="P2596" s="28"/>
      <c r="Q2596" s="28"/>
      <c r="R2596" s="28"/>
      <c r="S2596" s="28"/>
    </row>
    <row r="2597" spans="1:19" x14ac:dyDescent="0.25">
      <c r="A2597" s="28"/>
      <c r="B2597" s="28"/>
      <c r="C2597" s="28"/>
      <c r="D2597" s="28"/>
      <c r="E2597" s="28"/>
      <c r="F2597" s="28"/>
      <c r="G2597" s="28"/>
      <c r="H2597" s="28"/>
      <c r="I2597" s="28"/>
      <c r="J2597" s="28"/>
      <c r="K2597" s="28"/>
      <c r="L2597" s="28"/>
      <c r="M2597" s="28"/>
      <c r="N2597" s="28"/>
      <c r="O2597" s="28"/>
      <c r="P2597" s="28"/>
      <c r="Q2597" s="28"/>
      <c r="R2597" s="28"/>
      <c r="S2597" s="28"/>
    </row>
    <row r="2598" spans="1:19" x14ac:dyDescent="0.25">
      <c r="A2598" s="28"/>
      <c r="B2598" s="28"/>
      <c r="C2598" s="28"/>
      <c r="D2598" s="28"/>
      <c r="E2598" s="28"/>
      <c r="F2598" s="28"/>
      <c r="G2598" s="28"/>
      <c r="H2598" s="28"/>
      <c r="I2598" s="28"/>
      <c r="J2598" s="28"/>
      <c r="K2598" s="28"/>
      <c r="L2598" s="28"/>
      <c r="M2598" s="28"/>
      <c r="N2598" s="28"/>
      <c r="O2598" s="28"/>
      <c r="P2598" s="28"/>
      <c r="Q2598" s="28"/>
      <c r="R2598" s="28"/>
      <c r="S2598" s="28"/>
    </row>
    <row r="2599" spans="1:19" x14ac:dyDescent="0.25">
      <c r="A2599" s="28"/>
      <c r="B2599" s="28"/>
      <c r="C2599" s="28"/>
      <c r="D2599" s="28"/>
      <c r="E2599" s="28"/>
      <c r="F2599" s="28"/>
      <c r="G2599" s="28"/>
      <c r="H2599" s="28"/>
      <c r="I2599" s="28"/>
      <c r="J2599" s="28"/>
      <c r="K2599" s="28"/>
      <c r="L2599" s="28"/>
      <c r="M2599" s="28"/>
      <c r="N2599" s="28"/>
      <c r="O2599" s="28"/>
      <c r="P2599" s="28"/>
      <c r="Q2599" s="28"/>
      <c r="R2599" s="28"/>
      <c r="S2599" s="28"/>
    </row>
    <row r="2600" spans="1:19" x14ac:dyDescent="0.25">
      <c r="A2600" s="28"/>
      <c r="B2600" s="28"/>
      <c r="C2600" s="28"/>
      <c r="D2600" s="28"/>
      <c r="E2600" s="28"/>
      <c r="F2600" s="28"/>
      <c r="G2600" s="28"/>
      <c r="H2600" s="28"/>
      <c r="I2600" s="28"/>
      <c r="J2600" s="28"/>
      <c r="K2600" s="28"/>
      <c r="L2600" s="28"/>
      <c r="M2600" s="28"/>
      <c r="N2600" s="28"/>
      <c r="O2600" s="28"/>
      <c r="P2600" s="28"/>
      <c r="Q2600" s="28"/>
      <c r="R2600" s="28"/>
      <c r="S2600" s="28"/>
    </row>
    <row r="2601" spans="1:19" x14ac:dyDescent="0.25">
      <c r="A2601" s="28"/>
      <c r="B2601" s="28"/>
      <c r="C2601" s="28"/>
      <c r="D2601" s="28"/>
      <c r="E2601" s="28"/>
      <c r="F2601" s="28"/>
      <c r="G2601" s="28"/>
      <c r="H2601" s="28"/>
      <c r="I2601" s="28"/>
      <c r="J2601" s="28"/>
      <c r="K2601" s="28"/>
      <c r="L2601" s="28"/>
      <c r="M2601" s="28"/>
      <c r="N2601" s="28"/>
      <c r="O2601" s="28"/>
      <c r="P2601" s="28"/>
      <c r="Q2601" s="28"/>
      <c r="R2601" s="28"/>
      <c r="S2601" s="28"/>
    </row>
    <row r="2602" spans="1:19" x14ac:dyDescent="0.25">
      <c r="A2602" s="28"/>
      <c r="B2602" s="28"/>
      <c r="C2602" s="28"/>
      <c r="D2602" s="28"/>
      <c r="E2602" s="28"/>
      <c r="F2602" s="28"/>
      <c r="G2602" s="28"/>
      <c r="H2602" s="28"/>
      <c r="I2602" s="28"/>
      <c r="J2602" s="28"/>
      <c r="K2602" s="28"/>
      <c r="L2602" s="28"/>
      <c r="M2602" s="28"/>
      <c r="N2602" s="28"/>
      <c r="O2602" s="28"/>
      <c r="P2602" s="28"/>
      <c r="Q2602" s="28"/>
      <c r="R2602" s="28"/>
      <c r="S2602" s="28"/>
    </row>
    <row r="2603" spans="1:19" x14ac:dyDescent="0.25">
      <c r="A2603" s="28"/>
      <c r="B2603" s="28"/>
      <c r="C2603" s="28"/>
      <c r="D2603" s="28"/>
      <c r="E2603" s="28"/>
      <c r="F2603" s="28"/>
      <c r="G2603" s="28"/>
      <c r="H2603" s="28"/>
      <c r="I2603" s="28"/>
      <c r="J2603" s="28"/>
      <c r="K2603" s="28"/>
      <c r="L2603" s="28"/>
      <c r="M2603" s="28"/>
      <c r="N2603" s="28"/>
      <c r="O2603" s="28"/>
      <c r="P2603" s="28"/>
      <c r="Q2603" s="28"/>
      <c r="R2603" s="28"/>
      <c r="S2603" s="28"/>
    </row>
    <row r="2604" spans="1:19" x14ac:dyDescent="0.25">
      <c r="A2604" s="28"/>
      <c r="B2604" s="28"/>
      <c r="C2604" s="28"/>
      <c r="D2604" s="28"/>
      <c r="E2604" s="28"/>
      <c r="F2604" s="28"/>
      <c r="G2604" s="28"/>
      <c r="H2604" s="28"/>
      <c r="I2604" s="28"/>
      <c r="J2604" s="28"/>
      <c r="K2604" s="28"/>
      <c r="L2604" s="28"/>
      <c r="M2604" s="28"/>
      <c r="N2604" s="28"/>
      <c r="O2604" s="28"/>
      <c r="P2604" s="28"/>
      <c r="Q2604" s="28"/>
      <c r="R2604" s="28"/>
      <c r="S2604" s="28"/>
    </row>
    <row r="2605" spans="1:19" x14ac:dyDescent="0.25">
      <c r="A2605" s="28"/>
      <c r="B2605" s="28"/>
      <c r="C2605" s="28"/>
      <c r="D2605" s="28"/>
      <c r="E2605" s="28"/>
      <c r="F2605" s="28"/>
      <c r="G2605" s="28"/>
      <c r="H2605" s="28"/>
      <c r="I2605" s="28"/>
      <c r="J2605" s="28"/>
      <c r="K2605" s="28"/>
      <c r="L2605" s="28"/>
      <c r="M2605" s="28"/>
      <c r="N2605" s="28"/>
      <c r="O2605" s="28"/>
      <c r="P2605" s="28"/>
      <c r="Q2605" s="28"/>
      <c r="R2605" s="28"/>
      <c r="S2605" s="28"/>
    </row>
    <row r="2606" spans="1:19" x14ac:dyDescent="0.25">
      <c r="A2606" s="28"/>
      <c r="B2606" s="28"/>
      <c r="C2606" s="28"/>
      <c r="D2606" s="28"/>
      <c r="E2606" s="28"/>
      <c r="F2606" s="28"/>
      <c r="G2606" s="28"/>
      <c r="H2606" s="28"/>
      <c r="I2606" s="28"/>
      <c r="J2606" s="28"/>
      <c r="K2606" s="28"/>
      <c r="L2606" s="28"/>
      <c r="M2606" s="28"/>
      <c r="N2606" s="28"/>
      <c r="O2606" s="28"/>
      <c r="P2606" s="28"/>
      <c r="Q2606" s="28"/>
      <c r="R2606" s="28"/>
      <c r="S2606" s="28"/>
    </row>
    <row r="2607" spans="1:19" x14ac:dyDescent="0.25">
      <c r="A2607" s="28"/>
      <c r="B2607" s="28"/>
      <c r="C2607" s="28"/>
      <c r="D2607" s="28"/>
      <c r="E2607" s="28"/>
      <c r="F2607" s="28"/>
      <c r="G2607" s="28"/>
      <c r="H2607" s="28"/>
      <c r="I2607" s="28"/>
      <c r="J2607" s="28"/>
      <c r="K2607" s="28"/>
      <c r="L2607" s="28"/>
      <c r="M2607" s="28"/>
      <c r="N2607" s="28"/>
      <c r="O2607" s="28"/>
      <c r="P2607" s="28"/>
      <c r="Q2607" s="28"/>
      <c r="R2607" s="28"/>
      <c r="S2607" s="28"/>
    </row>
    <row r="2608" spans="1:19" x14ac:dyDescent="0.25">
      <c r="A2608" s="28"/>
      <c r="B2608" s="28"/>
      <c r="C2608" s="28"/>
      <c r="D2608" s="28"/>
      <c r="E2608" s="28"/>
      <c r="F2608" s="28"/>
      <c r="G2608" s="28"/>
      <c r="H2608" s="28"/>
      <c r="I2608" s="28"/>
      <c r="J2608" s="28"/>
      <c r="K2608" s="28"/>
      <c r="L2608" s="28"/>
      <c r="M2608" s="28"/>
      <c r="N2608" s="28"/>
      <c r="O2608" s="28"/>
      <c r="P2608" s="28"/>
      <c r="Q2608" s="28"/>
      <c r="R2608" s="28"/>
      <c r="S2608" s="28"/>
    </row>
    <row r="2609" spans="1:19" x14ac:dyDescent="0.25">
      <c r="A2609" s="28"/>
      <c r="B2609" s="28"/>
      <c r="C2609" s="28"/>
      <c r="D2609" s="28"/>
      <c r="E2609" s="28"/>
      <c r="F2609" s="28"/>
      <c r="G2609" s="28"/>
      <c r="H2609" s="28"/>
      <c r="I2609" s="28"/>
      <c r="J2609" s="28"/>
      <c r="K2609" s="28"/>
      <c r="L2609" s="28"/>
      <c r="M2609" s="28"/>
      <c r="N2609" s="28"/>
      <c r="O2609" s="28"/>
      <c r="P2609" s="28"/>
      <c r="Q2609" s="28"/>
      <c r="R2609" s="28"/>
      <c r="S2609" s="28"/>
    </row>
    <row r="2610" spans="1:19" x14ac:dyDescent="0.25">
      <c r="A2610" s="28"/>
      <c r="B2610" s="28"/>
      <c r="C2610" s="28"/>
      <c r="D2610" s="28"/>
      <c r="E2610" s="28"/>
      <c r="F2610" s="28"/>
      <c r="G2610" s="28"/>
      <c r="H2610" s="28"/>
      <c r="I2610" s="28"/>
      <c r="J2610" s="28"/>
      <c r="K2610" s="28"/>
      <c r="L2610" s="28"/>
      <c r="M2610" s="28"/>
      <c r="N2610" s="28"/>
      <c r="O2610" s="28"/>
      <c r="P2610" s="28"/>
      <c r="Q2610" s="28"/>
      <c r="R2610" s="28"/>
      <c r="S2610" s="28"/>
    </row>
    <row r="2611" spans="1:19" x14ac:dyDescent="0.25">
      <c r="A2611" s="28"/>
      <c r="B2611" s="28"/>
      <c r="C2611" s="28"/>
      <c r="D2611" s="28"/>
      <c r="E2611" s="28"/>
      <c r="F2611" s="28"/>
      <c r="G2611" s="28"/>
      <c r="H2611" s="28"/>
      <c r="I2611" s="28"/>
      <c r="J2611" s="28"/>
      <c r="K2611" s="28"/>
      <c r="L2611" s="28"/>
      <c r="M2611" s="28"/>
      <c r="N2611" s="28"/>
      <c r="O2611" s="28"/>
      <c r="P2611" s="28"/>
      <c r="Q2611" s="28"/>
      <c r="R2611" s="28"/>
      <c r="S2611" s="28"/>
    </row>
    <row r="2612" spans="1:19" x14ac:dyDescent="0.25">
      <c r="A2612" s="28"/>
      <c r="B2612" s="28"/>
      <c r="C2612" s="28"/>
      <c r="D2612" s="28"/>
      <c r="E2612" s="28"/>
      <c r="F2612" s="28"/>
      <c r="G2612" s="28"/>
      <c r="H2612" s="28"/>
      <c r="I2612" s="28"/>
      <c r="J2612" s="28"/>
      <c r="K2612" s="28"/>
      <c r="L2612" s="28"/>
      <c r="M2612" s="28"/>
      <c r="N2612" s="28"/>
      <c r="O2612" s="28"/>
      <c r="P2612" s="28"/>
      <c r="Q2612" s="28"/>
      <c r="R2612" s="28"/>
      <c r="S2612" s="28"/>
    </row>
    <row r="2613" spans="1:19" x14ac:dyDescent="0.25">
      <c r="A2613" s="28"/>
      <c r="B2613" s="28"/>
      <c r="C2613" s="28"/>
      <c r="D2613" s="28"/>
      <c r="E2613" s="28"/>
      <c r="F2613" s="28"/>
      <c r="G2613" s="28"/>
      <c r="H2613" s="28"/>
      <c r="I2613" s="28"/>
      <c r="J2613" s="28"/>
      <c r="K2613" s="28"/>
      <c r="L2613" s="28"/>
      <c r="M2613" s="28"/>
      <c r="N2613" s="28"/>
      <c r="O2613" s="28"/>
      <c r="P2613" s="28"/>
      <c r="Q2613" s="28"/>
      <c r="R2613" s="28"/>
      <c r="S2613" s="28"/>
    </row>
    <row r="2614" spans="1:19" x14ac:dyDescent="0.25">
      <c r="A2614" s="28"/>
      <c r="B2614" s="28"/>
      <c r="C2614" s="28"/>
      <c r="D2614" s="28"/>
      <c r="E2614" s="28"/>
      <c r="F2614" s="28"/>
      <c r="G2614" s="28"/>
      <c r="H2614" s="28"/>
      <c r="I2614" s="28"/>
      <c r="J2614" s="28"/>
      <c r="K2614" s="28"/>
      <c r="L2614" s="28"/>
      <c r="M2614" s="28"/>
      <c r="N2614" s="28"/>
      <c r="O2614" s="28"/>
      <c r="P2614" s="28"/>
      <c r="Q2614" s="28"/>
      <c r="R2614" s="28"/>
      <c r="S2614" s="28"/>
    </row>
    <row r="2615" spans="1:19" x14ac:dyDescent="0.25">
      <c r="A2615" s="28"/>
      <c r="B2615" s="28"/>
      <c r="C2615" s="28"/>
      <c r="D2615" s="28"/>
      <c r="E2615" s="28"/>
      <c r="F2615" s="28"/>
      <c r="G2615" s="28"/>
      <c r="H2615" s="28"/>
      <c r="I2615" s="28"/>
      <c r="J2615" s="28"/>
      <c r="K2615" s="28"/>
      <c r="L2615" s="28"/>
      <c r="M2615" s="28"/>
      <c r="N2615" s="28"/>
      <c r="O2615" s="28"/>
      <c r="P2615" s="28"/>
      <c r="Q2615" s="28"/>
      <c r="R2615" s="28"/>
      <c r="S2615" s="28"/>
    </row>
    <row r="2616" spans="1:19" x14ac:dyDescent="0.25">
      <c r="A2616" s="28"/>
      <c r="B2616" s="28"/>
      <c r="C2616" s="28"/>
      <c r="D2616" s="28"/>
      <c r="E2616" s="28"/>
      <c r="F2616" s="28"/>
      <c r="G2616" s="28"/>
      <c r="H2616" s="28"/>
      <c r="I2616" s="28"/>
      <c r="J2616" s="28"/>
      <c r="K2616" s="28"/>
      <c r="L2616" s="28"/>
      <c r="M2616" s="28"/>
      <c r="N2616" s="28"/>
      <c r="O2616" s="28"/>
      <c r="P2616" s="28"/>
      <c r="Q2616" s="28"/>
      <c r="R2616" s="28"/>
      <c r="S2616" s="28"/>
    </row>
    <row r="2617" spans="1:19" x14ac:dyDescent="0.25">
      <c r="A2617" s="28"/>
      <c r="B2617" s="28"/>
      <c r="C2617" s="28"/>
      <c r="D2617" s="28"/>
      <c r="E2617" s="28"/>
      <c r="F2617" s="28"/>
      <c r="G2617" s="28"/>
      <c r="H2617" s="28"/>
      <c r="I2617" s="28"/>
      <c r="J2617" s="28"/>
      <c r="K2617" s="28"/>
      <c r="L2617" s="28"/>
      <c r="M2617" s="28"/>
      <c r="N2617" s="28"/>
      <c r="O2617" s="28"/>
      <c r="P2617" s="28"/>
      <c r="Q2617" s="28"/>
      <c r="R2617" s="28"/>
      <c r="S2617" s="28"/>
    </row>
    <row r="2618" spans="1:19" x14ac:dyDescent="0.25">
      <c r="A2618" s="28"/>
      <c r="B2618" s="28"/>
      <c r="C2618" s="28"/>
      <c r="D2618" s="28"/>
      <c r="E2618" s="28"/>
      <c r="F2618" s="28"/>
      <c r="G2618" s="28"/>
      <c r="H2618" s="28"/>
      <c r="I2618" s="28"/>
      <c r="J2618" s="28"/>
      <c r="K2618" s="28"/>
      <c r="L2618" s="28"/>
      <c r="M2618" s="28"/>
      <c r="N2618" s="28"/>
      <c r="O2618" s="28"/>
      <c r="P2618" s="28"/>
      <c r="Q2618" s="28"/>
      <c r="R2618" s="28"/>
      <c r="S2618" s="28"/>
    </row>
    <row r="2619" spans="1:19" x14ac:dyDescent="0.25">
      <c r="A2619" s="28"/>
      <c r="B2619" s="28"/>
      <c r="C2619" s="28"/>
      <c r="D2619" s="28"/>
      <c r="E2619" s="28"/>
      <c r="F2619" s="28"/>
      <c r="G2619" s="28"/>
      <c r="H2619" s="28"/>
      <c r="I2619" s="28"/>
      <c r="J2619" s="28"/>
      <c r="K2619" s="28"/>
      <c r="L2619" s="28"/>
      <c r="M2619" s="28"/>
      <c r="N2619" s="28"/>
      <c r="O2619" s="28"/>
      <c r="P2619" s="28"/>
      <c r="Q2619" s="28"/>
      <c r="R2619" s="28"/>
      <c r="S2619" s="28"/>
    </row>
    <row r="2620" spans="1:19" x14ac:dyDescent="0.25">
      <c r="A2620" s="28"/>
      <c r="B2620" s="28"/>
      <c r="C2620" s="28"/>
      <c r="D2620" s="28"/>
      <c r="E2620" s="28"/>
      <c r="F2620" s="28"/>
      <c r="G2620" s="28"/>
      <c r="H2620" s="28"/>
      <c r="I2620" s="28"/>
      <c r="J2620" s="28"/>
      <c r="K2620" s="28"/>
      <c r="L2620" s="28"/>
      <c r="M2620" s="28"/>
      <c r="N2620" s="28"/>
      <c r="O2620" s="28"/>
      <c r="P2620" s="28"/>
      <c r="Q2620" s="28"/>
      <c r="R2620" s="28"/>
      <c r="S2620" s="28"/>
    </row>
    <row r="2621" spans="1:19" x14ac:dyDescent="0.25">
      <c r="A2621" s="28"/>
      <c r="B2621" s="28"/>
      <c r="C2621" s="28"/>
      <c r="D2621" s="28"/>
      <c r="E2621" s="28"/>
      <c r="F2621" s="28"/>
      <c r="G2621" s="28"/>
      <c r="H2621" s="28"/>
      <c r="I2621" s="28"/>
      <c r="J2621" s="28"/>
      <c r="K2621" s="28"/>
      <c r="L2621" s="28"/>
      <c r="M2621" s="28"/>
      <c r="N2621" s="28"/>
      <c r="O2621" s="28"/>
      <c r="P2621" s="28"/>
      <c r="Q2621" s="28"/>
      <c r="R2621" s="28"/>
      <c r="S2621" s="28"/>
    </row>
    <row r="2622" spans="1:19" x14ac:dyDescent="0.25">
      <c r="A2622" s="28"/>
      <c r="B2622" s="28"/>
      <c r="C2622" s="28"/>
      <c r="D2622" s="28"/>
      <c r="E2622" s="28"/>
      <c r="F2622" s="28"/>
      <c r="G2622" s="28"/>
      <c r="H2622" s="28"/>
      <c r="I2622" s="28"/>
      <c r="J2622" s="28"/>
      <c r="K2622" s="28"/>
      <c r="L2622" s="28"/>
      <c r="M2622" s="28"/>
      <c r="N2622" s="28"/>
      <c r="O2622" s="28"/>
      <c r="P2622" s="28"/>
      <c r="Q2622" s="28"/>
      <c r="R2622" s="28"/>
      <c r="S2622" s="28"/>
    </row>
    <row r="2623" spans="1:19" x14ac:dyDescent="0.25">
      <c r="A2623" s="28"/>
      <c r="B2623" s="28"/>
      <c r="C2623" s="28"/>
      <c r="D2623" s="28"/>
      <c r="E2623" s="28"/>
      <c r="F2623" s="28"/>
      <c r="G2623" s="28"/>
      <c r="H2623" s="28"/>
      <c r="I2623" s="28"/>
      <c r="J2623" s="28"/>
      <c r="K2623" s="28"/>
      <c r="L2623" s="28"/>
      <c r="M2623" s="28"/>
      <c r="N2623" s="28"/>
      <c r="O2623" s="28"/>
      <c r="P2623" s="28"/>
      <c r="Q2623" s="28"/>
      <c r="R2623" s="28"/>
      <c r="S2623" s="28"/>
    </row>
    <row r="2624" spans="1:19" x14ac:dyDescent="0.25">
      <c r="A2624" s="28"/>
      <c r="B2624" s="28"/>
      <c r="C2624" s="28"/>
      <c r="D2624" s="28"/>
      <c r="E2624" s="28"/>
      <c r="F2624" s="28"/>
      <c r="G2624" s="28"/>
      <c r="H2624" s="28"/>
      <c r="I2624" s="28"/>
      <c r="J2624" s="28"/>
      <c r="K2624" s="28"/>
      <c r="L2624" s="28"/>
      <c r="M2624" s="28"/>
      <c r="N2624" s="28"/>
      <c r="O2624" s="28"/>
      <c r="P2624" s="28"/>
      <c r="Q2624" s="28"/>
      <c r="R2624" s="28"/>
      <c r="S2624" s="28"/>
    </row>
    <row r="2625" spans="1:19" x14ac:dyDescent="0.25">
      <c r="A2625" s="28"/>
      <c r="B2625" s="28"/>
      <c r="C2625" s="28"/>
      <c r="D2625" s="28"/>
      <c r="E2625" s="28"/>
      <c r="F2625" s="28"/>
      <c r="G2625" s="28"/>
      <c r="H2625" s="28"/>
      <c r="I2625" s="28"/>
      <c r="J2625" s="28"/>
      <c r="K2625" s="28"/>
      <c r="L2625" s="28"/>
      <c r="M2625" s="28"/>
      <c r="N2625" s="28"/>
      <c r="O2625" s="28"/>
      <c r="P2625" s="28"/>
      <c r="Q2625" s="28"/>
      <c r="R2625" s="28"/>
      <c r="S2625" s="28"/>
    </row>
    <row r="2626" spans="1:19" x14ac:dyDescent="0.25">
      <c r="A2626" s="28"/>
      <c r="B2626" s="28"/>
      <c r="C2626" s="28"/>
      <c r="D2626" s="28"/>
      <c r="E2626" s="28"/>
      <c r="F2626" s="28"/>
      <c r="G2626" s="28"/>
      <c r="H2626" s="28"/>
      <c r="I2626" s="28"/>
      <c r="J2626" s="28"/>
      <c r="K2626" s="28"/>
      <c r="L2626" s="28"/>
      <c r="M2626" s="28"/>
      <c r="N2626" s="28"/>
      <c r="O2626" s="28"/>
      <c r="P2626" s="28"/>
      <c r="Q2626" s="28"/>
      <c r="R2626" s="28"/>
      <c r="S2626" s="28"/>
    </row>
    <row r="2627" spans="1:19" x14ac:dyDescent="0.25">
      <c r="A2627" s="28"/>
      <c r="B2627" s="28"/>
      <c r="C2627" s="28"/>
      <c r="D2627" s="28"/>
      <c r="E2627" s="28"/>
      <c r="F2627" s="28"/>
      <c r="G2627" s="28"/>
      <c r="H2627" s="28"/>
      <c r="I2627" s="28"/>
      <c r="J2627" s="28"/>
      <c r="K2627" s="28"/>
      <c r="L2627" s="28"/>
      <c r="M2627" s="28"/>
      <c r="N2627" s="28"/>
      <c r="O2627" s="28"/>
      <c r="P2627" s="28"/>
      <c r="Q2627" s="28"/>
      <c r="R2627" s="28"/>
      <c r="S2627" s="28"/>
    </row>
    <row r="2628" spans="1:19" x14ac:dyDescent="0.25">
      <c r="A2628" s="28"/>
      <c r="B2628" s="28"/>
      <c r="C2628" s="28"/>
      <c r="D2628" s="28"/>
      <c r="E2628" s="28"/>
      <c r="F2628" s="28"/>
      <c r="G2628" s="28"/>
      <c r="H2628" s="28"/>
      <c r="I2628" s="28"/>
      <c r="J2628" s="28"/>
      <c r="K2628" s="28"/>
      <c r="L2628" s="28"/>
      <c r="M2628" s="28"/>
      <c r="N2628" s="28"/>
      <c r="O2628" s="28"/>
      <c r="P2628" s="28"/>
      <c r="Q2628" s="28"/>
      <c r="R2628" s="28"/>
      <c r="S2628" s="28"/>
    </row>
    <row r="2629" spans="1:19" x14ac:dyDescent="0.25">
      <c r="A2629" s="28"/>
      <c r="B2629" s="28"/>
      <c r="C2629" s="28"/>
      <c r="D2629" s="28"/>
      <c r="E2629" s="28"/>
      <c r="F2629" s="28"/>
      <c r="G2629" s="28"/>
      <c r="H2629" s="28"/>
      <c r="I2629" s="28"/>
      <c r="J2629" s="28"/>
      <c r="K2629" s="28"/>
      <c r="L2629" s="28"/>
      <c r="M2629" s="28"/>
      <c r="N2629" s="28"/>
      <c r="O2629" s="28"/>
      <c r="P2629" s="28"/>
      <c r="Q2629" s="28"/>
      <c r="R2629" s="28"/>
      <c r="S2629" s="28"/>
    </row>
    <row r="2630" spans="1:19" x14ac:dyDescent="0.25">
      <c r="A2630" s="28"/>
      <c r="B2630" s="28"/>
      <c r="C2630" s="28"/>
      <c r="D2630" s="28"/>
      <c r="E2630" s="28"/>
      <c r="F2630" s="28"/>
      <c r="G2630" s="28"/>
      <c r="H2630" s="28"/>
      <c r="I2630" s="28"/>
      <c r="J2630" s="28"/>
      <c r="K2630" s="28"/>
      <c r="L2630" s="28"/>
      <c r="M2630" s="28"/>
      <c r="N2630" s="28"/>
      <c r="O2630" s="28"/>
      <c r="P2630" s="28"/>
      <c r="Q2630" s="28"/>
      <c r="R2630" s="28"/>
      <c r="S2630" s="28"/>
    </row>
    <row r="2631" spans="1:19" x14ac:dyDescent="0.25">
      <c r="A2631" s="28"/>
      <c r="B2631" s="28"/>
      <c r="C2631" s="28"/>
      <c r="D2631" s="28"/>
      <c r="E2631" s="28"/>
      <c r="F2631" s="28"/>
      <c r="G2631" s="28"/>
      <c r="H2631" s="28"/>
      <c r="I2631" s="28"/>
      <c r="J2631" s="28"/>
      <c r="K2631" s="28"/>
      <c r="L2631" s="28"/>
      <c r="M2631" s="28"/>
      <c r="N2631" s="28"/>
      <c r="O2631" s="28"/>
      <c r="P2631" s="28"/>
      <c r="Q2631" s="28"/>
      <c r="R2631" s="28"/>
      <c r="S2631" s="28"/>
    </row>
    <row r="2632" spans="1:19" x14ac:dyDescent="0.25">
      <c r="A2632" s="28"/>
      <c r="B2632" s="28"/>
      <c r="C2632" s="28"/>
      <c r="D2632" s="28"/>
      <c r="E2632" s="28"/>
      <c r="F2632" s="28"/>
      <c r="G2632" s="28"/>
      <c r="H2632" s="28"/>
      <c r="I2632" s="28"/>
      <c r="J2632" s="28"/>
      <c r="K2632" s="28"/>
      <c r="L2632" s="28"/>
      <c r="M2632" s="28"/>
      <c r="N2632" s="28"/>
      <c r="O2632" s="28"/>
      <c r="P2632" s="28"/>
      <c r="Q2632" s="28"/>
      <c r="R2632" s="28"/>
      <c r="S2632" s="28"/>
    </row>
    <row r="2633" spans="1:19" x14ac:dyDescent="0.25">
      <c r="A2633" s="28"/>
      <c r="B2633" s="28"/>
      <c r="C2633" s="28"/>
      <c r="D2633" s="28"/>
      <c r="E2633" s="28"/>
      <c r="F2633" s="28"/>
      <c r="G2633" s="28"/>
      <c r="H2633" s="28"/>
      <c r="I2633" s="28"/>
      <c r="J2633" s="28"/>
      <c r="K2633" s="28"/>
      <c r="L2633" s="28"/>
      <c r="M2633" s="28"/>
      <c r="N2633" s="28"/>
      <c r="O2633" s="28"/>
      <c r="P2633" s="28"/>
      <c r="Q2633" s="28"/>
      <c r="R2633" s="28"/>
      <c r="S2633" s="28"/>
    </row>
    <row r="2634" spans="1:19" x14ac:dyDescent="0.25">
      <c r="A2634" s="28"/>
      <c r="B2634" s="28"/>
      <c r="C2634" s="28"/>
      <c r="D2634" s="28"/>
      <c r="E2634" s="28"/>
      <c r="F2634" s="28"/>
      <c r="G2634" s="28"/>
      <c r="H2634" s="28"/>
      <c r="I2634" s="28"/>
      <c r="J2634" s="28"/>
      <c r="K2634" s="28"/>
      <c r="L2634" s="28"/>
      <c r="M2634" s="28"/>
      <c r="N2634" s="28"/>
      <c r="O2634" s="28"/>
      <c r="P2634" s="28"/>
      <c r="Q2634" s="28"/>
      <c r="R2634" s="28"/>
      <c r="S2634" s="28"/>
    </row>
    <row r="2635" spans="1:19" x14ac:dyDescent="0.25">
      <c r="A2635" s="28"/>
      <c r="B2635" s="28"/>
      <c r="C2635" s="28"/>
      <c r="D2635" s="28"/>
      <c r="E2635" s="28"/>
      <c r="F2635" s="28"/>
      <c r="G2635" s="28"/>
      <c r="H2635" s="28"/>
      <c r="I2635" s="28"/>
      <c r="J2635" s="28"/>
      <c r="K2635" s="28"/>
      <c r="L2635" s="28"/>
      <c r="M2635" s="28"/>
      <c r="N2635" s="28"/>
      <c r="O2635" s="28"/>
      <c r="P2635" s="28"/>
      <c r="Q2635" s="28"/>
      <c r="R2635" s="28"/>
      <c r="S2635" s="28"/>
    </row>
    <row r="2636" spans="1:19" x14ac:dyDescent="0.25">
      <c r="A2636" s="28"/>
      <c r="B2636" s="28"/>
      <c r="C2636" s="28"/>
      <c r="D2636" s="28"/>
      <c r="E2636" s="28"/>
      <c r="F2636" s="28"/>
      <c r="G2636" s="28"/>
      <c r="H2636" s="28"/>
      <c r="I2636" s="28"/>
      <c r="J2636" s="28"/>
      <c r="K2636" s="28"/>
      <c r="L2636" s="28"/>
      <c r="M2636" s="28"/>
      <c r="N2636" s="28"/>
      <c r="O2636" s="28"/>
      <c r="P2636" s="28"/>
      <c r="Q2636" s="28"/>
      <c r="R2636" s="28"/>
      <c r="S2636" s="28"/>
    </row>
    <row r="2637" spans="1:19" x14ac:dyDescent="0.25">
      <c r="A2637" s="28"/>
      <c r="B2637" s="28"/>
      <c r="C2637" s="28"/>
      <c r="D2637" s="28"/>
      <c r="E2637" s="28"/>
      <c r="F2637" s="28"/>
      <c r="G2637" s="28"/>
      <c r="H2637" s="28"/>
      <c r="I2637" s="28"/>
      <c r="J2637" s="28"/>
      <c r="K2637" s="28"/>
      <c r="L2637" s="28"/>
      <c r="M2637" s="28"/>
      <c r="N2637" s="28"/>
      <c r="O2637" s="28"/>
      <c r="P2637" s="28"/>
      <c r="Q2637" s="28"/>
      <c r="R2637" s="28"/>
      <c r="S2637" s="28"/>
    </row>
    <row r="2638" spans="1:19" x14ac:dyDescent="0.25">
      <c r="A2638" s="28"/>
      <c r="B2638" s="28"/>
      <c r="C2638" s="28"/>
      <c r="D2638" s="28"/>
      <c r="E2638" s="28"/>
      <c r="F2638" s="28"/>
      <c r="G2638" s="28"/>
      <c r="H2638" s="28"/>
      <c r="I2638" s="28"/>
      <c r="J2638" s="28"/>
      <c r="K2638" s="28"/>
      <c r="L2638" s="28"/>
      <c r="M2638" s="28"/>
      <c r="N2638" s="28"/>
      <c r="O2638" s="28"/>
      <c r="P2638" s="28"/>
      <c r="Q2638" s="28"/>
      <c r="R2638" s="28"/>
      <c r="S2638" s="28"/>
    </row>
    <row r="2639" spans="1:19" x14ac:dyDescent="0.25">
      <c r="A2639" s="28"/>
      <c r="B2639" s="28"/>
      <c r="C2639" s="28"/>
      <c r="D2639" s="28"/>
      <c r="E2639" s="28"/>
      <c r="F2639" s="28"/>
      <c r="G2639" s="28"/>
      <c r="H2639" s="28"/>
      <c r="I2639" s="28"/>
      <c r="J2639" s="28"/>
      <c r="K2639" s="28"/>
      <c r="L2639" s="28"/>
      <c r="M2639" s="28"/>
      <c r="N2639" s="28"/>
      <c r="O2639" s="28"/>
      <c r="P2639" s="28"/>
      <c r="Q2639" s="28"/>
      <c r="R2639" s="28"/>
      <c r="S2639" s="28"/>
    </row>
    <row r="2640" spans="1:19" x14ac:dyDescent="0.25">
      <c r="A2640" s="28"/>
      <c r="B2640" s="28"/>
      <c r="C2640" s="28"/>
      <c r="D2640" s="28"/>
      <c r="E2640" s="28"/>
      <c r="F2640" s="28"/>
      <c r="G2640" s="28"/>
      <c r="H2640" s="28"/>
      <c r="I2640" s="28"/>
      <c r="J2640" s="28"/>
      <c r="K2640" s="28"/>
      <c r="L2640" s="28"/>
      <c r="M2640" s="28"/>
      <c r="N2640" s="28"/>
      <c r="O2640" s="28"/>
      <c r="P2640" s="28"/>
      <c r="Q2640" s="28"/>
      <c r="R2640" s="28"/>
      <c r="S2640" s="28"/>
    </row>
    <row r="2641" spans="1:19" x14ac:dyDescent="0.25">
      <c r="A2641" s="28"/>
      <c r="B2641" s="28"/>
      <c r="C2641" s="28"/>
      <c r="D2641" s="28"/>
      <c r="E2641" s="28"/>
      <c r="F2641" s="28"/>
      <c r="G2641" s="28"/>
      <c r="H2641" s="28"/>
      <c r="I2641" s="28"/>
      <c r="J2641" s="28"/>
      <c r="K2641" s="28"/>
      <c r="L2641" s="28"/>
      <c r="M2641" s="28"/>
      <c r="N2641" s="28"/>
      <c r="O2641" s="28"/>
      <c r="P2641" s="28"/>
      <c r="Q2641" s="28"/>
      <c r="R2641" s="28"/>
      <c r="S2641" s="28"/>
    </row>
    <row r="2642" spans="1:19" x14ac:dyDescent="0.25">
      <c r="A2642" s="28"/>
      <c r="B2642" s="28"/>
      <c r="C2642" s="28"/>
      <c r="D2642" s="28"/>
      <c r="E2642" s="28"/>
      <c r="F2642" s="28"/>
      <c r="G2642" s="28"/>
      <c r="H2642" s="28"/>
      <c r="I2642" s="28"/>
      <c r="J2642" s="28"/>
      <c r="K2642" s="28"/>
      <c r="L2642" s="28"/>
      <c r="M2642" s="28"/>
      <c r="N2642" s="28"/>
      <c r="O2642" s="28"/>
      <c r="P2642" s="28"/>
      <c r="Q2642" s="28"/>
      <c r="R2642" s="28"/>
      <c r="S2642" s="28"/>
    </row>
    <row r="2643" spans="1:19" x14ac:dyDescent="0.25">
      <c r="A2643" s="28"/>
      <c r="B2643" s="28"/>
      <c r="C2643" s="28"/>
      <c r="D2643" s="28"/>
      <c r="E2643" s="28"/>
      <c r="F2643" s="28"/>
      <c r="G2643" s="28"/>
      <c r="H2643" s="28"/>
      <c r="I2643" s="28"/>
      <c r="J2643" s="28"/>
      <c r="K2643" s="28"/>
      <c r="L2643" s="28"/>
      <c r="M2643" s="28"/>
      <c r="N2643" s="28"/>
      <c r="O2643" s="28"/>
      <c r="P2643" s="28"/>
      <c r="Q2643" s="28"/>
      <c r="R2643" s="28"/>
      <c r="S2643" s="28"/>
    </row>
    <row r="2644" spans="1:19" x14ac:dyDescent="0.25">
      <c r="A2644" s="28"/>
      <c r="B2644" s="28"/>
      <c r="C2644" s="28"/>
      <c r="D2644" s="28"/>
      <c r="E2644" s="28"/>
      <c r="F2644" s="28"/>
      <c r="G2644" s="28"/>
      <c r="H2644" s="28"/>
      <c r="I2644" s="28"/>
      <c r="J2644" s="28"/>
      <c r="K2644" s="28"/>
      <c r="L2644" s="28"/>
      <c r="M2644" s="28"/>
      <c r="N2644" s="28"/>
      <c r="O2644" s="28"/>
      <c r="P2644" s="28"/>
      <c r="Q2644" s="28"/>
      <c r="R2644" s="28"/>
      <c r="S2644" s="28"/>
    </row>
    <row r="2645" spans="1:19" x14ac:dyDescent="0.25">
      <c r="A2645" s="28"/>
      <c r="B2645" s="28"/>
      <c r="C2645" s="28"/>
      <c r="D2645" s="28"/>
      <c r="E2645" s="28"/>
      <c r="F2645" s="28"/>
      <c r="G2645" s="28"/>
      <c r="H2645" s="28"/>
      <c r="I2645" s="28"/>
      <c r="J2645" s="28"/>
      <c r="K2645" s="28"/>
      <c r="L2645" s="28"/>
      <c r="M2645" s="28"/>
      <c r="N2645" s="28"/>
      <c r="O2645" s="28"/>
      <c r="P2645" s="28"/>
      <c r="Q2645" s="28"/>
      <c r="R2645" s="28"/>
      <c r="S2645" s="28"/>
    </row>
    <row r="2646" spans="1:19" x14ac:dyDescent="0.25">
      <c r="A2646" s="28"/>
      <c r="B2646" s="28"/>
      <c r="C2646" s="28"/>
      <c r="D2646" s="28"/>
      <c r="E2646" s="28"/>
      <c r="F2646" s="28"/>
      <c r="G2646" s="28"/>
      <c r="H2646" s="28"/>
      <c r="I2646" s="28"/>
      <c r="J2646" s="28"/>
      <c r="K2646" s="28"/>
      <c r="L2646" s="28"/>
      <c r="M2646" s="28"/>
      <c r="N2646" s="28"/>
      <c r="O2646" s="28"/>
      <c r="P2646" s="28"/>
      <c r="Q2646" s="28"/>
      <c r="R2646" s="28"/>
      <c r="S2646" s="28"/>
    </row>
    <row r="2647" spans="1:19" x14ac:dyDescent="0.25">
      <c r="A2647" s="28"/>
      <c r="B2647" s="28"/>
      <c r="C2647" s="28"/>
      <c r="D2647" s="28"/>
      <c r="E2647" s="28"/>
      <c r="F2647" s="28"/>
      <c r="G2647" s="28"/>
      <c r="H2647" s="28"/>
      <c r="I2647" s="28"/>
      <c r="J2647" s="28"/>
      <c r="K2647" s="28"/>
      <c r="L2647" s="28"/>
      <c r="M2647" s="28"/>
      <c r="N2647" s="28"/>
      <c r="O2647" s="28"/>
      <c r="P2647" s="28"/>
      <c r="Q2647" s="28"/>
      <c r="R2647" s="28"/>
      <c r="S2647" s="28"/>
    </row>
    <row r="2648" spans="1:19" x14ac:dyDescent="0.25">
      <c r="A2648" s="28"/>
      <c r="B2648" s="28"/>
      <c r="C2648" s="28"/>
      <c r="D2648" s="28"/>
      <c r="E2648" s="28"/>
      <c r="F2648" s="28"/>
      <c r="G2648" s="28"/>
      <c r="H2648" s="28"/>
      <c r="I2648" s="28"/>
      <c r="J2648" s="28"/>
      <c r="K2648" s="28"/>
      <c r="L2648" s="28"/>
      <c r="M2648" s="28"/>
      <c r="N2648" s="28"/>
      <c r="O2648" s="28"/>
      <c r="P2648" s="28"/>
      <c r="Q2648" s="28"/>
      <c r="R2648" s="28"/>
      <c r="S2648" s="28"/>
    </row>
    <row r="2649" spans="1:19" x14ac:dyDescent="0.25">
      <c r="A2649" s="28"/>
      <c r="B2649" s="28"/>
      <c r="C2649" s="28"/>
      <c r="D2649" s="28"/>
      <c r="E2649" s="28"/>
      <c r="F2649" s="28"/>
      <c r="G2649" s="28"/>
      <c r="H2649" s="28"/>
      <c r="I2649" s="28"/>
      <c r="J2649" s="28"/>
      <c r="K2649" s="28"/>
      <c r="L2649" s="28"/>
      <c r="M2649" s="28"/>
      <c r="N2649" s="28"/>
      <c r="O2649" s="28"/>
      <c r="P2649" s="28"/>
      <c r="Q2649" s="28"/>
      <c r="R2649" s="28"/>
      <c r="S2649" s="28"/>
    </row>
    <row r="2650" spans="1:19" x14ac:dyDescent="0.25">
      <c r="A2650" s="28"/>
      <c r="B2650" s="28"/>
      <c r="C2650" s="28"/>
      <c r="D2650" s="28"/>
      <c r="E2650" s="28"/>
      <c r="F2650" s="28"/>
      <c r="G2650" s="28"/>
      <c r="H2650" s="28"/>
      <c r="I2650" s="28"/>
      <c r="J2650" s="28"/>
      <c r="K2650" s="28"/>
      <c r="L2650" s="28"/>
      <c r="M2650" s="28"/>
      <c r="N2650" s="28"/>
      <c r="O2650" s="28"/>
      <c r="P2650" s="28"/>
      <c r="Q2650" s="28"/>
      <c r="R2650" s="28"/>
      <c r="S2650" s="28"/>
    </row>
    <row r="2651" spans="1:19" x14ac:dyDescent="0.25">
      <c r="A2651" s="28"/>
      <c r="B2651" s="28"/>
      <c r="C2651" s="28"/>
      <c r="D2651" s="28"/>
      <c r="E2651" s="28"/>
      <c r="F2651" s="28"/>
      <c r="G2651" s="28"/>
      <c r="H2651" s="28"/>
      <c r="I2651" s="28"/>
      <c r="J2651" s="28"/>
      <c r="K2651" s="28"/>
      <c r="L2651" s="28"/>
      <c r="M2651" s="28"/>
      <c r="N2651" s="28"/>
      <c r="O2651" s="28"/>
      <c r="P2651" s="28"/>
      <c r="Q2651" s="28"/>
      <c r="R2651" s="28"/>
      <c r="S2651" s="28"/>
    </row>
    <row r="2652" spans="1:19" x14ac:dyDescent="0.25">
      <c r="A2652" s="28"/>
      <c r="B2652" s="28"/>
      <c r="C2652" s="28"/>
      <c r="D2652" s="28"/>
      <c r="E2652" s="28"/>
      <c r="F2652" s="28"/>
      <c r="G2652" s="28"/>
      <c r="H2652" s="28"/>
      <c r="I2652" s="28"/>
      <c r="J2652" s="28"/>
      <c r="K2652" s="28"/>
      <c r="L2652" s="28"/>
      <c r="M2652" s="28"/>
      <c r="N2652" s="28"/>
      <c r="O2652" s="28"/>
      <c r="P2652" s="28"/>
      <c r="Q2652" s="28"/>
      <c r="R2652" s="28"/>
      <c r="S2652" s="28"/>
    </row>
    <row r="2653" spans="1:19" x14ac:dyDescent="0.25">
      <c r="A2653" s="28"/>
      <c r="B2653" s="28"/>
      <c r="C2653" s="28"/>
      <c r="D2653" s="28"/>
      <c r="E2653" s="28"/>
      <c r="F2653" s="28"/>
      <c r="G2653" s="28"/>
      <c r="H2653" s="28"/>
      <c r="I2653" s="28"/>
      <c r="J2653" s="28"/>
      <c r="K2653" s="28"/>
      <c r="L2653" s="28"/>
      <c r="M2653" s="28"/>
      <c r="N2653" s="28"/>
      <c r="O2653" s="28"/>
      <c r="P2653" s="28"/>
      <c r="Q2653" s="28"/>
      <c r="R2653" s="28"/>
      <c r="S2653" s="28"/>
    </row>
    <row r="2654" spans="1:19" x14ac:dyDescent="0.25">
      <c r="A2654" s="28"/>
      <c r="B2654" s="28"/>
      <c r="C2654" s="28"/>
      <c r="D2654" s="28"/>
      <c r="E2654" s="28"/>
      <c r="F2654" s="28"/>
      <c r="G2654" s="28"/>
      <c r="H2654" s="28"/>
      <c r="I2654" s="28"/>
      <c r="J2654" s="28"/>
      <c r="K2654" s="28"/>
      <c r="L2654" s="28"/>
      <c r="M2654" s="28"/>
      <c r="N2654" s="28"/>
      <c r="O2654" s="28"/>
      <c r="P2654" s="28"/>
      <c r="Q2654" s="28"/>
      <c r="R2654" s="28"/>
      <c r="S2654" s="28"/>
    </row>
    <row r="2655" spans="1:19" x14ac:dyDescent="0.25">
      <c r="A2655" s="28"/>
      <c r="B2655" s="28"/>
      <c r="C2655" s="28"/>
      <c r="D2655" s="28"/>
      <c r="E2655" s="28"/>
      <c r="F2655" s="28"/>
      <c r="G2655" s="28"/>
      <c r="H2655" s="28"/>
      <c r="I2655" s="28"/>
      <c r="J2655" s="28"/>
      <c r="K2655" s="28"/>
      <c r="L2655" s="28"/>
      <c r="M2655" s="28"/>
      <c r="N2655" s="28"/>
      <c r="O2655" s="28"/>
      <c r="P2655" s="28"/>
      <c r="Q2655" s="28"/>
      <c r="R2655" s="28"/>
      <c r="S2655" s="28"/>
    </row>
    <row r="2656" spans="1:19" x14ac:dyDescent="0.25">
      <c r="A2656" s="28"/>
      <c r="B2656" s="28"/>
      <c r="C2656" s="28"/>
      <c r="D2656" s="28"/>
      <c r="E2656" s="28"/>
      <c r="F2656" s="28"/>
      <c r="G2656" s="28"/>
      <c r="H2656" s="28"/>
      <c r="I2656" s="28"/>
      <c r="J2656" s="28"/>
      <c r="K2656" s="28"/>
      <c r="L2656" s="28"/>
      <c r="M2656" s="28"/>
      <c r="N2656" s="28"/>
      <c r="O2656" s="28"/>
      <c r="P2656" s="28"/>
      <c r="Q2656" s="28"/>
      <c r="R2656" s="28"/>
      <c r="S2656" s="28"/>
    </row>
    <row r="2657" spans="1:19" x14ac:dyDescent="0.25">
      <c r="A2657" s="28"/>
      <c r="B2657" s="28"/>
      <c r="C2657" s="28"/>
      <c r="D2657" s="28"/>
      <c r="E2657" s="28"/>
      <c r="F2657" s="28"/>
      <c r="G2657" s="28"/>
      <c r="H2657" s="28"/>
      <c r="I2657" s="28"/>
      <c r="J2657" s="28"/>
      <c r="K2657" s="28"/>
      <c r="L2657" s="28"/>
      <c r="M2657" s="28"/>
      <c r="N2657" s="28"/>
      <c r="O2657" s="28"/>
      <c r="P2657" s="28"/>
      <c r="Q2657" s="28"/>
      <c r="R2657" s="28"/>
      <c r="S2657" s="28"/>
    </row>
    <row r="2658" spans="1:19" x14ac:dyDescent="0.25">
      <c r="A2658" s="28"/>
      <c r="B2658" s="28"/>
      <c r="C2658" s="28"/>
      <c r="D2658" s="28"/>
      <c r="E2658" s="28"/>
      <c r="F2658" s="28"/>
      <c r="G2658" s="28"/>
      <c r="H2658" s="28"/>
      <c r="I2658" s="28"/>
      <c r="J2658" s="28"/>
      <c r="K2658" s="28"/>
      <c r="L2658" s="28"/>
      <c r="M2658" s="28"/>
      <c r="N2658" s="28"/>
      <c r="O2658" s="28"/>
      <c r="P2658" s="28"/>
      <c r="Q2658" s="28"/>
      <c r="R2658" s="28"/>
      <c r="S2658" s="28"/>
    </row>
    <row r="2659" spans="1:19" x14ac:dyDescent="0.25">
      <c r="A2659" s="28"/>
      <c r="B2659" s="28"/>
      <c r="C2659" s="28"/>
      <c r="D2659" s="28"/>
      <c r="E2659" s="28"/>
      <c r="F2659" s="28"/>
      <c r="G2659" s="28"/>
      <c r="H2659" s="28"/>
      <c r="I2659" s="28"/>
      <c r="J2659" s="28"/>
      <c r="K2659" s="28"/>
      <c r="L2659" s="28"/>
      <c r="M2659" s="28"/>
      <c r="N2659" s="28"/>
      <c r="O2659" s="28"/>
      <c r="P2659" s="28"/>
      <c r="Q2659" s="28"/>
      <c r="R2659" s="28"/>
      <c r="S2659" s="28"/>
    </row>
    <row r="2660" spans="1:19" x14ac:dyDescent="0.25">
      <c r="A2660" s="28"/>
      <c r="B2660" s="28"/>
      <c r="C2660" s="28"/>
      <c r="D2660" s="28"/>
      <c r="E2660" s="28"/>
      <c r="F2660" s="28"/>
      <c r="G2660" s="28"/>
      <c r="H2660" s="28"/>
      <c r="I2660" s="28"/>
      <c r="J2660" s="28"/>
      <c r="K2660" s="28"/>
      <c r="L2660" s="28"/>
      <c r="M2660" s="28"/>
      <c r="N2660" s="28"/>
      <c r="O2660" s="28"/>
      <c r="P2660" s="28"/>
      <c r="Q2660" s="28"/>
      <c r="R2660" s="28"/>
      <c r="S2660" s="28"/>
    </row>
    <row r="2661" spans="1:19" x14ac:dyDescent="0.25">
      <c r="A2661" s="28"/>
      <c r="B2661" s="28"/>
      <c r="C2661" s="28"/>
      <c r="D2661" s="28"/>
      <c r="E2661" s="28"/>
      <c r="F2661" s="28"/>
      <c r="G2661" s="28"/>
      <c r="H2661" s="28"/>
      <c r="I2661" s="28"/>
      <c r="J2661" s="28"/>
      <c r="K2661" s="28"/>
      <c r="L2661" s="28"/>
      <c r="M2661" s="28"/>
      <c r="N2661" s="28"/>
      <c r="O2661" s="28"/>
      <c r="P2661" s="28"/>
      <c r="Q2661" s="28"/>
      <c r="R2661" s="28"/>
      <c r="S2661" s="28"/>
    </row>
    <row r="2662" spans="1:19" x14ac:dyDescent="0.25">
      <c r="A2662" s="28"/>
      <c r="B2662" s="28"/>
      <c r="C2662" s="28"/>
      <c r="D2662" s="28"/>
      <c r="E2662" s="28"/>
      <c r="F2662" s="28"/>
      <c r="G2662" s="28"/>
      <c r="H2662" s="28"/>
      <c r="I2662" s="28"/>
      <c r="J2662" s="28"/>
      <c r="K2662" s="28"/>
      <c r="L2662" s="28"/>
      <c r="M2662" s="28"/>
      <c r="N2662" s="28"/>
      <c r="O2662" s="28"/>
      <c r="P2662" s="28"/>
      <c r="Q2662" s="28"/>
      <c r="R2662" s="28"/>
      <c r="S2662" s="28"/>
    </row>
    <row r="2663" spans="1:19" x14ac:dyDescent="0.25">
      <c r="A2663" s="28"/>
      <c r="B2663" s="28"/>
      <c r="C2663" s="28"/>
      <c r="D2663" s="28"/>
      <c r="E2663" s="28"/>
      <c r="F2663" s="28"/>
      <c r="G2663" s="28"/>
      <c r="H2663" s="28"/>
      <c r="I2663" s="28"/>
      <c r="J2663" s="28"/>
      <c r="K2663" s="28"/>
      <c r="L2663" s="28"/>
      <c r="M2663" s="28"/>
      <c r="N2663" s="28"/>
      <c r="O2663" s="28"/>
      <c r="P2663" s="28"/>
      <c r="Q2663" s="28"/>
      <c r="R2663" s="28"/>
      <c r="S2663" s="28"/>
    </row>
    <row r="2664" spans="1:19" x14ac:dyDescent="0.25">
      <c r="A2664" s="28"/>
      <c r="B2664" s="28"/>
      <c r="C2664" s="28"/>
      <c r="D2664" s="28"/>
      <c r="E2664" s="28"/>
      <c r="F2664" s="28"/>
      <c r="G2664" s="28"/>
      <c r="H2664" s="28"/>
      <c r="I2664" s="28"/>
      <c r="J2664" s="28"/>
      <c r="K2664" s="28"/>
      <c r="L2664" s="28"/>
      <c r="M2664" s="28"/>
      <c r="N2664" s="28"/>
      <c r="O2664" s="28"/>
      <c r="P2664" s="28"/>
      <c r="Q2664" s="28"/>
      <c r="R2664" s="28"/>
      <c r="S2664" s="28"/>
    </row>
    <row r="2665" spans="1:19" x14ac:dyDescent="0.25">
      <c r="A2665" s="28"/>
      <c r="B2665" s="28"/>
      <c r="C2665" s="28"/>
      <c r="D2665" s="28"/>
      <c r="E2665" s="28"/>
      <c r="F2665" s="28"/>
      <c r="G2665" s="28"/>
      <c r="H2665" s="28"/>
      <c r="I2665" s="28"/>
      <c r="J2665" s="28"/>
      <c r="K2665" s="28"/>
      <c r="L2665" s="28"/>
      <c r="M2665" s="28"/>
      <c r="N2665" s="28"/>
      <c r="O2665" s="28"/>
      <c r="P2665" s="28"/>
      <c r="Q2665" s="28"/>
      <c r="R2665" s="28"/>
      <c r="S2665" s="28"/>
    </row>
    <row r="2666" spans="1:19" x14ac:dyDescent="0.25">
      <c r="A2666" s="28"/>
      <c r="B2666" s="28"/>
      <c r="C2666" s="28"/>
      <c r="D2666" s="28"/>
      <c r="E2666" s="28"/>
      <c r="F2666" s="28"/>
      <c r="G2666" s="28"/>
      <c r="H2666" s="28"/>
      <c r="I2666" s="28"/>
      <c r="J2666" s="28"/>
      <c r="K2666" s="28"/>
      <c r="L2666" s="28"/>
      <c r="M2666" s="28"/>
      <c r="N2666" s="28"/>
      <c r="O2666" s="28"/>
      <c r="P2666" s="28"/>
      <c r="Q2666" s="28"/>
      <c r="R2666" s="28"/>
      <c r="S2666" s="28"/>
    </row>
    <row r="2667" spans="1:19" x14ac:dyDescent="0.25">
      <c r="A2667" s="28"/>
      <c r="B2667" s="28"/>
      <c r="C2667" s="28"/>
      <c r="D2667" s="28"/>
      <c r="E2667" s="28"/>
      <c r="F2667" s="28"/>
      <c r="G2667" s="28"/>
      <c r="H2667" s="28"/>
      <c r="I2667" s="28"/>
      <c r="J2667" s="28"/>
      <c r="K2667" s="28"/>
      <c r="L2667" s="28"/>
      <c r="M2667" s="28"/>
      <c r="N2667" s="28"/>
      <c r="O2667" s="28"/>
      <c r="P2667" s="28"/>
      <c r="Q2667" s="28"/>
      <c r="R2667" s="28"/>
      <c r="S2667" s="28"/>
    </row>
    <row r="2668" spans="1:19" x14ac:dyDescent="0.25">
      <c r="A2668" s="28"/>
      <c r="B2668" s="28"/>
      <c r="C2668" s="28"/>
      <c r="D2668" s="28"/>
      <c r="E2668" s="28"/>
      <c r="F2668" s="28"/>
      <c r="G2668" s="28"/>
      <c r="H2668" s="28"/>
      <c r="I2668" s="28"/>
      <c r="J2668" s="28"/>
      <c r="K2668" s="28"/>
      <c r="L2668" s="28"/>
      <c r="M2668" s="28"/>
      <c r="N2668" s="28"/>
      <c r="O2668" s="28"/>
      <c r="P2668" s="28"/>
      <c r="Q2668" s="28"/>
      <c r="R2668" s="28"/>
      <c r="S2668" s="28"/>
    </row>
    <row r="2669" spans="1:19" x14ac:dyDescent="0.25">
      <c r="A2669" s="28"/>
      <c r="B2669" s="28"/>
      <c r="C2669" s="28"/>
      <c r="D2669" s="28"/>
      <c r="E2669" s="28"/>
      <c r="F2669" s="28"/>
      <c r="G2669" s="28"/>
      <c r="H2669" s="28"/>
      <c r="I2669" s="28"/>
      <c r="J2669" s="28"/>
      <c r="K2669" s="28"/>
      <c r="L2669" s="28"/>
      <c r="M2669" s="28"/>
      <c r="N2669" s="28"/>
      <c r="O2669" s="28"/>
      <c r="P2669" s="28"/>
      <c r="Q2669" s="28"/>
      <c r="R2669" s="28"/>
      <c r="S2669" s="28"/>
    </row>
    <row r="2670" spans="1:19" x14ac:dyDescent="0.25">
      <c r="A2670" s="28"/>
      <c r="B2670" s="28"/>
      <c r="C2670" s="28"/>
      <c r="D2670" s="28"/>
      <c r="E2670" s="28"/>
      <c r="F2670" s="28"/>
      <c r="G2670" s="28"/>
      <c r="H2670" s="28"/>
      <c r="I2670" s="28"/>
      <c r="J2670" s="28"/>
      <c r="K2670" s="28"/>
      <c r="L2670" s="28"/>
      <c r="M2670" s="28"/>
      <c r="N2670" s="28"/>
      <c r="O2670" s="28"/>
      <c r="P2670" s="28"/>
      <c r="Q2670" s="28"/>
      <c r="R2670" s="28"/>
      <c r="S2670" s="28"/>
    </row>
    <row r="2671" spans="1:19" x14ac:dyDescent="0.25">
      <c r="A2671" s="28"/>
      <c r="B2671" s="28"/>
      <c r="C2671" s="28"/>
      <c r="D2671" s="28"/>
      <c r="E2671" s="28"/>
      <c r="F2671" s="28"/>
      <c r="G2671" s="28"/>
      <c r="H2671" s="28"/>
      <c r="I2671" s="28"/>
      <c r="J2671" s="28"/>
      <c r="K2671" s="28"/>
      <c r="L2671" s="28"/>
      <c r="M2671" s="28"/>
      <c r="N2671" s="28"/>
      <c r="O2671" s="28"/>
      <c r="P2671" s="28"/>
      <c r="Q2671" s="28"/>
      <c r="R2671" s="28"/>
      <c r="S2671" s="28"/>
    </row>
    <row r="2672" spans="1:19" x14ac:dyDescent="0.25">
      <c r="A2672" s="28"/>
      <c r="B2672" s="28"/>
      <c r="C2672" s="28"/>
      <c r="D2672" s="28"/>
      <c r="E2672" s="28"/>
      <c r="F2672" s="28"/>
      <c r="G2672" s="28"/>
      <c r="H2672" s="28"/>
      <c r="I2672" s="28"/>
      <c r="J2672" s="28"/>
      <c r="K2672" s="28"/>
      <c r="L2672" s="28"/>
      <c r="M2672" s="28"/>
      <c r="N2672" s="28"/>
      <c r="O2672" s="28"/>
      <c r="P2672" s="28"/>
      <c r="Q2672" s="28"/>
      <c r="R2672" s="28"/>
      <c r="S2672" s="28"/>
    </row>
    <row r="2673" spans="1:19" x14ac:dyDescent="0.25">
      <c r="A2673" s="28"/>
      <c r="B2673" s="28"/>
      <c r="C2673" s="28"/>
      <c r="D2673" s="28"/>
      <c r="E2673" s="28"/>
      <c r="F2673" s="28"/>
      <c r="G2673" s="28"/>
      <c r="H2673" s="28"/>
      <c r="I2673" s="28"/>
      <c r="J2673" s="28"/>
      <c r="K2673" s="28"/>
      <c r="L2673" s="28"/>
      <c r="M2673" s="28"/>
      <c r="N2673" s="28"/>
      <c r="O2673" s="28"/>
      <c r="P2673" s="28"/>
      <c r="Q2673" s="28"/>
      <c r="R2673" s="28"/>
      <c r="S2673" s="28"/>
    </row>
    <row r="2674" spans="1:19" x14ac:dyDescent="0.25">
      <c r="A2674" s="28"/>
      <c r="B2674" s="28"/>
      <c r="C2674" s="28"/>
      <c r="D2674" s="28"/>
      <c r="E2674" s="28"/>
      <c r="F2674" s="28"/>
      <c r="G2674" s="28"/>
      <c r="H2674" s="28"/>
      <c r="I2674" s="28"/>
      <c r="J2674" s="28"/>
      <c r="K2674" s="28"/>
      <c r="L2674" s="28"/>
      <c r="M2674" s="28"/>
      <c r="N2674" s="28"/>
      <c r="O2674" s="28"/>
      <c r="P2674" s="28"/>
      <c r="Q2674" s="28"/>
      <c r="R2674" s="28"/>
      <c r="S2674" s="28"/>
    </row>
    <row r="2675" spans="1:19" x14ac:dyDescent="0.25">
      <c r="A2675" s="28"/>
      <c r="B2675" s="28"/>
      <c r="C2675" s="28"/>
      <c r="D2675" s="28"/>
      <c r="E2675" s="28"/>
      <c r="F2675" s="28"/>
      <c r="G2675" s="28"/>
      <c r="H2675" s="28"/>
      <c r="I2675" s="28"/>
      <c r="J2675" s="28"/>
      <c r="K2675" s="28"/>
      <c r="L2675" s="28"/>
      <c r="M2675" s="28"/>
      <c r="N2675" s="28"/>
      <c r="O2675" s="28"/>
      <c r="P2675" s="28"/>
      <c r="Q2675" s="28"/>
      <c r="R2675" s="28"/>
      <c r="S2675" s="28"/>
    </row>
    <row r="2676" spans="1:19" x14ac:dyDescent="0.25">
      <c r="A2676" s="28"/>
      <c r="B2676" s="28"/>
      <c r="C2676" s="28"/>
      <c r="D2676" s="28"/>
      <c r="E2676" s="28"/>
      <c r="F2676" s="28"/>
      <c r="G2676" s="28"/>
      <c r="H2676" s="28"/>
      <c r="I2676" s="28"/>
      <c r="J2676" s="28"/>
      <c r="K2676" s="28"/>
      <c r="L2676" s="28"/>
      <c r="M2676" s="28"/>
      <c r="N2676" s="28"/>
      <c r="O2676" s="28"/>
      <c r="P2676" s="28"/>
      <c r="Q2676" s="28"/>
      <c r="R2676" s="28"/>
      <c r="S2676" s="28"/>
    </row>
    <row r="2677" spans="1:19" x14ac:dyDescent="0.25">
      <c r="A2677" s="28"/>
      <c r="B2677" s="28"/>
      <c r="C2677" s="28"/>
      <c r="D2677" s="28"/>
      <c r="E2677" s="28"/>
      <c r="F2677" s="28"/>
      <c r="G2677" s="28"/>
      <c r="H2677" s="28"/>
      <c r="I2677" s="28"/>
      <c r="J2677" s="28"/>
      <c r="K2677" s="28"/>
      <c r="L2677" s="28"/>
      <c r="M2677" s="28"/>
      <c r="N2677" s="28"/>
      <c r="O2677" s="28"/>
      <c r="P2677" s="28"/>
      <c r="Q2677" s="28"/>
      <c r="R2677" s="28"/>
      <c r="S2677" s="28"/>
    </row>
    <row r="2678" spans="1:19" x14ac:dyDescent="0.25">
      <c r="A2678" s="28"/>
      <c r="B2678" s="28"/>
      <c r="C2678" s="28"/>
      <c r="D2678" s="28"/>
      <c r="E2678" s="28"/>
      <c r="F2678" s="28"/>
      <c r="G2678" s="28"/>
      <c r="H2678" s="28"/>
      <c r="I2678" s="28"/>
      <c r="J2678" s="28"/>
      <c r="K2678" s="28"/>
      <c r="L2678" s="28"/>
      <c r="M2678" s="28"/>
      <c r="N2678" s="28"/>
      <c r="O2678" s="28"/>
      <c r="P2678" s="28"/>
      <c r="Q2678" s="28"/>
      <c r="R2678" s="28"/>
      <c r="S2678" s="28"/>
    </row>
    <row r="2679" spans="1:19" x14ac:dyDescent="0.25">
      <c r="A2679" s="28"/>
      <c r="B2679" s="28"/>
      <c r="C2679" s="28"/>
      <c r="D2679" s="28"/>
      <c r="E2679" s="28"/>
      <c r="F2679" s="28"/>
      <c r="G2679" s="28"/>
      <c r="H2679" s="28"/>
      <c r="I2679" s="28"/>
      <c r="J2679" s="28"/>
      <c r="K2679" s="28"/>
      <c r="L2679" s="28"/>
      <c r="M2679" s="28"/>
      <c r="N2679" s="28"/>
      <c r="O2679" s="28"/>
      <c r="P2679" s="28"/>
      <c r="Q2679" s="28"/>
      <c r="R2679" s="28"/>
      <c r="S2679" s="28"/>
    </row>
    <row r="2680" spans="1:19" x14ac:dyDescent="0.25">
      <c r="A2680" s="28"/>
      <c r="B2680" s="28"/>
      <c r="C2680" s="28"/>
      <c r="D2680" s="28"/>
      <c r="E2680" s="28"/>
      <c r="F2680" s="28"/>
      <c r="G2680" s="28"/>
      <c r="H2680" s="28"/>
      <c r="I2680" s="28"/>
      <c r="J2680" s="28"/>
      <c r="K2680" s="28"/>
      <c r="L2680" s="28"/>
      <c r="M2680" s="28"/>
      <c r="N2680" s="28"/>
      <c r="O2680" s="28"/>
      <c r="P2680" s="28"/>
      <c r="Q2680" s="28"/>
      <c r="R2680" s="28"/>
      <c r="S2680" s="28"/>
    </row>
    <row r="2681" spans="1:19" x14ac:dyDescent="0.25">
      <c r="A2681" s="28"/>
      <c r="B2681" s="28"/>
      <c r="C2681" s="28"/>
      <c r="D2681" s="28"/>
      <c r="E2681" s="28"/>
      <c r="F2681" s="28"/>
      <c r="G2681" s="28"/>
      <c r="H2681" s="28"/>
      <c r="I2681" s="28"/>
      <c r="J2681" s="28"/>
      <c r="K2681" s="28"/>
      <c r="L2681" s="28"/>
      <c r="M2681" s="28"/>
      <c r="N2681" s="28"/>
      <c r="O2681" s="28"/>
      <c r="P2681" s="28"/>
      <c r="Q2681" s="28"/>
      <c r="R2681" s="28"/>
      <c r="S2681" s="28"/>
    </row>
    <row r="2682" spans="1:19" x14ac:dyDescent="0.25">
      <c r="A2682" s="28"/>
      <c r="B2682" s="28"/>
      <c r="C2682" s="28"/>
      <c r="D2682" s="28"/>
      <c r="E2682" s="28"/>
      <c r="F2682" s="28"/>
      <c r="G2682" s="28"/>
      <c r="H2682" s="28"/>
      <c r="I2682" s="28"/>
      <c r="J2682" s="28"/>
      <c r="K2682" s="28"/>
      <c r="L2682" s="28"/>
      <c r="M2682" s="28"/>
      <c r="N2682" s="28"/>
      <c r="O2682" s="28"/>
      <c r="P2682" s="28"/>
      <c r="Q2682" s="28"/>
      <c r="R2682" s="28"/>
      <c r="S2682" s="28"/>
    </row>
    <row r="2683" spans="1:19" x14ac:dyDescent="0.25">
      <c r="A2683" s="28"/>
      <c r="B2683" s="28"/>
      <c r="C2683" s="28"/>
      <c r="D2683" s="28"/>
      <c r="E2683" s="28"/>
      <c r="F2683" s="28"/>
      <c r="G2683" s="28"/>
      <c r="H2683" s="28"/>
      <c r="I2683" s="28"/>
      <c r="J2683" s="28"/>
      <c r="K2683" s="28"/>
      <c r="L2683" s="28"/>
      <c r="M2683" s="28"/>
      <c r="N2683" s="28"/>
      <c r="O2683" s="28"/>
      <c r="P2683" s="28"/>
      <c r="Q2683" s="28"/>
      <c r="R2683" s="28"/>
      <c r="S2683" s="28"/>
    </row>
    <row r="2684" spans="1:19" x14ac:dyDescent="0.25">
      <c r="A2684" s="28"/>
      <c r="B2684" s="28"/>
      <c r="C2684" s="28"/>
      <c r="D2684" s="28"/>
      <c r="E2684" s="28"/>
      <c r="F2684" s="28"/>
      <c r="G2684" s="28"/>
      <c r="H2684" s="28"/>
      <c r="I2684" s="28"/>
      <c r="J2684" s="28"/>
      <c r="K2684" s="28"/>
      <c r="L2684" s="28"/>
      <c r="M2684" s="28"/>
      <c r="N2684" s="28"/>
      <c r="O2684" s="28"/>
      <c r="P2684" s="28"/>
      <c r="Q2684" s="28"/>
      <c r="R2684" s="28"/>
      <c r="S2684" s="28"/>
    </row>
    <row r="2685" spans="1:19" x14ac:dyDescent="0.25">
      <c r="A2685" s="28"/>
      <c r="B2685" s="28"/>
      <c r="C2685" s="28"/>
      <c r="D2685" s="28"/>
      <c r="E2685" s="28"/>
      <c r="F2685" s="28"/>
      <c r="G2685" s="28"/>
      <c r="H2685" s="28"/>
      <c r="I2685" s="28"/>
      <c r="J2685" s="28"/>
      <c r="K2685" s="28"/>
      <c r="L2685" s="28"/>
      <c r="M2685" s="28"/>
      <c r="N2685" s="28"/>
      <c r="O2685" s="28"/>
      <c r="P2685" s="28"/>
      <c r="Q2685" s="28"/>
      <c r="R2685" s="28"/>
      <c r="S2685" s="28"/>
    </row>
    <row r="2686" spans="1:19" x14ac:dyDescent="0.25">
      <c r="A2686" s="28"/>
      <c r="B2686" s="28"/>
      <c r="C2686" s="28"/>
      <c r="D2686" s="28"/>
      <c r="E2686" s="28"/>
      <c r="F2686" s="28"/>
      <c r="G2686" s="28"/>
      <c r="H2686" s="28"/>
      <c r="I2686" s="28"/>
      <c r="J2686" s="28"/>
      <c r="K2686" s="28"/>
      <c r="L2686" s="28"/>
      <c r="M2686" s="28"/>
      <c r="N2686" s="28"/>
      <c r="O2686" s="28"/>
      <c r="P2686" s="28"/>
      <c r="Q2686" s="28"/>
      <c r="R2686" s="28"/>
      <c r="S2686" s="28"/>
    </row>
    <row r="2687" spans="1:19" x14ac:dyDescent="0.25">
      <c r="A2687" s="28"/>
      <c r="B2687" s="28"/>
      <c r="C2687" s="28"/>
      <c r="D2687" s="28"/>
      <c r="E2687" s="28"/>
      <c r="F2687" s="28"/>
      <c r="G2687" s="28"/>
      <c r="H2687" s="28"/>
      <c r="I2687" s="28"/>
      <c r="J2687" s="28"/>
      <c r="K2687" s="28"/>
      <c r="L2687" s="28"/>
      <c r="M2687" s="28"/>
      <c r="N2687" s="28"/>
      <c r="O2687" s="28"/>
      <c r="P2687" s="28"/>
      <c r="Q2687" s="28"/>
      <c r="R2687" s="28"/>
      <c r="S2687" s="28"/>
    </row>
    <row r="2688" spans="1:19" x14ac:dyDescent="0.25">
      <c r="A2688" s="28"/>
      <c r="B2688" s="28"/>
      <c r="C2688" s="28"/>
      <c r="D2688" s="28"/>
      <c r="E2688" s="28"/>
      <c r="F2688" s="28"/>
      <c r="G2688" s="28"/>
      <c r="H2688" s="28"/>
      <c r="I2688" s="28"/>
      <c r="J2688" s="28"/>
      <c r="K2688" s="28"/>
      <c r="L2688" s="28"/>
      <c r="M2688" s="28"/>
      <c r="N2688" s="28"/>
      <c r="O2688" s="28"/>
      <c r="P2688" s="28"/>
      <c r="Q2688" s="28"/>
      <c r="R2688" s="28"/>
      <c r="S2688" s="28"/>
    </row>
    <row r="2689" spans="1:19" x14ac:dyDescent="0.25">
      <c r="A2689" s="28"/>
      <c r="B2689" s="28"/>
      <c r="C2689" s="28"/>
      <c r="D2689" s="28"/>
      <c r="E2689" s="28"/>
      <c r="F2689" s="28"/>
      <c r="G2689" s="28"/>
      <c r="H2689" s="28"/>
      <c r="I2689" s="28"/>
      <c r="J2689" s="28"/>
      <c r="K2689" s="28"/>
      <c r="L2689" s="28"/>
      <c r="M2689" s="28"/>
      <c r="N2689" s="28"/>
      <c r="O2689" s="28"/>
      <c r="P2689" s="28"/>
      <c r="Q2689" s="28"/>
      <c r="R2689" s="28"/>
      <c r="S2689" s="28"/>
    </row>
    <row r="2690" spans="1:19" x14ac:dyDescent="0.25">
      <c r="A2690" s="28"/>
      <c r="B2690" s="28"/>
      <c r="C2690" s="28"/>
      <c r="D2690" s="28"/>
      <c r="E2690" s="28"/>
      <c r="F2690" s="28"/>
      <c r="G2690" s="28"/>
      <c r="H2690" s="28"/>
      <c r="I2690" s="28"/>
      <c r="J2690" s="28"/>
      <c r="K2690" s="28"/>
      <c r="L2690" s="28"/>
      <c r="M2690" s="28"/>
      <c r="N2690" s="28"/>
      <c r="O2690" s="28"/>
      <c r="P2690" s="28"/>
      <c r="Q2690" s="28"/>
      <c r="R2690" s="28"/>
      <c r="S2690" s="28"/>
    </row>
    <row r="2691" spans="1:19" x14ac:dyDescent="0.25">
      <c r="A2691" s="28"/>
      <c r="B2691" s="28"/>
      <c r="C2691" s="28"/>
      <c r="D2691" s="28"/>
      <c r="E2691" s="28"/>
      <c r="F2691" s="28"/>
      <c r="G2691" s="28"/>
      <c r="H2691" s="28"/>
      <c r="I2691" s="28"/>
      <c r="J2691" s="28"/>
      <c r="K2691" s="28"/>
      <c r="L2691" s="28"/>
      <c r="M2691" s="28"/>
      <c r="N2691" s="28"/>
      <c r="O2691" s="28"/>
      <c r="P2691" s="28"/>
      <c r="Q2691" s="28"/>
      <c r="R2691" s="28"/>
      <c r="S2691" s="28"/>
    </row>
    <row r="2692" spans="1:19" x14ac:dyDescent="0.25">
      <c r="A2692" s="28"/>
      <c r="B2692" s="28"/>
      <c r="C2692" s="28"/>
      <c r="D2692" s="28"/>
      <c r="E2692" s="28"/>
      <c r="F2692" s="28"/>
      <c r="G2692" s="28"/>
      <c r="H2692" s="28"/>
      <c r="I2692" s="28"/>
      <c r="J2692" s="28"/>
      <c r="K2692" s="28"/>
      <c r="L2692" s="28"/>
      <c r="M2692" s="28"/>
      <c r="N2692" s="28"/>
      <c r="O2692" s="28"/>
      <c r="P2692" s="28"/>
      <c r="Q2692" s="28"/>
      <c r="R2692" s="28"/>
      <c r="S2692" s="28"/>
    </row>
    <row r="2693" spans="1:19" x14ac:dyDescent="0.25">
      <c r="A2693" s="28"/>
      <c r="B2693" s="28"/>
      <c r="C2693" s="28"/>
      <c r="D2693" s="28"/>
      <c r="E2693" s="28"/>
      <c r="F2693" s="28"/>
      <c r="G2693" s="28"/>
      <c r="H2693" s="28"/>
      <c r="I2693" s="28"/>
      <c r="J2693" s="28"/>
      <c r="K2693" s="28"/>
      <c r="L2693" s="28"/>
      <c r="M2693" s="28"/>
      <c r="N2693" s="28"/>
      <c r="O2693" s="28"/>
      <c r="P2693" s="28"/>
      <c r="Q2693" s="28"/>
      <c r="R2693" s="28"/>
      <c r="S2693" s="28"/>
    </row>
    <row r="2694" spans="1:19" x14ac:dyDescent="0.25">
      <c r="A2694" s="28"/>
      <c r="B2694" s="28"/>
      <c r="C2694" s="28"/>
      <c r="D2694" s="28"/>
      <c r="E2694" s="28"/>
      <c r="F2694" s="28"/>
      <c r="G2694" s="28"/>
      <c r="H2694" s="28"/>
      <c r="I2694" s="28"/>
      <c r="J2694" s="28"/>
      <c r="K2694" s="28"/>
      <c r="L2694" s="28"/>
      <c r="M2694" s="28"/>
      <c r="N2694" s="28"/>
      <c r="O2694" s="28"/>
      <c r="P2694" s="28"/>
      <c r="Q2694" s="28"/>
      <c r="R2694" s="28"/>
      <c r="S2694" s="28"/>
    </row>
    <row r="2695" spans="1:19" x14ac:dyDescent="0.25">
      <c r="A2695" s="28"/>
      <c r="B2695" s="28"/>
      <c r="C2695" s="28"/>
      <c r="D2695" s="28"/>
      <c r="E2695" s="28"/>
      <c r="F2695" s="28"/>
      <c r="G2695" s="28"/>
      <c r="H2695" s="28"/>
      <c r="I2695" s="28"/>
      <c r="J2695" s="28"/>
      <c r="K2695" s="28"/>
      <c r="L2695" s="28"/>
      <c r="M2695" s="28"/>
      <c r="N2695" s="28"/>
      <c r="O2695" s="28"/>
      <c r="P2695" s="28"/>
      <c r="Q2695" s="28"/>
      <c r="R2695" s="28"/>
      <c r="S2695" s="28"/>
    </row>
    <row r="2696" spans="1:19" x14ac:dyDescent="0.25">
      <c r="A2696" s="28"/>
      <c r="B2696" s="28"/>
      <c r="C2696" s="28"/>
      <c r="D2696" s="28"/>
      <c r="E2696" s="28"/>
      <c r="F2696" s="28"/>
      <c r="G2696" s="28"/>
      <c r="H2696" s="28"/>
      <c r="I2696" s="28"/>
      <c r="J2696" s="28"/>
      <c r="K2696" s="28"/>
      <c r="L2696" s="28"/>
      <c r="M2696" s="28"/>
      <c r="N2696" s="28"/>
      <c r="O2696" s="28"/>
      <c r="P2696" s="28"/>
      <c r="Q2696" s="28"/>
      <c r="R2696" s="28"/>
      <c r="S2696" s="28"/>
    </row>
    <row r="2697" spans="1:19" x14ac:dyDescent="0.25">
      <c r="A2697" s="28"/>
      <c r="B2697" s="28"/>
      <c r="C2697" s="28"/>
      <c r="D2697" s="28"/>
      <c r="E2697" s="28"/>
      <c r="F2697" s="28"/>
      <c r="G2697" s="28"/>
      <c r="H2697" s="28"/>
      <c r="I2697" s="28"/>
      <c r="J2697" s="28"/>
      <c r="K2697" s="28"/>
      <c r="L2697" s="28"/>
      <c r="M2697" s="28"/>
      <c r="N2697" s="28"/>
      <c r="O2697" s="28"/>
      <c r="P2697" s="28"/>
      <c r="Q2697" s="28"/>
      <c r="R2697" s="28"/>
      <c r="S2697" s="28"/>
    </row>
    <row r="2698" spans="1:19" x14ac:dyDescent="0.25">
      <c r="A2698" s="28"/>
      <c r="B2698" s="28"/>
      <c r="C2698" s="28"/>
      <c r="D2698" s="28"/>
      <c r="E2698" s="28"/>
      <c r="F2698" s="28"/>
      <c r="G2698" s="28"/>
      <c r="H2698" s="28"/>
      <c r="I2698" s="28"/>
      <c r="J2698" s="28"/>
      <c r="K2698" s="28"/>
      <c r="L2698" s="28"/>
      <c r="M2698" s="28"/>
      <c r="N2698" s="28"/>
      <c r="O2698" s="28"/>
      <c r="P2698" s="28"/>
      <c r="Q2698" s="28"/>
      <c r="R2698" s="28"/>
      <c r="S2698" s="28"/>
    </row>
    <row r="2699" spans="1:19" x14ac:dyDescent="0.25">
      <c r="A2699" s="28"/>
      <c r="B2699" s="28"/>
      <c r="C2699" s="28"/>
      <c r="D2699" s="28"/>
      <c r="E2699" s="28"/>
      <c r="F2699" s="28"/>
      <c r="G2699" s="28"/>
      <c r="H2699" s="28"/>
      <c r="I2699" s="28"/>
      <c r="J2699" s="28"/>
      <c r="K2699" s="28"/>
      <c r="L2699" s="28"/>
      <c r="M2699" s="28"/>
      <c r="N2699" s="28"/>
      <c r="O2699" s="28"/>
      <c r="P2699" s="28"/>
      <c r="Q2699" s="28"/>
      <c r="R2699" s="28"/>
      <c r="S2699" s="28"/>
    </row>
    <row r="2700" spans="1:19" x14ac:dyDescent="0.25">
      <c r="A2700" s="28"/>
      <c r="B2700" s="28"/>
      <c r="C2700" s="28"/>
      <c r="D2700" s="28"/>
      <c r="E2700" s="28"/>
      <c r="F2700" s="28"/>
      <c r="G2700" s="28"/>
      <c r="H2700" s="28"/>
      <c r="I2700" s="28"/>
      <c r="J2700" s="28"/>
      <c r="K2700" s="28"/>
      <c r="L2700" s="28"/>
      <c r="M2700" s="28"/>
      <c r="N2700" s="28"/>
      <c r="O2700" s="28"/>
      <c r="P2700" s="28"/>
      <c r="Q2700" s="28"/>
      <c r="R2700" s="28"/>
      <c r="S2700" s="28"/>
    </row>
    <row r="2701" spans="1:19" x14ac:dyDescent="0.25">
      <c r="A2701" s="28"/>
      <c r="B2701" s="28"/>
      <c r="C2701" s="28"/>
      <c r="D2701" s="28"/>
      <c r="E2701" s="28"/>
      <c r="F2701" s="28"/>
      <c r="G2701" s="28"/>
      <c r="H2701" s="28"/>
      <c r="I2701" s="28"/>
      <c r="J2701" s="28"/>
      <c r="K2701" s="28"/>
      <c r="L2701" s="28"/>
      <c r="M2701" s="28"/>
      <c r="N2701" s="28"/>
      <c r="O2701" s="28"/>
      <c r="P2701" s="28"/>
      <c r="Q2701" s="28"/>
      <c r="R2701" s="28"/>
      <c r="S2701" s="28"/>
    </row>
    <row r="2702" spans="1:19" x14ac:dyDescent="0.25">
      <c r="A2702" s="28"/>
      <c r="B2702" s="28"/>
      <c r="C2702" s="28"/>
      <c r="D2702" s="28"/>
      <c r="E2702" s="28"/>
      <c r="F2702" s="28"/>
      <c r="G2702" s="28"/>
      <c r="H2702" s="28"/>
      <c r="I2702" s="28"/>
      <c r="J2702" s="28"/>
      <c r="K2702" s="28"/>
      <c r="L2702" s="28"/>
      <c r="M2702" s="28"/>
      <c r="N2702" s="28"/>
      <c r="O2702" s="28"/>
      <c r="P2702" s="28"/>
      <c r="Q2702" s="28"/>
      <c r="R2702" s="28"/>
      <c r="S2702" s="28"/>
    </row>
    <row r="2703" spans="1:19" x14ac:dyDescent="0.25">
      <c r="A2703" s="28"/>
      <c r="B2703" s="28"/>
      <c r="C2703" s="28"/>
      <c r="D2703" s="28"/>
      <c r="E2703" s="28"/>
      <c r="F2703" s="28"/>
      <c r="G2703" s="28"/>
      <c r="H2703" s="28"/>
      <c r="I2703" s="28"/>
      <c r="J2703" s="28"/>
      <c r="K2703" s="28"/>
      <c r="L2703" s="28"/>
      <c r="M2703" s="28"/>
      <c r="N2703" s="28"/>
      <c r="O2703" s="28"/>
      <c r="P2703" s="28"/>
      <c r="Q2703" s="28"/>
      <c r="R2703" s="28"/>
      <c r="S2703" s="28"/>
    </row>
    <row r="2704" spans="1:19" x14ac:dyDescent="0.25">
      <c r="A2704" s="28"/>
      <c r="B2704" s="28"/>
      <c r="C2704" s="28"/>
      <c r="D2704" s="28"/>
      <c r="E2704" s="28"/>
      <c r="F2704" s="28"/>
      <c r="G2704" s="28"/>
      <c r="H2704" s="28"/>
      <c r="I2704" s="28"/>
      <c r="J2704" s="28"/>
      <c r="K2704" s="28"/>
      <c r="L2704" s="28"/>
      <c r="M2704" s="28"/>
      <c r="N2704" s="28"/>
      <c r="O2704" s="28"/>
      <c r="P2704" s="28"/>
      <c r="Q2704" s="28"/>
      <c r="R2704" s="28"/>
      <c r="S2704" s="28"/>
    </row>
    <row r="2705" spans="1:19" x14ac:dyDescent="0.25">
      <c r="A2705" s="28"/>
      <c r="B2705" s="28"/>
      <c r="C2705" s="28"/>
      <c r="D2705" s="28"/>
      <c r="E2705" s="28"/>
      <c r="F2705" s="28"/>
      <c r="G2705" s="28"/>
      <c r="H2705" s="28"/>
      <c r="I2705" s="28"/>
      <c r="J2705" s="28"/>
      <c r="K2705" s="28"/>
      <c r="L2705" s="28"/>
      <c r="M2705" s="28"/>
      <c r="N2705" s="28"/>
      <c r="O2705" s="28"/>
      <c r="P2705" s="28"/>
      <c r="Q2705" s="28"/>
      <c r="R2705" s="28"/>
      <c r="S2705" s="28"/>
    </row>
    <row r="2706" spans="1:19" x14ac:dyDescent="0.25">
      <c r="A2706" s="28"/>
      <c r="B2706" s="28"/>
      <c r="C2706" s="28"/>
      <c r="D2706" s="28"/>
      <c r="E2706" s="28"/>
      <c r="F2706" s="28"/>
      <c r="G2706" s="28"/>
      <c r="H2706" s="28"/>
      <c r="I2706" s="28"/>
      <c r="J2706" s="28"/>
      <c r="K2706" s="28"/>
      <c r="L2706" s="28"/>
      <c r="M2706" s="28"/>
      <c r="N2706" s="28"/>
      <c r="O2706" s="28"/>
      <c r="P2706" s="28"/>
      <c r="Q2706" s="28"/>
      <c r="R2706" s="28"/>
      <c r="S2706" s="28"/>
    </row>
    <row r="2707" spans="1:19" x14ac:dyDescent="0.25">
      <c r="A2707" s="28"/>
      <c r="B2707" s="28"/>
      <c r="C2707" s="28"/>
      <c r="D2707" s="28"/>
      <c r="E2707" s="28"/>
      <c r="F2707" s="28"/>
      <c r="G2707" s="28"/>
      <c r="H2707" s="28"/>
      <c r="I2707" s="28"/>
      <c r="J2707" s="28"/>
      <c r="K2707" s="28"/>
      <c r="L2707" s="28"/>
      <c r="M2707" s="28"/>
      <c r="N2707" s="28"/>
      <c r="O2707" s="28"/>
      <c r="P2707" s="28"/>
      <c r="Q2707" s="28"/>
      <c r="R2707" s="28"/>
      <c r="S2707" s="28"/>
    </row>
    <row r="2708" spans="1:19" x14ac:dyDescent="0.25">
      <c r="A2708" s="28"/>
      <c r="B2708" s="28"/>
      <c r="C2708" s="28"/>
      <c r="D2708" s="28"/>
      <c r="E2708" s="28"/>
      <c r="F2708" s="28"/>
      <c r="G2708" s="28"/>
      <c r="H2708" s="28"/>
      <c r="I2708" s="28"/>
      <c r="J2708" s="28"/>
      <c r="K2708" s="28"/>
      <c r="L2708" s="28"/>
      <c r="M2708" s="28"/>
      <c r="N2708" s="28"/>
      <c r="O2708" s="28"/>
      <c r="P2708" s="28"/>
      <c r="Q2708" s="28"/>
      <c r="R2708" s="28"/>
      <c r="S2708" s="28"/>
    </row>
    <row r="2709" spans="1:19" x14ac:dyDescent="0.25">
      <c r="A2709" s="28"/>
      <c r="B2709" s="28"/>
      <c r="C2709" s="28"/>
      <c r="D2709" s="28"/>
      <c r="E2709" s="28"/>
      <c r="F2709" s="28"/>
      <c r="G2709" s="28"/>
      <c r="H2709" s="28"/>
      <c r="I2709" s="28"/>
      <c r="J2709" s="28"/>
      <c r="K2709" s="28"/>
      <c r="L2709" s="28"/>
      <c r="M2709" s="28"/>
      <c r="N2709" s="28"/>
      <c r="O2709" s="28"/>
      <c r="P2709" s="28"/>
      <c r="Q2709" s="28"/>
      <c r="R2709" s="28"/>
      <c r="S2709" s="28"/>
    </row>
    <row r="2710" spans="1:19" x14ac:dyDescent="0.25">
      <c r="A2710" s="28"/>
      <c r="B2710" s="28"/>
      <c r="C2710" s="28"/>
      <c r="D2710" s="28"/>
      <c r="E2710" s="28"/>
      <c r="F2710" s="28"/>
      <c r="G2710" s="28"/>
      <c r="H2710" s="28"/>
      <c r="I2710" s="28"/>
      <c r="J2710" s="28"/>
      <c r="K2710" s="28"/>
      <c r="L2710" s="28"/>
      <c r="M2710" s="28"/>
      <c r="N2710" s="28"/>
      <c r="O2710" s="28"/>
      <c r="P2710" s="28"/>
      <c r="Q2710" s="28"/>
      <c r="R2710" s="28"/>
      <c r="S2710" s="28"/>
    </row>
    <row r="2711" spans="1:19" x14ac:dyDescent="0.25">
      <c r="A2711" s="28"/>
      <c r="B2711" s="28"/>
      <c r="C2711" s="28"/>
      <c r="D2711" s="28"/>
      <c r="E2711" s="28"/>
      <c r="F2711" s="28"/>
      <c r="G2711" s="28"/>
      <c r="H2711" s="28"/>
      <c r="I2711" s="28"/>
      <c r="J2711" s="28"/>
      <c r="K2711" s="28"/>
      <c r="L2711" s="28"/>
      <c r="M2711" s="28"/>
      <c r="N2711" s="28"/>
      <c r="O2711" s="28"/>
      <c r="P2711" s="28"/>
      <c r="Q2711" s="28"/>
      <c r="R2711" s="28"/>
      <c r="S2711" s="28"/>
    </row>
    <row r="2712" spans="1:19" x14ac:dyDescent="0.25">
      <c r="A2712" s="28"/>
      <c r="B2712" s="28"/>
      <c r="C2712" s="28"/>
      <c r="D2712" s="28"/>
      <c r="E2712" s="28"/>
      <c r="F2712" s="28"/>
      <c r="G2712" s="28"/>
      <c r="H2712" s="28"/>
      <c r="I2712" s="28"/>
      <c r="J2712" s="28"/>
      <c r="K2712" s="28"/>
      <c r="L2712" s="28"/>
      <c r="M2712" s="28"/>
      <c r="N2712" s="28"/>
      <c r="O2712" s="28"/>
      <c r="P2712" s="28"/>
      <c r="Q2712" s="28"/>
      <c r="R2712" s="28"/>
      <c r="S2712" s="28"/>
    </row>
    <row r="2713" spans="1:19" x14ac:dyDescent="0.25">
      <c r="A2713" s="28"/>
      <c r="B2713" s="28"/>
      <c r="C2713" s="28"/>
      <c r="D2713" s="28"/>
      <c r="E2713" s="28"/>
      <c r="F2713" s="28"/>
      <c r="G2713" s="28"/>
      <c r="H2713" s="28"/>
      <c r="I2713" s="28"/>
      <c r="J2713" s="28"/>
      <c r="K2713" s="28"/>
      <c r="L2713" s="28"/>
      <c r="M2713" s="28"/>
      <c r="N2713" s="28"/>
      <c r="O2713" s="28"/>
      <c r="P2713" s="28"/>
      <c r="Q2713" s="28"/>
      <c r="R2713" s="28"/>
      <c r="S2713" s="28"/>
    </row>
    <row r="2714" spans="1:19" x14ac:dyDescent="0.25">
      <c r="A2714" s="28"/>
      <c r="B2714" s="28"/>
      <c r="C2714" s="28"/>
      <c r="D2714" s="28"/>
      <c r="E2714" s="28"/>
      <c r="F2714" s="28"/>
      <c r="G2714" s="28"/>
      <c r="H2714" s="28"/>
      <c r="I2714" s="28"/>
      <c r="J2714" s="28"/>
      <c r="K2714" s="28"/>
      <c r="L2714" s="28"/>
      <c r="M2714" s="28"/>
      <c r="N2714" s="28"/>
      <c r="O2714" s="28"/>
      <c r="P2714" s="28"/>
      <c r="Q2714" s="28"/>
      <c r="R2714" s="28"/>
      <c r="S2714" s="28"/>
    </row>
    <row r="2715" spans="1:19" x14ac:dyDescent="0.25">
      <c r="A2715" s="28"/>
      <c r="B2715" s="28"/>
      <c r="C2715" s="28"/>
      <c r="D2715" s="28"/>
      <c r="E2715" s="28"/>
      <c r="F2715" s="28"/>
      <c r="G2715" s="28"/>
      <c r="H2715" s="28"/>
      <c r="I2715" s="28"/>
      <c r="J2715" s="28"/>
      <c r="K2715" s="28"/>
      <c r="L2715" s="28"/>
      <c r="M2715" s="28"/>
      <c r="N2715" s="28"/>
      <c r="O2715" s="28"/>
      <c r="P2715" s="28"/>
      <c r="Q2715" s="28"/>
      <c r="R2715" s="28"/>
      <c r="S2715" s="28"/>
    </row>
    <row r="2716" spans="1:19" x14ac:dyDescent="0.25">
      <c r="A2716" s="28"/>
      <c r="B2716" s="28"/>
      <c r="C2716" s="28"/>
      <c r="D2716" s="28"/>
      <c r="E2716" s="28"/>
      <c r="F2716" s="28"/>
      <c r="G2716" s="28"/>
      <c r="H2716" s="28"/>
      <c r="I2716" s="28"/>
      <c r="J2716" s="28"/>
      <c r="K2716" s="28"/>
      <c r="L2716" s="28"/>
      <c r="M2716" s="28"/>
      <c r="N2716" s="28"/>
      <c r="O2716" s="28"/>
      <c r="P2716" s="28"/>
      <c r="Q2716" s="28"/>
      <c r="R2716" s="28"/>
      <c r="S2716" s="28"/>
    </row>
    <row r="2717" spans="1:19" x14ac:dyDescent="0.25">
      <c r="A2717" s="28"/>
      <c r="B2717" s="28"/>
      <c r="C2717" s="28"/>
      <c r="D2717" s="28"/>
      <c r="E2717" s="28"/>
      <c r="F2717" s="28"/>
      <c r="G2717" s="28"/>
      <c r="H2717" s="28"/>
      <c r="I2717" s="28"/>
      <c r="J2717" s="28"/>
      <c r="K2717" s="28"/>
      <c r="L2717" s="28"/>
      <c r="M2717" s="28"/>
      <c r="N2717" s="28"/>
      <c r="O2717" s="28"/>
      <c r="P2717" s="28"/>
      <c r="Q2717" s="28"/>
      <c r="R2717" s="28"/>
      <c r="S2717" s="28"/>
    </row>
    <row r="2718" spans="1:19" x14ac:dyDescent="0.25">
      <c r="A2718" s="28"/>
      <c r="B2718" s="28"/>
      <c r="C2718" s="28"/>
      <c r="D2718" s="28"/>
      <c r="E2718" s="28"/>
      <c r="F2718" s="28"/>
      <c r="G2718" s="28"/>
      <c r="H2718" s="28"/>
      <c r="I2718" s="28"/>
      <c r="J2718" s="28"/>
      <c r="K2718" s="28"/>
      <c r="L2718" s="28"/>
      <c r="M2718" s="28"/>
      <c r="N2718" s="28"/>
      <c r="O2718" s="28"/>
      <c r="P2718" s="28"/>
      <c r="Q2718" s="28"/>
      <c r="R2718" s="28"/>
      <c r="S2718" s="28"/>
    </row>
    <row r="2719" spans="1:19" x14ac:dyDescent="0.25">
      <c r="A2719" s="28"/>
      <c r="B2719" s="28"/>
      <c r="C2719" s="28"/>
      <c r="D2719" s="28"/>
      <c r="E2719" s="28"/>
      <c r="F2719" s="28"/>
      <c r="G2719" s="28"/>
      <c r="H2719" s="28"/>
      <c r="I2719" s="28"/>
      <c r="J2719" s="28"/>
      <c r="K2719" s="28"/>
      <c r="L2719" s="28"/>
      <c r="M2719" s="28"/>
      <c r="N2719" s="28"/>
      <c r="O2719" s="28"/>
      <c r="P2719" s="28"/>
      <c r="Q2719" s="28"/>
      <c r="R2719" s="28"/>
      <c r="S2719" s="28"/>
    </row>
    <row r="2720" spans="1:19" x14ac:dyDescent="0.25">
      <c r="A2720" s="28"/>
      <c r="B2720" s="28"/>
      <c r="C2720" s="28"/>
      <c r="D2720" s="28"/>
      <c r="E2720" s="28"/>
      <c r="F2720" s="28"/>
      <c r="G2720" s="28"/>
      <c r="H2720" s="28"/>
      <c r="I2720" s="28"/>
      <c r="J2720" s="28"/>
      <c r="K2720" s="28"/>
      <c r="L2720" s="28"/>
      <c r="M2720" s="28"/>
      <c r="N2720" s="28"/>
      <c r="O2720" s="28"/>
      <c r="P2720" s="28"/>
      <c r="Q2720" s="28"/>
      <c r="R2720" s="28"/>
      <c r="S2720" s="28"/>
    </row>
    <row r="2721" spans="1:19" x14ac:dyDescent="0.25">
      <c r="A2721" s="28"/>
      <c r="B2721" s="28"/>
      <c r="C2721" s="28"/>
      <c r="D2721" s="28"/>
      <c r="E2721" s="28"/>
      <c r="F2721" s="28"/>
      <c r="G2721" s="28"/>
      <c r="H2721" s="28"/>
      <c r="I2721" s="28"/>
      <c r="J2721" s="28"/>
      <c r="K2721" s="28"/>
      <c r="L2721" s="28"/>
      <c r="M2721" s="28"/>
      <c r="N2721" s="28"/>
      <c r="O2721" s="28"/>
      <c r="P2721" s="28"/>
      <c r="Q2721" s="28"/>
      <c r="R2721" s="28"/>
      <c r="S2721" s="28"/>
    </row>
    <row r="2722" spans="1:19" x14ac:dyDescent="0.25">
      <c r="A2722" s="28"/>
      <c r="B2722" s="28"/>
      <c r="C2722" s="28"/>
      <c r="D2722" s="28"/>
      <c r="E2722" s="28"/>
      <c r="F2722" s="28"/>
      <c r="G2722" s="28"/>
      <c r="H2722" s="28"/>
      <c r="I2722" s="28"/>
      <c r="J2722" s="28"/>
      <c r="K2722" s="28"/>
      <c r="L2722" s="28"/>
      <c r="M2722" s="28"/>
      <c r="N2722" s="28"/>
      <c r="O2722" s="28"/>
      <c r="P2722" s="28"/>
      <c r="Q2722" s="28"/>
      <c r="R2722" s="28"/>
      <c r="S2722" s="28"/>
    </row>
    <row r="2723" spans="1:19" x14ac:dyDescent="0.25">
      <c r="A2723" s="28"/>
      <c r="B2723" s="28"/>
      <c r="C2723" s="28"/>
      <c r="D2723" s="28"/>
      <c r="E2723" s="28"/>
      <c r="F2723" s="28"/>
      <c r="G2723" s="28"/>
      <c r="H2723" s="28"/>
      <c r="I2723" s="28"/>
      <c r="J2723" s="28"/>
      <c r="K2723" s="28"/>
      <c r="L2723" s="28"/>
      <c r="M2723" s="28"/>
      <c r="N2723" s="28"/>
      <c r="O2723" s="28"/>
      <c r="P2723" s="28"/>
      <c r="Q2723" s="28"/>
      <c r="R2723" s="28"/>
      <c r="S2723" s="28"/>
    </row>
    <row r="2724" spans="1:19" x14ac:dyDescent="0.25">
      <c r="A2724" s="28"/>
      <c r="B2724" s="28"/>
      <c r="C2724" s="28"/>
      <c r="D2724" s="28"/>
      <c r="E2724" s="28"/>
      <c r="F2724" s="28"/>
      <c r="G2724" s="28"/>
      <c r="H2724" s="28"/>
      <c r="I2724" s="28"/>
      <c r="J2724" s="28"/>
      <c r="K2724" s="28"/>
      <c r="L2724" s="28"/>
      <c r="M2724" s="28"/>
      <c r="N2724" s="28"/>
      <c r="O2724" s="28"/>
      <c r="P2724" s="28"/>
      <c r="Q2724" s="28"/>
      <c r="R2724" s="28"/>
      <c r="S2724" s="28"/>
    </row>
    <row r="2725" spans="1:19" x14ac:dyDescent="0.25">
      <c r="A2725" s="28"/>
      <c r="B2725" s="28"/>
      <c r="C2725" s="28"/>
      <c r="D2725" s="28"/>
      <c r="E2725" s="28"/>
      <c r="F2725" s="28"/>
      <c r="G2725" s="28"/>
      <c r="H2725" s="28"/>
      <c r="I2725" s="28"/>
      <c r="J2725" s="28"/>
      <c r="K2725" s="28"/>
      <c r="L2725" s="28"/>
      <c r="M2725" s="28"/>
      <c r="N2725" s="28"/>
      <c r="O2725" s="28"/>
      <c r="P2725" s="28"/>
      <c r="Q2725" s="28"/>
      <c r="R2725" s="28"/>
      <c r="S2725" s="28"/>
    </row>
    <row r="2726" spans="1:19" x14ac:dyDescent="0.25">
      <c r="A2726" s="28"/>
      <c r="B2726" s="28"/>
      <c r="C2726" s="28"/>
      <c r="D2726" s="28"/>
      <c r="E2726" s="28"/>
      <c r="F2726" s="28"/>
      <c r="G2726" s="28"/>
      <c r="H2726" s="28"/>
      <c r="I2726" s="28"/>
      <c r="J2726" s="28"/>
      <c r="K2726" s="28"/>
      <c r="L2726" s="28"/>
      <c r="M2726" s="28"/>
      <c r="N2726" s="28"/>
      <c r="O2726" s="28"/>
      <c r="P2726" s="28"/>
      <c r="Q2726" s="28"/>
      <c r="R2726" s="28"/>
      <c r="S2726" s="28"/>
    </row>
    <row r="2727" spans="1:19" x14ac:dyDescent="0.25">
      <c r="A2727" s="28"/>
      <c r="B2727" s="28"/>
      <c r="C2727" s="28"/>
      <c r="D2727" s="28"/>
      <c r="E2727" s="28"/>
      <c r="F2727" s="28"/>
      <c r="G2727" s="28"/>
      <c r="H2727" s="28"/>
      <c r="I2727" s="28"/>
      <c r="J2727" s="28"/>
      <c r="K2727" s="28"/>
      <c r="L2727" s="28"/>
      <c r="M2727" s="28"/>
      <c r="N2727" s="28"/>
      <c r="O2727" s="28"/>
      <c r="P2727" s="28"/>
      <c r="Q2727" s="28"/>
      <c r="R2727" s="28"/>
      <c r="S2727" s="28"/>
    </row>
    <row r="2728" spans="1:19" x14ac:dyDescent="0.25">
      <c r="A2728" s="28"/>
      <c r="B2728" s="28"/>
      <c r="C2728" s="28"/>
      <c r="D2728" s="28"/>
      <c r="E2728" s="28"/>
      <c r="F2728" s="28"/>
      <c r="G2728" s="28"/>
      <c r="H2728" s="28"/>
      <c r="I2728" s="28"/>
      <c r="J2728" s="28"/>
      <c r="K2728" s="28"/>
      <c r="L2728" s="28"/>
      <c r="M2728" s="28"/>
      <c r="N2728" s="28"/>
      <c r="O2728" s="28"/>
      <c r="P2728" s="28"/>
      <c r="Q2728" s="28"/>
      <c r="R2728" s="28"/>
      <c r="S2728" s="28"/>
    </row>
    <row r="2729" spans="1:19" x14ac:dyDescent="0.25">
      <c r="A2729" s="28"/>
      <c r="B2729" s="28"/>
      <c r="C2729" s="28"/>
      <c r="D2729" s="28"/>
      <c r="E2729" s="28"/>
      <c r="F2729" s="28"/>
      <c r="G2729" s="28"/>
      <c r="H2729" s="28"/>
      <c r="I2729" s="28"/>
      <c r="J2729" s="28"/>
      <c r="K2729" s="28"/>
      <c r="L2729" s="28"/>
      <c r="M2729" s="28"/>
      <c r="N2729" s="28"/>
      <c r="O2729" s="28"/>
      <c r="P2729" s="28"/>
      <c r="Q2729" s="28"/>
      <c r="R2729" s="28"/>
      <c r="S2729" s="28"/>
    </row>
    <row r="2730" spans="1:19" x14ac:dyDescent="0.25">
      <c r="A2730" s="28"/>
      <c r="B2730" s="28"/>
      <c r="C2730" s="28"/>
      <c r="D2730" s="28"/>
      <c r="E2730" s="28"/>
      <c r="F2730" s="28"/>
      <c r="G2730" s="28"/>
      <c r="H2730" s="28"/>
      <c r="I2730" s="28"/>
      <c r="J2730" s="28"/>
      <c r="K2730" s="28"/>
      <c r="L2730" s="28"/>
      <c r="M2730" s="28"/>
      <c r="N2730" s="28"/>
      <c r="O2730" s="28"/>
      <c r="P2730" s="28"/>
      <c r="Q2730" s="28"/>
      <c r="R2730" s="28"/>
      <c r="S2730" s="28"/>
    </row>
    <row r="2731" spans="1:19" x14ac:dyDescent="0.25">
      <c r="A2731" s="28"/>
      <c r="B2731" s="28"/>
      <c r="C2731" s="28"/>
      <c r="D2731" s="28"/>
      <c r="E2731" s="28"/>
      <c r="F2731" s="28"/>
      <c r="G2731" s="28"/>
      <c r="H2731" s="28"/>
      <c r="I2731" s="28"/>
      <c r="J2731" s="28"/>
      <c r="K2731" s="28"/>
      <c r="L2731" s="28"/>
      <c r="M2731" s="28"/>
      <c r="N2731" s="28"/>
      <c r="O2731" s="28"/>
      <c r="P2731" s="28"/>
      <c r="Q2731" s="28"/>
      <c r="R2731" s="28"/>
      <c r="S2731" s="28"/>
    </row>
    <row r="2732" spans="1:19" x14ac:dyDescent="0.25">
      <c r="A2732" s="28"/>
      <c r="B2732" s="28"/>
      <c r="C2732" s="28"/>
      <c r="D2732" s="28"/>
      <c r="E2732" s="28"/>
      <c r="F2732" s="28"/>
      <c r="G2732" s="28"/>
      <c r="H2732" s="28"/>
      <c r="I2732" s="28"/>
      <c r="J2732" s="28"/>
      <c r="K2732" s="28"/>
      <c r="L2732" s="28"/>
      <c r="M2732" s="28"/>
      <c r="N2732" s="28"/>
      <c r="O2732" s="28"/>
      <c r="P2732" s="28"/>
      <c r="Q2732" s="28"/>
      <c r="R2732" s="28"/>
      <c r="S2732" s="28"/>
    </row>
    <row r="2733" spans="1:19" x14ac:dyDescent="0.25">
      <c r="A2733" s="28"/>
      <c r="B2733" s="28"/>
      <c r="C2733" s="28"/>
      <c r="D2733" s="28"/>
      <c r="E2733" s="28"/>
      <c r="F2733" s="28"/>
      <c r="G2733" s="28"/>
      <c r="H2733" s="28"/>
      <c r="I2733" s="28"/>
      <c r="J2733" s="28"/>
      <c r="K2733" s="28"/>
      <c r="L2733" s="28"/>
      <c r="M2733" s="28"/>
      <c r="N2733" s="28"/>
      <c r="O2733" s="28"/>
      <c r="P2733" s="28"/>
      <c r="Q2733" s="28"/>
      <c r="R2733" s="28"/>
      <c r="S2733" s="28"/>
    </row>
    <row r="2734" spans="1:19" x14ac:dyDescent="0.25">
      <c r="A2734" s="28"/>
      <c r="B2734" s="28"/>
      <c r="C2734" s="28"/>
      <c r="D2734" s="28"/>
      <c r="E2734" s="28"/>
      <c r="F2734" s="28"/>
      <c r="G2734" s="28"/>
      <c r="H2734" s="28"/>
      <c r="I2734" s="28"/>
      <c r="J2734" s="28"/>
      <c r="K2734" s="28"/>
      <c r="L2734" s="28"/>
      <c r="M2734" s="28"/>
      <c r="N2734" s="28"/>
      <c r="O2734" s="28"/>
      <c r="P2734" s="28"/>
      <c r="Q2734" s="28"/>
      <c r="R2734" s="28"/>
      <c r="S2734" s="28"/>
    </row>
    <row r="2735" spans="1:19" x14ac:dyDescent="0.25">
      <c r="A2735" s="28"/>
      <c r="B2735" s="28"/>
      <c r="C2735" s="28"/>
      <c r="D2735" s="28"/>
      <c r="E2735" s="28"/>
      <c r="F2735" s="28"/>
      <c r="G2735" s="28"/>
      <c r="H2735" s="28"/>
      <c r="I2735" s="28"/>
      <c r="J2735" s="28"/>
      <c r="K2735" s="28"/>
      <c r="L2735" s="28"/>
      <c r="M2735" s="28"/>
      <c r="N2735" s="28"/>
      <c r="O2735" s="28"/>
      <c r="P2735" s="28"/>
      <c r="Q2735" s="28"/>
      <c r="R2735" s="28"/>
      <c r="S2735" s="28"/>
    </row>
    <row r="2736" spans="1:19" x14ac:dyDescent="0.25">
      <c r="A2736" s="28"/>
      <c r="B2736" s="28"/>
      <c r="C2736" s="28"/>
      <c r="D2736" s="28"/>
      <c r="E2736" s="28"/>
      <c r="F2736" s="28"/>
      <c r="G2736" s="28"/>
      <c r="H2736" s="28"/>
      <c r="I2736" s="28"/>
      <c r="J2736" s="28"/>
      <c r="K2736" s="28"/>
      <c r="L2736" s="28"/>
      <c r="M2736" s="28"/>
      <c r="N2736" s="28"/>
      <c r="O2736" s="28"/>
      <c r="P2736" s="28"/>
      <c r="Q2736" s="28"/>
      <c r="R2736" s="28"/>
      <c r="S2736" s="28"/>
    </row>
    <row r="2737" spans="1:19" x14ac:dyDescent="0.25">
      <c r="A2737" s="28"/>
      <c r="B2737" s="28"/>
      <c r="C2737" s="28"/>
      <c r="D2737" s="28"/>
      <c r="E2737" s="28"/>
      <c r="F2737" s="28"/>
      <c r="G2737" s="28"/>
      <c r="H2737" s="28"/>
      <c r="I2737" s="28"/>
      <c r="J2737" s="28"/>
      <c r="K2737" s="28"/>
      <c r="L2737" s="28"/>
      <c r="M2737" s="28"/>
      <c r="N2737" s="28"/>
      <c r="O2737" s="28"/>
      <c r="P2737" s="28"/>
      <c r="Q2737" s="28"/>
      <c r="R2737" s="28"/>
      <c r="S2737" s="28"/>
    </row>
    <row r="2738" spans="1:19" x14ac:dyDescent="0.25">
      <c r="A2738" s="28"/>
      <c r="B2738" s="28"/>
      <c r="C2738" s="28"/>
      <c r="D2738" s="28"/>
      <c r="E2738" s="28"/>
      <c r="F2738" s="28"/>
      <c r="G2738" s="28"/>
      <c r="H2738" s="28"/>
      <c r="I2738" s="28"/>
      <c r="J2738" s="28"/>
      <c r="K2738" s="28"/>
      <c r="L2738" s="28"/>
      <c r="M2738" s="28"/>
      <c r="N2738" s="28"/>
      <c r="O2738" s="28"/>
      <c r="P2738" s="28"/>
      <c r="Q2738" s="28"/>
      <c r="R2738" s="28"/>
      <c r="S2738" s="28"/>
    </row>
    <row r="2739" spans="1:19" x14ac:dyDescent="0.25">
      <c r="A2739" s="28"/>
      <c r="B2739" s="28"/>
      <c r="C2739" s="28"/>
      <c r="D2739" s="28"/>
      <c r="E2739" s="28"/>
      <c r="F2739" s="28"/>
      <c r="G2739" s="28"/>
      <c r="H2739" s="28"/>
      <c r="I2739" s="28"/>
      <c r="J2739" s="28"/>
      <c r="K2739" s="28"/>
      <c r="L2739" s="28"/>
      <c r="M2739" s="28"/>
      <c r="N2739" s="28"/>
      <c r="O2739" s="28"/>
      <c r="P2739" s="28"/>
      <c r="Q2739" s="28"/>
      <c r="R2739" s="28"/>
      <c r="S2739" s="28"/>
    </row>
    <row r="2740" spans="1:19" x14ac:dyDescent="0.25">
      <c r="A2740" s="28"/>
      <c r="B2740" s="28"/>
      <c r="C2740" s="28"/>
      <c r="D2740" s="28"/>
      <c r="E2740" s="28"/>
      <c r="F2740" s="28"/>
      <c r="G2740" s="28"/>
      <c r="H2740" s="28"/>
      <c r="I2740" s="28"/>
      <c r="J2740" s="28"/>
      <c r="K2740" s="28"/>
      <c r="L2740" s="28"/>
      <c r="M2740" s="28"/>
      <c r="N2740" s="28"/>
      <c r="O2740" s="28"/>
      <c r="P2740" s="28"/>
      <c r="Q2740" s="28"/>
      <c r="R2740" s="28"/>
      <c r="S2740" s="28"/>
    </row>
    <row r="2741" spans="1:19" x14ac:dyDescent="0.25">
      <c r="A2741" s="28"/>
      <c r="B2741" s="28"/>
      <c r="C2741" s="28"/>
      <c r="D2741" s="28"/>
      <c r="E2741" s="28"/>
      <c r="F2741" s="28"/>
      <c r="G2741" s="28"/>
      <c r="H2741" s="28"/>
      <c r="I2741" s="28"/>
      <c r="J2741" s="28"/>
      <c r="K2741" s="28"/>
      <c r="L2741" s="28"/>
      <c r="M2741" s="28"/>
      <c r="N2741" s="28"/>
      <c r="O2741" s="28"/>
      <c r="P2741" s="28"/>
      <c r="Q2741" s="28"/>
      <c r="R2741" s="28"/>
      <c r="S2741" s="28"/>
    </row>
    <row r="2742" spans="1:19" x14ac:dyDescent="0.25">
      <c r="A2742" s="28"/>
      <c r="B2742" s="28"/>
      <c r="C2742" s="28"/>
      <c r="D2742" s="28"/>
      <c r="E2742" s="28"/>
      <c r="F2742" s="28"/>
      <c r="G2742" s="28"/>
      <c r="H2742" s="28"/>
      <c r="I2742" s="28"/>
      <c r="J2742" s="28"/>
      <c r="K2742" s="28"/>
      <c r="L2742" s="28"/>
      <c r="M2742" s="28"/>
      <c r="N2742" s="28"/>
      <c r="O2742" s="28"/>
      <c r="P2742" s="28"/>
      <c r="Q2742" s="28"/>
      <c r="R2742" s="28"/>
      <c r="S2742" s="28"/>
    </row>
    <row r="2743" spans="1:19" x14ac:dyDescent="0.25">
      <c r="A2743" s="28"/>
      <c r="B2743" s="28"/>
      <c r="C2743" s="28"/>
      <c r="D2743" s="28"/>
      <c r="E2743" s="28"/>
      <c r="F2743" s="28"/>
      <c r="G2743" s="28"/>
      <c r="H2743" s="28"/>
      <c r="I2743" s="28"/>
      <c r="J2743" s="28"/>
      <c r="K2743" s="28"/>
      <c r="L2743" s="28"/>
      <c r="M2743" s="28"/>
      <c r="N2743" s="28"/>
      <c r="O2743" s="28"/>
      <c r="P2743" s="28"/>
      <c r="Q2743" s="28"/>
      <c r="R2743" s="28"/>
      <c r="S2743" s="28"/>
    </row>
    <row r="2744" spans="1:19" x14ac:dyDescent="0.25">
      <c r="A2744" s="28"/>
      <c r="B2744" s="28"/>
      <c r="C2744" s="28"/>
      <c r="D2744" s="28"/>
      <c r="E2744" s="28"/>
      <c r="F2744" s="28"/>
      <c r="G2744" s="28"/>
      <c r="H2744" s="28"/>
      <c r="I2744" s="28"/>
      <c r="J2744" s="28"/>
      <c r="K2744" s="28"/>
      <c r="L2744" s="28"/>
      <c r="M2744" s="28"/>
      <c r="N2744" s="28"/>
      <c r="O2744" s="28"/>
      <c r="P2744" s="28"/>
      <c r="Q2744" s="28"/>
      <c r="R2744" s="28"/>
      <c r="S2744" s="28"/>
    </row>
    <row r="2745" spans="1:19" x14ac:dyDescent="0.25">
      <c r="A2745" s="28"/>
      <c r="B2745" s="28"/>
      <c r="C2745" s="28"/>
      <c r="D2745" s="28"/>
      <c r="E2745" s="28"/>
      <c r="F2745" s="28"/>
      <c r="G2745" s="28"/>
      <c r="H2745" s="28"/>
      <c r="I2745" s="28"/>
      <c r="J2745" s="28"/>
      <c r="K2745" s="28"/>
      <c r="L2745" s="28"/>
      <c r="M2745" s="28"/>
      <c r="N2745" s="28"/>
      <c r="O2745" s="28"/>
      <c r="P2745" s="28"/>
      <c r="Q2745" s="28"/>
      <c r="R2745" s="28"/>
      <c r="S2745" s="28"/>
    </row>
    <row r="2746" spans="1:19" x14ac:dyDescent="0.25">
      <c r="A2746" s="28"/>
      <c r="B2746" s="28"/>
      <c r="C2746" s="28"/>
      <c r="D2746" s="28"/>
      <c r="E2746" s="28"/>
      <c r="F2746" s="28"/>
      <c r="G2746" s="28"/>
      <c r="H2746" s="28"/>
      <c r="I2746" s="28"/>
      <c r="J2746" s="28"/>
      <c r="K2746" s="28"/>
      <c r="L2746" s="28"/>
      <c r="M2746" s="28"/>
      <c r="N2746" s="28"/>
      <c r="O2746" s="28"/>
      <c r="P2746" s="28"/>
      <c r="Q2746" s="28"/>
      <c r="R2746" s="28"/>
      <c r="S2746" s="28"/>
    </row>
    <row r="2747" spans="1:19" x14ac:dyDescent="0.25">
      <c r="A2747" s="28"/>
      <c r="B2747" s="28"/>
      <c r="C2747" s="28"/>
      <c r="D2747" s="28"/>
      <c r="E2747" s="28"/>
      <c r="F2747" s="28"/>
      <c r="G2747" s="28"/>
      <c r="H2747" s="28"/>
      <c r="I2747" s="28"/>
      <c r="J2747" s="28"/>
      <c r="K2747" s="28"/>
      <c r="L2747" s="28"/>
      <c r="M2747" s="28"/>
      <c r="N2747" s="28"/>
      <c r="O2747" s="28"/>
      <c r="P2747" s="28"/>
      <c r="Q2747" s="28"/>
      <c r="R2747" s="28"/>
      <c r="S2747" s="28"/>
    </row>
    <row r="2748" spans="1:19" x14ac:dyDescent="0.25">
      <c r="A2748" s="28"/>
      <c r="B2748" s="28"/>
      <c r="C2748" s="28"/>
      <c r="D2748" s="28"/>
      <c r="E2748" s="28"/>
      <c r="F2748" s="28"/>
      <c r="G2748" s="28"/>
      <c r="H2748" s="28"/>
      <c r="I2748" s="28"/>
      <c r="J2748" s="28"/>
      <c r="K2748" s="28"/>
      <c r="L2748" s="28"/>
      <c r="M2748" s="28"/>
      <c r="N2748" s="28"/>
      <c r="O2748" s="28"/>
      <c r="P2748" s="28"/>
      <c r="Q2748" s="28"/>
      <c r="R2748" s="28"/>
      <c r="S2748" s="28"/>
    </row>
    <row r="2749" spans="1:19" x14ac:dyDescent="0.25">
      <c r="A2749" s="28"/>
      <c r="B2749" s="28"/>
      <c r="C2749" s="28"/>
      <c r="D2749" s="28"/>
      <c r="E2749" s="28"/>
      <c r="F2749" s="28"/>
      <c r="G2749" s="28"/>
      <c r="H2749" s="28"/>
      <c r="I2749" s="28"/>
      <c r="J2749" s="28"/>
      <c r="K2749" s="28"/>
      <c r="L2749" s="28"/>
      <c r="M2749" s="28"/>
      <c r="N2749" s="28"/>
      <c r="O2749" s="28"/>
      <c r="P2749" s="28"/>
      <c r="Q2749" s="28"/>
      <c r="R2749" s="28"/>
      <c r="S2749" s="28"/>
    </row>
    <row r="2750" spans="1:19" x14ac:dyDescent="0.25">
      <c r="A2750" s="28"/>
      <c r="B2750" s="28"/>
      <c r="C2750" s="28"/>
      <c r="D2750" s="28"/>
      <c r="E2750" s="28"/>
      <c r="F2750" s="28"/>
      <c r="G2750" s="28"/>
      <c r="H2750" s="28"/>
      <c r="I2750" s="28"/>
      <c r="J2750" s="28"/>
      <c r="K2750" s="28"/>
      <c r="L2750" s="28"/>
      <c r="M2750" s="28"/>
      <c r="N2750" s="28"/>
      <c r="O2750" s="28"/>
      <c r="P2750" s="28"/>
      <c r="Q2750" s="28"/>
      <c r="R2750" s="28"/>
      <c r="S2750" s="28"/>
    </row>
    <row r="2751" spans="1:19" x14ac:dyDescent="0.25">
      <c r="A2751" s="28"/>
      <c r="B2751" s="28"/>
      <c r="C2751" s="28"/>
      <c r="D2751" s="28"/>
      <c r="E2751" s="28"/>
      <c r="F2751" s="28"/>
      <c r="G2751" s="28"/>
      <c r="H2751" s="28"/>
      <c r="I2751" s="28"/>
      <c r="J2751" s="28"/>
      <c r="K2751" s="28"/>
      <c r="L2751" s="28"/>
      <c r="M2751" s="28"/>
      <c r="N2751" s="28"/>
      <c r="O2751" s="28"/>
      <c r="P2751" s="28"/>
      <c r="Q2751" s="28"/>
      <c r="R2751" s="28"/>
      <c r="S2751" s="28"/>
    </row>
    <row r="2752" spans="1:19" x14ac:dyDescent="0.25">
      <c r="A2752" s="28"/>
      <c r="B2752" s="28"/>
      <c r="C2752" s="28"/>
      <c r="D2752" s="28"/>
      <c r="E2752" s="28"/>
      <c r="F2752" s="28"/>
      <c r="G2752" s="28"/>
      <c r="H2752" s="28"/>
      <c r="I2752" s="28"/>
      <c r="J2752" s="28"/>
      <c r="K2752" s="28"/>
      <c r="L2752" s="28"/>
      <c r="M2752" s="28"/>
      <c r="N2752" s="28"/>
      <c r="O2752" s="28"/>
      <c r="P2752" s="28"/>
      <c r="Q2752" s="28"/>
      <c r="R2752" s="28"/>
      <c r="S2752" s="28"/>
    </row>
    <row r="2753" spans="1:19" x14ac:dyDescent="0.25">
      <c r="A2753" s="28"/>
      <c r="B2753" s="28"/>
      <c r="C2753" s="28"/>
      <c r="D2753" s="28"/>
      <c r="E2753" s="28"/>
      <c r="F2753" s="28"/>
      <c r="G2753" s="28"/>
      <c r="H2753" s="28"/>
      <c r="I2753" s="28"/>
      <c r="J2753" s="28"/>
      <c r="K2753" s="28"/>
      <c r="L2753" s="28"/>
      <c r="M2753" s="28"/>
      <c r="N2753" s="28"/>
      <c r="O2753" s="28"/>
      <c r="P2753" s="28"/>
      <c r="Q2753" s="28"/>
      <c r="R2753" s="28"/>
      <c r="S2753" s="28"/>
    </row>
    <row r="2754" spans="1:19" x14ac:dyDescent="0.25">
      <c r="A2754" s="28"/>
      <c r="B2754" s="28"/>
      <c r="C2754" s="28"/>
      <c r="D2754" s="28"/>
      <c r="E2754" s="28"/>
      <c r="F2754" s="28"/>
      <c r="G2754" s="28"/>
      <c r="H2754" s="28"/>
      <c r="I2754" s="28"/>
      <c r="J2754" s="28"/>
      <c r="K2754" s="28"/>
      <c r="L2754" s="28"/>
      <c r="M2754" s="28"/>
      <c r="N2754" s="28"/>
      <c r="O2754" s="28"/>
      <c r="P2754" s="28"/>
      <c r="Q2754" s="28"/>
      <c r="R2754" s="28"/>
      <c r="S2754" s="28"/>
    </row>
    <row r="2755" spans="1:19" x14ac:dyDescent="0.25">
      <c r="A2755" s="28"/>
      <c r="B2755" s="28"/>
      <c r="C2755" s="28"/>
      <c r="D2755" s="28"/>
      <c r="E2755" s="28"/>
      <c r="F2755" s="28"/>
      <c r="G2755" s="28"/>
      <c r="H2755" s="28"/>
      <c r="I2755" s="28"/>
      <c r="J2755" s="28"/>
      <c r="K2755" s="28"/>
      <c r="L2755" s="28"/>
      <c r="M2755" s="28"/>
      <c r="N2755" s="28"/>
      <c r="O2755" s="28"/>
      <c r="P2755" s="28"/>
      <c r="Q2755" s="28"/>
      <c r="R2755" s="28"/>
      <c r="S2755" s="28"/>
    </row>
    <row r="2756" spans="1:19" x14ac:dyDescent="0.25">
      <c r="A2756" s="28"/>
      <c r="B2756" s="28"/>
      <c r="C2756" s="28"/>
      <c r="D2756" s="28"/>
      <c r="E2756" s="28"/>
      <c r="F2756" s="28"/>
      <c r="G2756" s="28"/>
      <c r="H2756" s="28"/>
      <c r="I2756" s="28"/>
      <c r="J2756" s="28"/>
      <c r="K2756" s="28"/>
      <c r="L2756" s="28"/>
      <c r="M2756" s="28"/>
      <c r="N2756" s="28"/>
      <c r="O2756" s="28"/>
      <c r="P2756" s="28"/>
      <c r="Q2756" s="28"/>
      <c r="R2756" s="28"/>
      <c r="S2756" s="28"/>
    </row>
    <row r="2757" spans="1:19" x14ac:dyDescent="0.25">
      <c r="A2757" s="28"/>
      <c r="B2757" s="28"/>
      <c r="C2757" s="28"/>
      <c r="D2757" s="28"/>
      <c r="E2757" s="28"/>
      <c r="F2757" s="28"/>
      <c r="G2757" s="28"/>
      <c r="H2757" s="28"/>
      <c r="I2757" s="28"/>
      <c r="J2757" s="28"/>
      <c r="K2757" s="28"/>
      <c r="L2757" s="28"/>
      <c r="M2757" s="28"/>
      <c r="N2757" s="28"/>
      <c r="O2757" s="28"/>
      <c r="P2757" s="28"/>
      <c r="Q2757" s="28"/>
      <c r="R2757" s="28"/>
      <c r="S2757" s="28"/>
    </row>
    <row r="2758" spans="1:19" x14ac:dyDescent="0.25">
      <c r="A2758" s="28"/>
      <c r="B2758" s="28"/>
      <c r="C2758" s="28"/>
      <c r="D2758" s="28"/>
      <c r="E2758" s="28"/>
      <c r="F2758" s="28"/>
      <c r="G2758" s="28"/>
      <c r="H2758" s="28"/>
      <c r="I2758" s="28"/>
      <c r="J2758" s="28"/>
      <c r="K2758" s="28"/>
      <c r="L2758" s="28"/>
      <c r="M2758" s="28"/>
      <c r="N2758" s="28"/>
      <c r="O2758" s="28"/>
      <c r="P2758" s="28"/>
      <c r="Q2758" s="28"/>
      <c r="R2758" s="28"/>
      <c r="S2758" s="28"/>
    </row>
    <row r="2759" spans="1:19" x14ac:dyDescent="0.25">
      <c r="A2759" s="28"/>
      <c r="B2759" s="28"/>
      <c r="C2759" s="28"/>
      <c r="D2759" s="28"/>
      <c r="E2759" s="28"/>
      <c r="F2759" s="28"/>
      <c r="G2759" s="28"/>
      <c r="H2759" s="28"/>
      <c r="I2759" s="28"/>
      <c r="J2759" s="28"/>
      <c r="K2759" s="28"/>
      <c r="L2759" s="28"/>
      <c r="M2759" s="28"/>
      <c r="N2759" s="28"/>
      <c r="O2759" s="28"/>
      <c r="P2759" s="28"/>
      <c r="Q2759" s="28"/>
      <c r="R2759" s="28"/>
      <c r="S2759" s="28"/>
    </row>
    <row r="2760" spans="1:19" x14ac:dyDescent="0.25">
      <c r="A2760" s="28"/>
      <c r="B2760" s="28"/>
      <c r="C2760" s="28"/>
      <c r="D2760" s="28"/>
      <c r="E2760" s="28"/>
      <c r="F2760" s="28"/>
      <c r="G2760" s="28"/>
      <c r="H2760" s="28"/>
      <c r="I2760" s="28"/>
      <c r="J2760" s="28"/>
      <c r="K2760" s="28"/>
      <c r="L2760" s="28"/>
      <c r="M2760" s="28"/>
      <c r="N2760" s="28"/>
      <c r="O2760" s="28"/>
      <c r="P2760" s="28"/>
      <c r="Q2760" s="28"/>
      <c r="R2760" s="28"/>
      <c r="S2760" s="28"/>
    </row>
    <row r="2761" spans="1:19" x14ac:dyDescent="0.25">
      <c r="A2761" s="28"/>
      <c r="B2761" s="28"/>
      <c r="C2761" s="28"/>
      <c r="D2761" s="28"/>
      <c r="E2761" s="28"/>
      <c r="F2761" s="28"/>
      <c r="G2761" s="28"/>
      <c r="H2761" s="28"/>
      <c r="I2761" s="28"/>
      <c r="J2761" s="28"/>
      <c r="K2761" s="28"/>
      <c r="L2761" s="28"/>
      <c r="M2761" s="28"/>
      <c r="N2761" s="28"/>
      <c r="O2761" s="28"/>
      <c r="P2761" s="28"/>
      <c r="Q2761" s="28"/>
      <c r="R2761" s="28"/>
      <c r="S2761" s="28"/>
    </row>
    <row r="2762" spans="1:19" x14ac:dyDescent="0.25">
      <c r="A2762" s="28"/>
      <c r="B2762" s="28"/>
      <c r="C2762" s="28"/>
      <c r="D2762" s="28"/>
      <c r="E2762" s="28"/>
      <c r="F2762" s="28"/>
      <c r="G2762" s="28"/>
      <c r="H2762" s="28"/>
      <c r="I2762" s="28"/>
      <c r="J2762" s="28"/>
      <c r="K2762" s="28"/>
      <c r="L2762" s="28"/>
      <c r="M2762" s="28"/>
      <c r="N2762" s="28"/>
      <c r="O2762" s="28"/>
      <c r="P2762" s="28"/>
      <c r="Q2762" s="28"/>
      <c r="R2762" s="28"/>
      <c r="S2762" s="28"/>
    </row>
    <row r="2763" spans="1:19" x14ac:dyDescent="0.25">
      <c r="A2763" s="28"/>
      <c r="B2763" s="28"/>
      <c r="C2763" s="28"/>
      <c r="D2763" s="28"/>
      <c r="E2763" s="28"/>
      <c r="F2763" s="28"/>
      <c r="G2763" s="28"/>
      <c r="H2763" s="28"/>
      <c r="I2763" s="28"/>
      <c r="J2763" s="28"/>
      <c r="K2763" s="28"/>
      <c r="L2763" s="28"/>
      <c r="M2763" s="28"/>
      <c r="N2763" s="28"/>
      <c r="O2763" s="28"/>
      <c r="P2763" s="28"/>
      <c r="Q2763" s="28"/>
      <c r="R2763" s="28"/>
      <c r="S2763" s="28"/>
    </row>
    <row r="2764" spans="1:19" x14ac:dyDescent="0.25">
      <c r="A2764" s="28"/>
      <c r="B2764" s="28"/>
      <c r="C2764" s="28"/>
      <c r="D2764" s="28"/>
      <c r="E2764" s="28"/>
      <c r="F2764" s="28"/>
      <c r="G2764" s="28"/>
      <c r="H2764" s="28"/>
      <c r="I2764" s="28"/>
      <c r="J2764" s="28"/>
      <c r="K2764" s="28"/>
      <c r="L2764" s="28"/>
      <c r="M2764" s="28"/>
      <c r="N2764" s="28"/>
      <c r="O2764" s="28"/>
      <c r="P2764" s="28"/>
      <c r="Q2764" s="28"/>
      <c r="R2764" s="28"/>
      <c r="S2764" s="28"/>
    </row>
    <row r="2765" spans="1:19" x14ac:dyDescent="0.25">
      <c r="A2765" s="28"/>
      <c r="B2765" s="28"/>
      <c r="C2765" s="28"/>
      <c r="D2765" s="28"/>
      <c r="E2765" s="28"/>
      <c r="F2765" s="28"/>
      <c r="G2765" s="28"/>
      <c r="H2765" s="28"/>
      <c r="I2765" s="28"/>
      <c r="J2765" s="28"/>
      <c r="K2765" s="28"/>
      <c r="L2765" s="28"/>
      <c r="M2765" s="28"/>
      <c r="N2765" s="28"/>
      <c r="O2765" s="28"/>
      <c r="P2765" s="28"/>
      <c r="Q2765" s="28"/>
      <c r="R2765" s="28"/>
      <c r="S2765" s="28"/>
    </row>
    <row r="2766" spans="1:19" x14ac:dyDescent="0.25">
      <c r="A2766" s="28"/>
      <c r="B2766" s="28"/>
      <c r="C2766" s="28"/>
      <c r="D2766" s="28"/>
      <c r="E2766" s="28"/>
      <c r="F2766" s="28"/>
      <c r="G2766" s="28"/>
      <c r="H2766" s="28"/>
      <c r="I2766" s="28"/>
      <c r="J2766" s="28"/>
      <c r="K2766" s="28"/>
      <c r="L2766" s="28"/>
      <c r="M2766" s="28"/>
      <c r="N2766" s="28"/>
      <c r="O2766" s="28"/>
      <c r="P2766" s="28"/>
      <c r="Q2766" s="28"/>
      <c r="R2766" s="28"/>
      <c r="S2766" s="28"/>
    </row>
    <row r="2767" spans="1:19" x14ac:dyDescent="0.25">
      <c r="A2767" s="28"/>
      <c r="B2767" s="28"/>
      <c r="C2767" s="28"/>
      <c r="D2767" s="28"/>
      <c r="E2767" s="28"/>
      <c r="F2767" s="28"/>
      <c r="G2767" s="28"/>
      <c r="H2767" s="28"/>
      <c r="I2767" s="28"/>
      <c r="J2767" s="28"/>
      <c r="K2767" s="28"/>
      <c r="L2767" s="28"/>
      <c r="M2767" s="28"/>
      <c r="N2767" s="28"/>
      <c r="O2767" s="28"/>
      <c r="P2767" s="28"/>
      <c r="Q2767" s="28"/>
      <c r="R2767" s="28"/>
      <c r="S2767" s="28"/>
    </row>
    <row r="2768" spans="1:19" x14ac:dyDescent="0.25">
      <c r="A2768" s="28"/>
      <c r="B2768" s="28"/>
      <c r="C2768" s="28"/>
      <c r="D2768" s="28"/>
      <c r="E2768" s="28"/>
      <c r="F2768" s="28"/>
      <c r="G2768" s="28"/>
      <c r="H2768" s="28"/>
      <c r="I2768" s="28"/>
      <c r="J2768" s="28"/>
      <c r="K2768" s="28"/>
      <c r="L2768" s="28"/>
      <c r="M2768" s="28"/>
      <c r="N2768" s="28"/>
      <c r="O2768" s="28"/>
      <c r="P2768" s="28"/>
      <c r="Q2768" s="28"/>
      <c r="R2768" s="28"/>
      <c r="S2768" s="28"/>
    </row>
    <row r="2769" spans="1:19" x14ac:dyDescent="0.25">
      <c r="A2769" s="28"/>
      <c r="B2769" s="28"/>
      <c r="C2769" s="28"/>
      <c r="D2769" s="28"/>
      <c r="E2769" s="28"/>
      <c r="F2769" s="28"/>
      <c r="G2769" s="28"/>
      <c r="H2769" s="28"/>
      <c r="I2769" s="28"/>
      <c r="J2769" s="28"/>
      <c r="K2769" s="28"/>
      <c r="L2769" s="28"/>
      <c r="M2769" s="28"/>
      <c r="N2769" s="28"/>
      <c r="O2769" s="28"/>
      <c r="P2769" s="28"/>
      <c r="Q2769" s="28"/>
      <c r="R2769" s="28"/>
      <c r="S2769" s="28"/>
    </row>
    <row r="2770" spans="1:19" x14ac:dyDescent="0.25">
      <c r="A2770" s="28"/>
      <c r="B2770" s="28"/>
      <c r="C2770" s="28"/>
      <c r="D2770" s="28"/>
      <c r="E2770" s="28"/>
      <c r="F2770" s="28"/>
      <c r="G2770" s="28"/>
      <c r="H2770" s="28"/>
      <c r="I2770" s="28"/>
      <c r="J2770" s="28"/>
      <c r="K2770" s="28"/>
      <c r="L2770" s="28"/>
      <c r="M2770" s="28"/>
      <c r="N2770" s="28"/>
      <c r="O2770" s="28"/>
      <c r="P2770" s="28"/>
      <c r="Q2770" s="28"/>
      <c r="R2770" s="28"/>
      <c r="S2770" s="28"/>
    </row>
    <row r="2771" spans="1:19" x14ac:dyDescent="0.25">
      <c r="A2771" s="28"/>
      <c r="B2771" s="28"/>
      <c r="C2771" s="28"/>
      <c r="D2771" s="28"/>
      <c r="E2771" s="28"/>
      <c r="F2771" s="28"/>
      <c r="G2771" s="28"/>
      <c r="H2771" s="28"/>
      <c r="I2771" s="28"/>
      <c r="J2771" s="28"/>
      <c r="K2771" s="28"/>
      <c r="L2771" s="28"/>
      <c r="M2771" s="28"/>
      <c r="N2771" s="28"/>
      <c r="O2771" s="28"/>
      <c r="P2771" s="28"/>
      <c r="Q2771" s="28"/>
      <c r="R2771" s="28"/>
      <c r="S2771" s="28"/>
    </row>
    <row r="2772" spans="1:19" x14ac:dyDescent="0.25">
      <c r="A2772" s="28"/>
      <c r="B2772" s="28"/>
      <c r="C2772" s="28"/>
      <c r="D2772" s="28"/>
      <c r="E2772" s="28"/>
      <c r="F2772" s="28"/>
      <c r="G2772" s="28"/>
      <c r="H2772" s="28"/>
      <c r="I2772" s="28"/>
      <c r="J2772" s="28"/>
      <c r="K2772" s="28"/>
      <c r="L2772" s="28"/>
      <c r="M2772" s="28"/>
      <c r="N2772" s="28"/>
      <c r="O2772" s="28"/>
      <c r="P2772" s="28"/>
      <c r="Q2772" s="28"/>
      <c r="R2772" s="28"/>
      <c r="S2772" s="28"/>
    </row>
    <row r="2773" spans="1:19" x14ac:dyDescent="0.25">
      <c r="A2773" s="28"/>
      <c r="B2773" s="28"/>
      <c r="C2773" s="28"/>
      <c r="D2773" s="28"/>
      <c r="E2773" s="28"/>
      <c r="F2773" s="28"/>
      <c r="G2773" s="28"/>
      <c r="H2773" s="28"/>
      <c r="I2773" s="28"/>
      <c r="J2773" s="28"/>
      <c r="K2773" s="28"/>
      <c r="L2773" s="28"/>
      <c r="M2773" s="28"/>
      <c r="N2773" s="28"/>
      <c r="O2773" s="28"/>
      <c r="P2773" s="28"/>
      <c r="Q2773" s="28"/>
      <c r="R2773" s="28"/>
      <c r="S2773" s="28"/>
    </row>
    <row r="2774" spans="1:19" x14ac:dyDescent="0.25">
      <c r="A2774" s="28"/>
      <c r="B2774" s="28"/>
      <c r="C2774" s="28"/>
      <c r="D2774" s="28"/>
      <c r="E2774" s="28"/>
      <c r="F2774" s="28"/>
      <c r="G2774" s="28"/>
      <c r="H2774" s="28"/>
      <c r="I2774" s="28"/>
      <c r="J2774" s="28"/>
      <c r="K2774" s="28"/>
      <c r="L2774" s="28"/>
      <c r="M2774" s="28"/>
      <c r="N2774" s="28"/>
      <c r="O2774" s="28"/>
      <c r="P2774" s="28"/>
      <c r="Q2774" s="28"/>
      <c r="R2774" s="28"/>
      <c r="S2774" s="28"/>
    </row>
    <row r="2775" spans="1:19" x14ac:dyDescent="0.25">
      <c r="A2775" s="28"/>
      <c r="B2775" s="28"/>
      <c r="C2775" s="28"/>
      <c r="D2775" s="28"/>
      <c r="E2775" s="28"/>
      <c r="F2775" s="28"/>
      <c r="G2775" s="28"/>
      <c r="H2775" s="28"/>
      <c r="I2775" s="28"/>
      <c r="J2775" s="28"/>
      <c r="K2775" s="28"/>
      <c r="L2775" s="28"/>
      <c r="M2775" s="28"/>
      <c r="N2775" s="28"/>
      <c r="O2775" s="28"/>
      <c r="P2775" s="28"/>
      <c r="Q2775" s="28"/>
      <c r="R2775" s="28"/>
      <c r="S2775" s="28"/>
    </row>
    <row r="2776" spans="1:19" x14ac:dyDescent="0.25">
      <c r="A2776" s="28"/>
      <c r="B2776" s="28"/>
      <c r="C2776" s="28"/>
      <c r="D2776" s="28"/>
      <c r="E2776" s="28"/>
      <c r="F2776" s="28"/>
      <c r="G2776" s="28"/>
      <c r="H2776" s="28"/>
      <c r="I2776" s="28"/>
      <c r="J2776" s="28"/>
      <c r="K2776" s="28"/>
      <c r="L2776" s="28"/>
      <c r="M2776" s="28"/>
      <c r="N2776" s="28"/>
      <c r="O2776" s="28"/>
      <c r="P2776" s="28"/>
      <c r="Q2776" s="28"/>
      <c r="R2776" s="28"/>
      <c r="S2776" s="28"/>
    </row>
    <row r="2777" spans="1:19" x14ac:dyDescent="0.25">
      <c r="A2777" s="28"/>
      <c r="B2777" s="28"/>
      <c r="C2777" s="28"/>
      <c r="D2777" s="28"/>
      <c r="E2777" s="28"/>
      <c r="F2777" s="28"/>
      <c r="G2777" s="28"/>
      <c r="H2777" s="28"/>
      <c r="I2777" s="28"/>
      <c r="J2777" s="28"/>
      <c r="K2777" s="28"/>
      <c r="L2777" s="28"/>
      <c r="M2777" s="28"/>
      <c r="N2777" s="28"/>
      <c r="O2777" s="28"/>
      <c r="P2777" s="28"/>
      <c r="Q2777" s="28"/>
      <c r="R2777" s="28"/>
      <c r="S2777" s="28"/>
    </row>
    <row r="2778" spans="1:19" x14ac:dyDescent="0.25">
      <c r="A2778" s="28"/>
      <c r="B2778" s="28"/>
      <c r="C2778" s="28"/>
      <c r="D2778" s="28"/>
      <c r="E2778" s="28"/>
      <c r="F2778" s="28"/>
      <c r="G2778" s="28"/>
      <c r="H2778" s="28"/>
      <c r="I2778" s="28"/>
      <c r="J2778" s="28"/>
      <c r="K2778" s="28"/>
      <c r="L2778" s="28"/>
      <c r="M2778" s="28"/>
      <c r="N2778" s="28"/>
      <c r="O2778" s="28"/>
      <c r="P2778" s="28"/>
      <c r="Q2778" s="28"/>
      <c r="R2778" s="28"/>
      <c r="S2778" s="28"/>
    </row>
    <row r="2779" spans="1:19" x14ac:dyDescent="0.25">
      <c r="A2779" s="28"/>
      <c r="B2779" s="28"/>
      <c r="C2779" s="28"/>
      <c r="D2779" s="28"/>
      <c r="E2779" s="28"/>
      <c r="F2779" s="28"/>
      <c r="G2779" s="28"/>
      <c r="H2779" s="28"/>
      <c r="I2779" s="28"/>
      <c r="J2779" s="28"/>
      <c r="K2779" s="28"/>
      <c r="L2779" s="28"/>
      <c r="M2779" s="28"/>
      <c r="N2779" s="28"/>
      <c r="O2779" s="28"/>
      <c r="P2779" s="28"/>
      <c r="Q2779" s="28"/>
      <c r="R2779" s="28"/>
      <c r="S2779" s="28"/>
    </row>
    <row r="2780" spans="1:19" x14ac:dyDescent="0.25">
      <c r="A2780" s="28"/>
      <c r="B2780" s="28"/>
      <c r="C2780" s="28"/>
      <c r="D2780" s="28"/>
      <c r="E2780" s="28"/>
      <c r="F2780" s="28"/>
      <c r="G2780" s="28"/>
      <c r="H2780" s="28"/>
      <c r="I2780" s="28"/>
      <c r="J2780" s="28"/>
      <c r="K2780" s="28"/>
      <c r="L2780" s="28"/>
      <c r="M2780" s="28"/>
      <c r="N2780" s="28"/>
      <c r="O2780" s="28"/>
      <c r="P2780" s="28"/>
      <c r="Q2780" s="28"/>
      <c r="R2780" s="28"/>
      <c r="S2780" s="28"/>
    </row>
    <row r="2781" spans="1:19" x14ac:dyDescent="0.25">
      <c r="A2781" s="28"/>
      <c r="B2781" s="28"/>
      <c r="C2781" s="28"/>
      <c r="D2781" s="28"/>
      <c r="E2781" s="28"/>
      <c r="F2781" s="28"/>
      <c r="G2781" s="28"/>
      <c r="H2781" s="28"/>
      <c r="I2781" s="28"/>
      <c r="J2781" s="28"/>
      <c r="K2781" s="28"/>
      <c r="L2781" s="28"/>
      <c r="M2781" s="28"/>
      <c r="N2781" s="28"/>
      <c r="O2781" s="28"/>
      <c r="P2781" s="28"/>
      <c r="Q2781" s="28"/>
      <c r="R2781" s="28"/>
      <c r="S2781" s="28"/>
    </row>
    <row r="2782" spans="1:19" x14ac:dyDescent="0.25">
      <c r="A2782" s="28"/>
      <c r="B2782" s="28"/>
      <c r="C2782" s="28"/>
      <c r="D2782" s="28"/>
      <c r="E2782" s="28"/>
      <c r="F2782" s="28"/>
      <c r="G2782" s="28"/>
      <c r="H2782" s="28"/>
      <c r="I2782" s="28"/>
      <c r="J2782" s="28"/>
      <c r="K2782" s="28"/>
      <c r="L2782" s="28"/>
      <c r="M2782" s="28"/>
      <c r="N2782" s="28"/>
      <c r="O2782" s="28"/>
      <c r="P2782" s="28"/>
      <c r="Q2782" s="28"/>
      <c r="R2782" s="28"/>
      <c r="S2782" s="28"/>
    </row>
    <row r="2783" spans="1:19" x14ac:dyDescent="0.25">
      <c r="A2783" s="28"/>
      <c r="B2783" s="28"/>
      <c r="C2783" s="28"/>
      <c r="D2783" s="28"/>
      <c r="E2783" s="28"/>
      <c r="F2783" s="28"/>
      <c r="G2783" s="28"/>
      <c r="H2783" s="28"/>
      <c r="I2783" s="28"/>
      <c r="J2783" s="28"/>
      <c r="K2783" s="28"/>
      <c r="L2783" s="28"/>
      <c r="M2783" s="28"/>
      <c r="N2783" s="28"/>
      <c r="O2783" s="28"/>
      <c r="P2783" s="28"/>
      <c r="Q2783" s="28"/>
      <c r="R2783" s="28"/>
      <c r="S2783" s="28"/>
    </row>
    <row r="2784" spans="1:19" x14ac:dyDescent="0.25">
      <c r="A2784" s="28"/>
      <c r="B2784" s="28"/>
      <c r="C2784" s="28"/>
      <c r="D2784" s="28"/>
      <c r="E2784" s="28"/>
      <c r="F2784" s="28"/>
      <c r="G2784" s="28"/>
      <c r="H2784" s="28"/>
      <c r="I2784" s="28"/>
      <c r="J2784" s="28"/>
      <c r="K2784" s="28"/>
      <c r="L2784" s="28"/>
      <c r="M2784" s="28"/>
      <c r="N2784" s="28"/>
      <c r="O2784" s="28"/>
      <c r="P2784" s="28"/>
      <c r="Q2784" s="28"/>
      <c r="R2784" s="28"/>
      <c r="S2784" s="28"/>
    </row>
    <row r="2785" spans="1:19" x14ac:dyDescent="0.25">
      <c r="A2785" s="28"/>
      <c r="B2785" s="28"/>
      <c r="C2785" s="28"/>
      <c r="D2785" s="28"/>
      <c r="E2785" s="28"/>
      <c r="F2785" s="28"/>
      <c r="G2785" s="28"/>
      <c r="H2785" s="28"/>
      <c r="I2785" s="28"/>
      <c r="J2785" s="28"/>
      <c r="K2785" s="28"/>
      <c r="L2785" s="28"/>
      <c r="M2785" s="28"/>
      <c r="N2785" s="28"/>
      <c r="O2785" s="28"/>
      <c r="P2785" s="28"/>
      <c r="Q2785" s="28"/>
      <c r="R2785" s="28"/>
      <c r="S2785" s="28"/>
    </row>
    <row r="2786" spans="1:19" x14ac:dyDescent="0.25">
      <c r="A2786" s="28"/>
      <c r="B2786" s="28"/>
      <c r="C2786" s="28"/>
      <c r="D2786" s="28"/>
      <c r="E2786" s="28"/>
      <c r="F2786" s="28"/>
      <c r="G2786" s="28"/>
      <c r="H2786" s="28"/>
      <c r="I2786" s="28"/>
      <c r="J2786" s="28"/>
      <c r="K2786" s="28"/>
      <c r="L2786" s="28"/>
      <c r="M2786" s="28"/>
      <c r="N2786" s="28"/>
      <c r="O2786" s="28"/>
      <c r="P2786" s="28"/>
      <c r="Q2786" s="28"/>
      <c r="R2786" s="28"/>
      <c r="S2786" s="28"/>
    </row>
    <row r="2787" spans="1:19" x14ac:dyDescent="0.25">
      <c r="A2787" s="28"/>
      <c r="B2787" s="28"/>
      <c r="C2787" s="28"/>
      <c r="D2787" s="28"/>
      <c r="E2787" s="28"/>
      <c r="F2787" s="28"/>
      <c r="G2787" s="28"/>
      <c r="H2787" s="28"/>
      <c r="I2787" s="28"/>
      <c r="J2787" s="28"/>
      <c r="K2787" s="28"/>
      <c r="L2787" s="28"/>
      <c r="M2787" s="28"/>
      <c r="N2787" s="28"/>
      <c r="O2787" s="28"/>
      <c r="P2787" s="28"/>
      <c r="Q2787" s="28"/>
      <c r="R2787" s="28"/>
      <c r="S2787" s="28"/>
    </row>
    <row r="2788" spans="1:19" x14ac:dyDescent="0.25">
      <c r="A2788" s="28"/>
      <c r="B2788" s="28"/>
      <c r="C2788" s="28"/>
      <c r="D2788" s="28"/>
      <c r="E2788" s="28"/>
      <c r="F2788" s="28"/>
      <c r="G2788" s="28"/>
      <c r="H2788" s="28"/>
      <c r="I2788" s="28"/>
      <c r="J2788" s="28"/>
      <c r="K2788" s="28"/>
      <c r="L2788" s="28"/>
      <c r="M2788" s="28"/>
      <c r="N2788" s="28"/>
      <c r="O2788" s="28"/>
      <c r="P2788" s="28"/>
      <c r="Q2788" s="28"/>
      <c r="R2788" s="28"/>
      <c r="S2788" s="28"/>
    </row>
    <row r="2789" spans="1:19" x14ac:dyDescent="0.25">
      <c r="A2789" s="28"/>
      <c r="B2789" s="28"/>
      <c r="C2789" s="28"/>
      <c r="D2789" s="28"/>
      <c r="E2789" s="28"/>
      <c r="F2789" s="28"/>
      <c r="G2789" s="28"/>
      <c r="H2789" s="28"/>
      <c r="I2789" s="28"/>
      <c r="J2789" s="28"/>
      <c r="K2789" s="28"/>
      <c r="L2789" s="28"/>
      <c r="M2789" s="28"/>
      <c r="N2789" s="28"/>
      <c r="O2789" s="28"/>
      <c r="P2789" s="28"/>
      <c r="Q2789" s="28"/>
      <c r="R2789" s="28"/>
      <c r="S2789" s="28"/>
    </row>
    <row r="2790" spans="1:19" x14ac:dyDescent="0.25">
      <c r="A2790" s="28"/>
      <c r="B2790" s="28"/>
      <c r="C2790" s="28"/>
      <c r="D2790" s="28"/>
      <c r="E2790" s="28"/>
      <c r="F2790" s="28"/>
      <c r="G2790" s="28"/>
      <c r="H2790" s="28"/>
      <c r="I2790" s="28"/>
      <c r="J2790" s="28"/>
      <c r="K2790" s="28"/>
      <c r="L2790" s="28"/>
      <c r="M2790" s="28"/>
      <c r="N2790" s="28"/>
      <c r="O2790" s="28"/>
      <c r="P2790" s="28"/>
      <c r="Q2790" s="28"/>
      <c r="R2790" s="28"/>
      <c r="S2790" s="28"/>
    </row>
    <row r="2791" spans="1:19" x14ac:dyDescent="0.25">
      <c r="A2791" s="28"/>
      <c r="B2791" s="28"/>
      <c r="C2791" s="28"/>
      <c r="D2791" s="28"/>
      <c r="E2791" s="28"/>
      <c r="F2791" s="28"/>
      <c r="G2791" s="28"/>
      <c r="H2791" s="28"/>
      <c r="I2791" s="28"/>
      <c r="J2791" s="28"/>
      <c r="K2791" s="28"/>
      <c r="L2791" s="28"/>
      <c r="M2791" s="28"/>
      <c r="N2791" s="28"/>
      <c r="O2791" s="28"/>
      <c r="P2791" s="28"/>
      <c r="Q2791" s="28"/>
      <c r="R2791" s="28"/>
      <c r="S2791" s="28"/>
    </row>
    <row r="2792" spans="1:19" x14ac:dyDescent="0.25">
      <c r="A2792" s="28"/>
      <c r="B2792" s="28"/>
      <c r="C2792" s="28"/>
      <c r="D2792" s="28"/>
      <c r="E2792" s="28"/>
      <c r="F2792" s="28"/>
      <c r="G2792" s="28"/>
      <c r="H2792" s="28"/>
      <c r="I2792" s="28"/>
      <c r="J2792" s="28"/>
      <c r="K2792" s="28"/>
      <c r="L2792" s="28"/>
      <c r="M2792" s="28"/>
      <c r="N2792" s="28"/>
      <c r="O2792" s="28"/>
      <c r="P2792" s="28"/>
      <c r="Q2792" s="28"/>
      <c r="R2792" s="28"/>
      <c r="S2792" s="28"/>
    </row>
    <row r="2793" spans="1:19" x14ac:dyDescent="0.25">
      <c r="A2793" s="28"/>
      <c r="B2793" s="28"/>
      <c r="C2793" s="28"/>
      <c r="D2793" s="28"/>
      <c r="E2793" s="28"/>
      <c r="F2793" s="28"/>
      <c r="G2793" s="28"/>
      <c r="H2793" s="28"/>
      <c r="I2793" s="28"/>
      <c r="J2793" s="28"/>
      <c r="K2793" s="28"/>
      <c r="L2793" s="28"/>
      <c r="M2793" s="28"/>
      <c r="N2793" s="28"/>
      <c r="O2793" s="28"/>
      <c r="P2793" s="28"/>
      <c r="Q2793" s="28"/>
      <c r="R2793" s="28"/>
      <c r="S2793" s="28"/>
    </row>
    <row r="2794" spans="1:19" x14ac:dyDescent="0.25">
      <c r="A2794" s="28"/>
      <c r="B2794" s="28"/>
      <c r="C2794" s="28"/>
      <c r="D2794" s="28"/>
      <c r="E2794" s="28"/>
      <c r="F2794" s="28"/>
      <c r="G2794" s="28"/>
      <c r="H2794" s="28"/>
      <c r="I2794" s="28"/>
      <c r="J2794" s="28"/>
      <c r="K2794" s="28"/>
      <c r="L2794" s="28"/>
      <c r="M2794" s="28"/>
      <c r="N2794" s="28"/>
      <c r="O2794" s="28"/>
      <c r="P2794" s="28"/>
      <c r="Q2794" s="28"/>
      <c r="R2794" s="28"/>
      <c r="S2794" s="28"/>
    </row>
    <row r="2795" spans="1:19" x14ac:dyDescent="0.25">
      <c r="A2795" s="28"/>
      <c r="B2795" s="28"/>
      <c r="C2795" s="28"/>
      <c r="D2795" s="28"/>
      <c r="E2795" s="28"/>
      <c r="F2795" s="28"/>
      <c r="G2795" s="28"/>
      <c r="H2795" s="28"/>
      <c r="I2795" s="28"/>
      <c r="J2795" s="28"/>
      <c r="K2795" s="28"/>
      <c r="L2795" s="28"/>
      <c r="M2795" s="28"/>
      <c r="N2795" s="28"/>
      <c r="O2795" s="28"/>
      <c r="P2795" s="28"/>
      <c r="Q2795" s="28"/>
      <c r="R2795" s="28"/>
      <c r="S2795" s="28"/>
    </row>
    <row r="2796" spans="1:19" x14ac:dyDescent="0.25">
      <c r="A2796" s="28"/>
      <c r="B2796" s="28"/>
      <c r="C2796" s="28"/>
      <c r="D2796" s="28"/>
      <c r="E2796" s="28"/>
      <c r="F2796" s="28"/>
      <c r="G2796" s="28"/>
      <c r="H2796" s="28"/>
      <c r="I2796" s="28"/>
      <c r="J2796" s="28"/>
      <c r="K2796" s="28"/>
      <c r="L2796" s="28"/>
      <c r="M2796" s="28"/>
      <c r="N2796" s="28"/>
      <c r="O2796" s="28"/>
      <c r="P2796" s="28"/>
      <c r="Q2796" s="28"/>
      <c r="R2796" s="28"/>
      <c r="S2796" s="28"/>
    </row>
    <row r="2797" spans="1:19" x14ac:dyDescent="0.25">
      <c r="A2797" s="28"/>
      <c r="B2797" s="28"/>
      <c r="C2797" s="28"/>
      <c r="D2797" s="28"/>
      <c r="E2797" s="28"/>
      <c r="F2797" s="28"/>
      <c r="G2797" s="28"/>
      <c r="H2797" s="28"/>
      <c r="I2797" s="28"/>
      <c r="J2797" s="28"/>
      <c r="K2797" s="28"/>
      <c r="L2797" s="28"/>
      <c r="M2797" s="28"/>
      <c r="N2797" s="28"/>
      <c r="O2797" s="28"/>
      <c r="P2797" s="28"/>
      <c r="Q2797" s="28"/>
      <c r="R2797" s="28"/>
      <c r="S2797" s="28"/>
    </row>
    <row r="2798" spans="1:19" x14ac:dyDescent="0.25">
      <c r="A2798" s="28"/>
      <c r="B2798" s="28"/>
      <c r="C2798" s="28"/>
      <c r="D2798" s="28"/>
      <c r="E2798" s="28"/>
      <c r="F2798" s="28"/>
      <c r="G2798" s="28"/>
      <c r="H2798" s="28"/>
      <c r="I2798" s="28"/>
      <c r="J2798" s="28"/>
      <c r="K2798" s="28"/>
      <c r="L2798" s="28"/>
      <c r="M2798" s="28"/>
      <c r="N2798" s="28"/>
      <c r="O2798" s="28"/>
      <c r="P2798" s="28"/>
      <c r="Q2798" s="28"/>
      <c r="R2798" s="28"/>
      <c r="S2798" s="28"/>
    </row>
    <row r="2799" spans="1:19" x14ac:dyDescent="0.25">
      <c r="A2799" s="28"/>
      <c r="B2799" s="28"/>
      <c r="C2799" s="28"/>
      <c r="D2799" s="28"/>
      <c r="E2799" s="28"/>
      <c r="F2799" s="28"/>
      <c r="G2799" s="28"/>
      <c r="H2799" s="28"/>
      <c r="I2799" s="28"/>
      <c r="J2799" s="28"/>
      <c r="K2799" s="28"/>
      <c r="L2799" s="28"/>
      <c r="M2799" s="28"/>
      <c r="N2799" s="28"/>
      <c r="O2799" s="28"/>
      <c r="P2799" s="28"/>
      <c r="Q2799" s="28"/>
      <c r="R2799" s="28"/>
      <c r="S2799" s="28"/>
    </row>
    <row r="2800" spans="1:19" x14ac:dyDescent="0.25">
      <c r="A2800" s="28"/>
      <c r="B2800" s="28"/>
      <c r="C2800" s="28"/>
      <c r="D2800" s="28"/>
      <c r="E2800" s="28"/>
      <c r="F2800" s="28"/>
      <c r="G2800" s="28"/>
      <c r="H2800" s="28"/>
      <c r="I2800" s="28"/>
      <c r="J2800" s="28"/>
      <c r="K2800" s="28"/>
      <c r="L2800" s="28"/>
      <c r="M2800" s="28"/>
      <c r="N2800" s="28"/>
      <c r="O2800" s="28"/>
      <c r="P2800" s="28"/>
      <c r="Q2800" s="28"/>
      <c r="R2800" s="28"/>
      <c r="S2800" s="28"/>
    </row>
    <row r="2801" spans="1:19" x14ac:dyDescent="0.25">
      <c r="A2801" s="28"/>
      <c r="B2801" s="28"/>
      <c r="C2801" s="28"/>
      <c r="D2801" s="28"/>
      <c r="E2801" s="28"/>
      <c r="F2801" s="28"/>
      <c r="G2801" s="28"/>
      <c r="H2801" s="28"/>
      <c r="I2801" s="28"/>
      <c r="J2801" s="28"/>
      <c r="K2801" s="28"/>
      <c r="L2801" s="28"/>
      <c r="M2801" s="28"/>
      <c r="N2801" s="28"/>
      <c r="O2801" s="28"/>
      <c r="P2801" s="28"/>
      <c r="Q2801" s="28"/>
      <c r="R2801" s="28"/>
      <c r="S2801" s="28"/>
    </row>
    <row r="2802" spans="1:19" x14ac:dyDescent="0.25">
      <c r="A2802" s="28"/>
      <c r="B2802" s="28"/>
      <c r="C2802" s="28"/>
      <c r="D2802" s="28"/>
      <c r="E2802" s="28"/>
      <c r="F2802" s="28"/>
      <c r="G2802" s="28"/>
      <c r="H2802" s="28"/>
      <c r="I2802" s="28"/>
      <c r="J2802" s="28"/>
      <c r="K2802" s="28"/>
      <c r="L2802" s="28"/>
      <c r="M2802" s="28"/>
      <c r="N2802" s="28"/>
      <c r="O2802" s="28"/>
      <c r="P2802" s="28"/>
      <c r="Q2802" s="28"/>
      <c r="R2802" s="28"/>
      <c r="S2802" s="28"/>
    </row>
    <row r="2803" spans="1:19" x14ac:dyDescent="0.25">
      <c r="A2803" s="28"/>
      <c r="B2803" s="28"/>
      <c r="C2803" s="28"/>
      <c r="D2803" s="28"/>
      <c r="E2803" s="28"/>
      <c r="F2803" s="28"/>
      <c r="G2803" s="28"/>
      <c r="H2803" s="28"/>
      <c r="I2803" s="28"/>
      <c r="J2803" s="28"/>
      <c r="K2803" s="28"/>
      <c r="L2803" s="28"/>
      <c r="M2803" s="28"/>
      <c r="N2803" s="28"/>
      <c r="O2803" s="28"/>
      <c r="P2803" s="28"/>
      <c r="Q2803" s="28"/>
      <c r="R2803" s="28"/>
      <c r="S2803" s="28"/>
    </row>
    <row r="2804" spans="1:19" x14ac:dyDescent="0.25">
      <c r="A2804" s="28"/>
      <c r="B2804" s="28"/>
      <c r="C2804" s="28"/>
      <c r="D2804" s="28"/>
      <c r="E2804" s="28"/>
      <c r="F2804" s="28"/>
      <c r="G2804" s="28"/>
      <c r="H2804" s="28"/>
      <c r="I2804" s="28"/>
      <c r="J2804" s="28"/>
      <c r="K2804" s="28"/>
      <c r="L2804" s="28"/>
      <c r="M2804" s="28"/>
      <c r="N2804" s="28"/>
      <c r="O2804" s="28"/>
      <c r="P2804" s="28"/>
      <c r="Q2804" s="28"/>
      <c r="R2804" s="28"/>
      <c r="S2804" s="28"/>
    </row>
    <row r="2805" spans="1:19" x14ac:dyDescent="0.25">
      <c r="A2805" s="28"/>
      <c r="B2805" s="28"/>
      <c r="C2805" s="28"/>
      <c r="D2805" s="28"/>
      <c r="E2805" s="28"/>
      <c r="F2805" s="28"/>
      <c r="G2805" s="28"/>
      <c r="H2805" s="28"/>
      <c r="I2805" s="28"/>
      <c r="J2805" s="28"/>
      <c r="K2805" s="28"/>
      <c r="L2805" s="28"/>
      <c r="M2805" s="28"/>
      <c r="N2805" s="28"/>
      <c r="O2805" s="28"/>
      <c r="P2805" s="28"/>
      <c r="Q2805" s="28"/>
      <c r="R2805" s="28"/>
      <c r="S2805" s="28"/>
    </row>
    <row r="2806" spans="1:19" x14ac:dyDescent="0.25">
      <c r="A2806" s="28"/>
      <c r="B2806" s="28"/>
      <c r="C2806" s="28"/>
      <c r="D2806" s="28"/>
      <c r="E2806" s="28"/>
      <c r="F2806" s="28"/>
      <c r="G2806" s="28"/>
      <c r="H2806" s="28"/>
      <c r="I2806" s="28"/>
      <c r="J2806" s="28"/>
      <c r="K2806" s="28"/>
      <c r="L2806" s="28"/>
      <c r="M2806" s="28"/>
      <c r="N2806" s="28"/>
      <c r="O2806" s="28"/>
      <c r="P2806" s="28"/>
      <c r="Q2806" s="28"/>
      <c r="R2806" s="28"/>
      <c r="S2806" s="28"/>
    </row>
    <row r="2807" spans="1:19" x14ac:dyDescent="0.25">
      <c r="A2807" s="28"/>
      <c r="B2807" s="28"/>
      <c r="C2807" s="28"/>
      <c r="D2807" s="28"/>
      <c r="E2807" s="28"/>
      <c r="F2807" s="28"/>
      <c r="G2807" s="28"/>
      <c r="H2807" s="28"/>
      <c r="I2807" s="28"/>
      <c r="J2807" s="28"/>
      <c r="K2807" s="28"/>
      <c r="L2807" s="28"/>
      <c r="M2807" s="28"/>
      <c r="N2807" s="28"/>
      <c r="O2807" s="28"/>
      <c r="P2807" s="28"/>
      <c r="Q2807" s="28"/>
      <c r="R2807" s="28"/>
      <c r="S2807" s="28"/>
    </row>
    <row r="2808" spans="1:19" x14ac:dyDescent="0.25">
      <c r="A2808" s="28"/>
      <c r="B2808" s="28"/>
      <c r="C2808" s="28"/>
      <c r="D2808" s="28"/>
      <c r="E2808" s="28"/>
      <c r="F2808" s="28"/>
      <c r="G2808" s="28"/>
      <c r="H2808" s="28"/>
      <c r="I2808" s="28"/>
      <c r="J2808" s="28"/>
      <c r="K2808" s="28"/>
      <c r="L2808" s="28"/>
      <c r="M2808" s="28"/>
      <c r="N2808" s="28"/>
      <c r="O2808" s="28"/>
      <c r="P2808" s="28"/>
      <c r="Q2808" s="28"/>
      <c r="R2808" s="28"/>
      <c r="S2808" s="28"/>
    </row>
    <row r="2809" spans="1:19" x14ac:dyDescent="0.25">
      <c r="A2809" s="28"/>
      <c r="B2809" s="28"/>
      <c r="C2809" s="28"/>
      <c r="D2809" s="28"/>
      <c r="E2809" s="28"/>
      <c r="F2809" s="28"/>
      <c r="G2809" s="28"/>
      <c r="H2809" s="28"/>
      <c r="I2809" s="28"/>
      <c r="J2809" s="28"/>
      <c r="K2809" s="28"/>
      <c r="L2809" s="28"/>
      <c r="M2809" s="28"/>
      <c r="N2809" s="28"/>
      <c r="O2809" s="28"/>
      <c r="P2809" s="28"/>
      <c r="Q2809" s="28"/>
      <c r="R2809" s="28"/>
      <c r="S2809" s="28"/>
    </row>
    <row r="2810" spans="1:19" x14ac:dyDescent="0.25">
      <c r="A2810" s="28"/>
      <c r="B2810" s="28"/>
      <c r="C2810" s="28"/>
      <c r="D2810" s="28"/>
      <c r="E2810" s="28"/>
      <c r="F2810" s="28"/>
      <c r="G2810" s="28"/>
      <c r="H2810" s="28"/>
      <c r="I2810" s="28"/>
      <c r="J2810" s="28"/>
      <c r="K2810" s="28"/>
      <c r="L2810" s="28"/>
      <c r="M2810" s="28"/>
      <c r="N2810" s="28"/>
      <c r="O2810" s="28"/>
      <c r="P2810" s="28"/>
      <c r="Q2810" s="28"/>
      <c r="R2810" s="28"/>
      <c r="S2810" s="28"/>
    </row>
    <row r="2811" spans="1:19" x14ac:dyDescent="0.25">
      <c r="A2811" s="28"/>
      <c r="B2811" s="28"/>
      <c r="C2811" s="28"/>
      <c r="D2811" s="28"/>
      <c r="E2811" s="28"/>
      <c r="F2811" s="28"/>
      <c r="G2811" s="28"/>
      <c r="H2811" s="28"/>
      <c r="I2811" s="28"/>
      <c r="J2811" s="28"/>
      <c r="K2811" s="28"/>
      <c r="L2811" s="28"/>
      <c r="M2811" s="28"/>
      <c r="N2811" s="28"/>
      <c r="O2811" s="28"/>
      <c r="P2811" s="28"/>
      <c r="Q2811" s="28"/>
      <c r="R2811" s="28"/>
      <c r="S2811" s="28"/>
    </row>
    <row r="2812" spans="1:19" x14ac:dyDescent="0.25">
      <c r="A2812" s="28"/>
      <c r="B2812" s="28"/>
      <c r="C2812" s="28"/>
      <c r="D2812" s="28"/>
      <c r="E2812" s="28"/>
      <c r="F2812" s="28"/>
      <c r="G2812" s="28"/>
      <c r="H2812" s="28"/>
      <c r="I2812" s="28"/>
      <c r="J2812" s="28"/>
      <c r="K2812" s="28"/>
      <c r="L2812" s="28"/>
      <c r="M2812" s="28"/>
      <c r="N2812" s="28"/>
      <c r="O2812" s="28"/>
      <c r="P2812" s="28"/>
      <c r="Q2812" s="28"/>
      <c r="R2812" s="28"/>
      <c r="S2812" s="28"/>
    </row>
    <row r="2813" spans="1:19" x14ac:dyDescent="0.25">
      <c r="A2813" s="28"/>
      <c r="B2813" s="28"/>
      <c r="C2813" s="28"/>
      <c r="D2813" s="28"/>
      <c r="E2813" s="28"/>
      <c r="F2813" s="28"/>
      <c r="G2813" s="28"/>
      <c r="H2813" s="28"/>
      <c r="I2813" s="28"/>
      <c r="J2813" s="28"/>
      <c r="K2813" s="28"/>
      <c r="L2813" s="28"/>
      <c r="M2813" s="28"/>
      <c r="N2813" s="28"/>
      <c r="O2813" s="28"/>
      <c r="P2813" s="28"/>
      <c r="Q2813" s="28"/>
      <c r="R2813" s="28"/>
      <c r="S2813" s="28"/>
    </row>
    <row r="2814" spans="1:19" x14ac:dyDescent="0.25">
      <c r="A2814" s="28"/>
      <c r="B2814" s="28"/>
      <c r="C2814" s="28"/>
      <c r="D2814" s="28"/>
      <c r="E2814" s="28"/>
      <c r="F2814" s="28"/>
      <c r="G2814" s="28"/>
      <c r="H2814" s="28"/>
      <c r="I2814" s="28"/>
      <c r="J2814" s="28"/>
      <c r="K2814" s="28"/>
      <c r="L2814" s="28"/>
      <c r="M2814" s="28"/>
      <c r="N2814" s="28"/>
      <c r="O2814" s="28"/>
      <c r="P2814" s="28"/>
      <c r="Q2814" s="28"/>
      <c r="R2814" s="28"/>
      <c r="S2814" s="28"/>
    </row>
    <row r="2815" spans="1:19" x14ac:dyDescent="0.25">
      <c r="A2815" s="28"/>
      <c r="B2815" s="28"/>
      <c r="C2815" s="28"/>
      <c r="D2815" s="28"/>
      <c r="E2815" s="28"/>
      <c r="F2815" s="28"/>
      <c r="G2815" s="28"/>
      <c r="H2815" s="28"/>
      <c r="I2815" s="28"/>
      <c r="J2815" s="28"/>
      <c r="K2815" s="28"/>
      <c r="L2815" s="28"/>
      <c r="M2815" s="28"/>
      <c r="N2815" s="28"/>
      <c r="O2815" s="28"/>
      <c r="P2815" s="28"/>
      <c r="Q2815" s="28"/>
      <c r="R2815" s="28"/>
      <c r="S2815" s="28"/>
    </row>
    <row r="2816" spans="1:19" x14ac:dyDescent="0.25">
      <c r="A2816" s="28"/>
      <c r="B2816" s="28"/>
      <c r="C2816" s="28"/>
      <c r="D2816" s="28"/>
      <c r="E2816" s="28"/>
      <c r="F2816" s="28"/>
      <c r="G2816" s="28"/>
      <c r="H2816" s="28"/>
      <c r="I2816" s="28"/>
      <c r="J2816" s="28"/>
      <c r="K2816" s="28"/>
      <c r="L2816" s="28"/>
      <c r="M2816" s="28"/>
      <c r="N2816" s="28"/>
      <c r="O2816" s="28"/>
      <c r="P2816" s="28"/>
      <c r="Q2816" s="28"/>
      <c r="R2816" s="28"/>
      <c r="S2816" s="28"/>
    </row>
    <row r="2817" spans="1:19" x14ac:dyDescent="0.25">
      <c r="A2817" s="28"/>
      <c r="B2817" s="28"/>
      <c r="C2817" s="28"/>
      <c r="D2817" s="28"/>
      <c r="E2817" s="28"/>
      <c r="F2817" s="28"/>
      <c r="G2817" s="28"/>
      <c r="H2817" s="28"/>
      <c r="I2817" s="28"/>
      <c r="J2817" s="28"/>
      <c r="K2817" s="28"/>
      <c r="L2817" s="28"/>
      <c r="M2817" s="28"/>
      <c r="N2817" s="28"/>
      <c r="O2817" s="28"/>
      <c r="P2817" s="28"/>
      <c r="Q2817" s="28"/>
      <c r="R2817" s="28"/>
      <c r="S2817" s="28"/>
    </row>
    <row r="2818" spans="1:19" x14ac:dyDescent="0.25">
      <c r="A2818" s="28"/>
      <c r="B2818" s="28"/>
      <c r="C2818" s="28"/>
      <c r="D2818" s="28"/>
      <c r="E2818" s="28"/>
      <c r="F2818" s="28"/>
      <c r="G2818" s="28"/>
      <c r="H2818" s="28"/>
      <c r="I2818" s="28"/>
      <c r="J2818" s="28"/>
      <c r="K2818" s="28"/>
      <c r="L2818" s="28"/>
      <c r="M2818" s="28"/>
      <c r="N2818" s="28"/>
      <c r="O2818" s="28"/>
      <c r="P2818" s="28"/>
      <c r="Q2818" s="28"/>
      <c r="R2818" s="28"/>
      <c r="S2818" s="28"/>
    </row>
    <row r="2819" spans="1:19" x14ac:dyDescent="0.25">
      <c r="A2819" s="28"/>
      <c r="B2819" s="28"/>
      <c r="C2819" s="28"/>
      <c r="D2819" s="28"/>
      <c r="E2819" s="28"/>
      <c r="F2819" s="28"/>
      <c r="G2819" s="28"/>
      <c r="H2819" s="28"/>
      <c r="I2819" s="28"/>
      <c r="J2819" s="28"/>
      <c r="K2819" s="28"/>
      <c r="L2819" s="28"/>
      <c r="M2819" s="28"/>
      <c r="N2819" s="28"/>
      <c r="O2819" s="28"/>
      <c r="P2819" s="28"/>
      <c r="Q2819" s="28"/>
      <c r="R2819" s="28"/>
      <c r="S2819" s="28"/>
    </row>
    <row r="2820" spans="1:19" x14ac:dyDescent="0.25">
      <c r="A2820" s="28"/>
      <c r="B2820" s="28"/>
      <c r="C2820" s="28"/>
      <c r="D2820" s="28"/>
      <c r="E2820" s="28"/>
      <c r="F2820" s="28"/>
      <c r="G2820" s="28"/>
      <c r="H2820" s="28"/>
      <c r="I2820" s="28"/>
      <c r="J2820" s="28"/>
      <c r="K2820" s="28"/>
      <c r="L2820" s="28"/>
      <c r="M2820" s="28"/>
      <c r="N2820" s="28"/>
      <c r="O2820" s="28"/>
      <c r="P2820" s="28"/>
      <c r="Q2820" s="28"/>
      <c r="R2820" s="28"/>
      <c r="S2820" s="28"/>
    </row>
    <row r="2821" spans="1:19" x14ac:dyDescent="0.25">
      <c r="A2821" s="28"/>
      <c r="B2821" s="28"/>
      <c r="C2821" s="28"/>
      <c r="D2821" s="28"/>
      <c r="E2821" s="28"/>
      <c r="F2821" s="28"/>
      <c r="G2821" s="28"/>
      <c r="H2821" s="28"/>
      <c r="I2821" s="28"/>
      <c r="J2821" s="28"/>
      <c r="K2821" s="28"/>
      <c r="L2821" s="28"/>
      <c r="M2821" s="28"/>
      <c r="N2821" s="28"/>
      <c r="O2821" s="28"/>
      <c r="P2821" s="28"/>
      <c r="Q2821" s="28"/>
      <c r="R2821" s="28"/>
      <c r="S2821" s="28"/>
    </row>
    <row r="2822" spans="1:19" x14ac:dyDescent="0.25">
      <c r="A2822" s="28"/>
      <c r="B2822" s="28"/>
      <c r="C2822" s="28"/>
      <c r="D2822" s="28"/>
      <c r="E2822" s="28"/>
      <c r="F2822" s="28"/>
      <c r="G2822" s="28"/>
      <c r="H2822" s="28"/>
      <c r="I2822" s="28"/>
      <c r="J2822" s="28"/>
      <c r="K2822" s="28"/>
      <c r="L2822" s="28"/>
      <c r="M2822" s="28"/>
      <c r="N2822" s="28"/>
      <c r="O2822" s="28"/>
      <c r="P2822" s="28"/>
      <c r="Q2822" s="28"/>
      <c r="R2822" s="28"/>
      <c r="S2822" s="28"/>
    </row>
    <row r="2823" spans="1:19" x14ac:dyDescent="0.25">
      <c r="A2823" s="28"/>
      <c r="B2823" s="28"/>
      <c r="C2823" s="28"/>
      <c r="D2823" s="28"/>
      <c r="E2823" s="28"/>
      <c r="F2823" s="28"/>
      <c r="G2823" s="28"/>
      <c r="H2823" s="28"/>
      <c r="I2823" s="28"/>
      <c r="J2823" s="28"/>
      <c r="K2823" s="28"/>
      <c r="L2823" s="28"/>
      <c r="M2823" s="28"/>
      <c r="N2823" s="28"/>
      <c r="O2823" s="28"/>
      <c r="P2823" s="28"/>
      <c r="Q2823" s="28"/>
      <c r="R2823" s="28"/>
      <c r="S2823" s="28"/>
    </row>
    <row r="2824" spans="1:19" x14ac:dyDescent="0.25">
      <c r="A2824" s="28"/>
      <c r="B2824" s="28"/>
      <c r="C2824" s="28"/>
      <c r="D2824" s="28"/>
      <c r="E2824" s="28"/>
      <c r="F2824" s="28"/>
      <c r="G2824" s="28"/>
      <c r="H2824" s="28"/>
      <c r="I2824" s="28"/>
      <c r="J2824" s="28"/>
      <c r="K2824" s="28"/>
      <c r="L2824" s="28"/>
      <c r="M2824" s="28"/>
      <c r="N2824" s="28"/>
      <c r="O2824" s="28"/>
      <c r="P2824" s="28"/>
      <c r="Q2824" s="28"/>
      <c r="R2824" s="28"/>
      <c r="S2824" s="28"/>
    </row>
    <row r="2825" spans="1:19" x14ac:dyDescent="0.25">
      <c r="A2825" s="28"/>
      <c r="B2825" s="28"/>
      <c r="C2825" s="28"/>
      <c r="D2825" s="28"/>
      <c r="E2825" s="28"/>
      <c r="F2825" s="28"/>
      <c r="G2825" s="28"/>
      <c r="H2825" s="28"/>
      <c r="I2825" s="28"/>
      <c r="J2825" s="28"/>
      <c r="K2825" s="28"/>
      <c r="L2825" s="28"/>
      <c r="M2825" s="28"/>
      <c r="N2825" s="28"/>
      <c r="O2825" s="28"/>
      <c r="P2825" s="28"/>
      <c r="Q2825" s="28"/>
      <c r="R2825" s="28"/>
      <c r="S2825" s="28"/>
    </row>
    <row r="2826" spans="1:19" x14ac:dyDescent="0.25">
      <c r="A2826" s="28"/>
      <c r="B2826" s="28"/>
      <c r="C2826" s="28"/>
      <c r="D2826" s="28"/>
      <c r="E2826" s="28"/>
      <c r="F2826" s="28"/>
      <c r="G2826" s="28"/>
      <c r="H2826" s="28"/>
      <c r="I2826" s="28"/>
      <c r="J2826" s="28"/>
      <c r="K2826" s="28"/>
      <c r="L2826" s="28"/>
      <c r="M2826" s="28"/>
      <c r="N2826" s="28"/>
      <c r="O2826" s="28"/>
      <c r="P2826" s="28"/>
      <c r="Q2826" s="28"/>
      <c r="R2826" s="28"/>
      <c r="S2826" s="28"/>
    </row>
    <row r="2827" spans="1:19" x14ac:dyDescent="0.25">
      <c r="A2827" s="28"/>
      <c r="B2827" s="28"/>
      <c r="C2827" s="28"/>
      <c r="D2827" s="28"/>
      <c r="E2827" s="28"/>
      <c r="F2827" s="28"/>
      <c r="G2827" s="28"/>
      <c r="H2827" s="28"/>
      <c r="I2827" s="28"/>
      <c r="J2827" s="28"/>
      <c r="K2827" s="28"/>
      <c r="L2827" s="28"/>
      <c r="M2827" s="28"/>
      <c r="N2827" s="28"/>
      <c r="O2827" s="28"/>
      <c r="P2827" s="28"/>
      <c r="Q2827" s="28"/>
      <c r="R2827" s="28"/>
      <c r="S2827" s="28"/>
    </row>
    <row r="2828" spans="1:19" x14ac:dyDescent="0.25">
      <c r="A2828" s="28"/>
      <c r="B2828" s="28"/>
      <c r="C2828" s="28"/>
      <c r="D2828" s="28"/>
      <c r="E2828" s="28"/>
      <c r="F2828" s="28"/>
      <c r="G2828" s="28"/>
      <c r="H2828" s="28"/>
      <c r="I2828" s="28"/>
      <c r="J2828" s="28"/>
      <c r="K2828" s="28"/>
      <c r="L2828" s="28"/>
      <c r="M2828" s="28"/>
      <c r="N2828" s="28"/>
      <c r="O2828" s="28"/>
      <c r="P2828" s="28"/>
      <c r="Q2828" s="28"/>
      <c r="R2828" s="28"/>
      <c r="S2828" s="28"/>
    </row>
    <row r="2829" spans="1:19" x14ac:dyDescent="0.25">
      <c r="A2829" s="28"/>
      <c r="B2829" s="28"/>
      <c r="C2829" s="28"/>
      <c r="D2829" s="28"/>
      <c r="E2829" s="28"/>
      <c r="F2829" s="28"/>
      <c r="G2829" s="28"/>
      <c r="H2829" s="28"/>
      <c r="I2829" s="28"/>
      <c r="J2829" s="28"/>
      <c r="K2829" s="28"/>
      <c r="L2829" s="28"/>
      <c r="M2829" s="28"/>
      <c r="N2829" s="28"/>
      <c r="O2829" s="28"/>
      <c r="P2829" s="28"/>
      <c r="Q2829" s="28"/>
      <c r="R2829" s="28"/>
      <c r="S2829" s="28"/>
    </row>
    <row r="2830" spans="1:19" x14ac:dyDescent="0.25">
      <c r="A2830" s="28"/>
      <c r="B2830" s="28"/>
      <c r="C2830" s="28"/>
      <c r="D2830" s="28"/>
      <c r="E2830" s="28"/>
      <c r="F2830" s="28"/>
      <c r="G2830" s="28"/>
      <c r="H2830" s="28"/>
      <c r="I2830" s="28"/>
      <c r="J2830" s="28"/>
      <c r="K2830" s="28"/>
      <c r="L2830" s="28"/>
      <c r="M2830" s="28"/>
      <c r="N2830" s="28"/>
      <c r="O2830" s="28"/>
      <c r="P2830" s="28"/>
      <c r="Q2830" s="28"/>
      <c r="R2830" s="28"/>
      <c r="S2830" s="28"/>
    </row>
    <row r="2831" spans="1:19" x14ac:dyDescent="0.25">
      <c r="A2831" s="28"/>
      <c r="B2831" s="28"/>
      <c r="C2831" s="28"/>
      <c r="D2831" s="28"/>
      <c r="E2831" s="28"/>
      <c r="F2831" s="28"/>
      <c r="G2831" s="28"/>
      <c r="H2831" s="28"/>
      <c r="I2831" s="28"/>
      <c r="J2831" s="28"/>
      <c r="K2831" s="28"/>
      <c r="L2831" s="28"/>
      <c r="M2831" s="28"/>
      <c r="N2831" s="28"/>
      <c r="O2831" s="28"/>
      <c r="P2831" s="28"/>
      <c r="Q2831" s="28"/>
      <c r="R2831" s="28"/>
      <c r="S2831" s="28"/>
    </row>
    <row r="2832" spans="1:19" x14ac:dyDescent="0.25">
      <c r="A2832" s="28"/>
      <c r="B2832" s="28"/>
      <c r="C2832" s="28"/>
      <c r="D2832" s="28"/>
      <c r="E2832" s="28"/>
      <c r="F2832" s="28"/>
      <c r="G2832" s="28"/>
      <c r="H2832" s="28"/>
      <c r="I2832" s="28"/>
      <c r="J2832" s="28"/>
      <c r="K2832" s="28"/>
      <c r="L2832" s="28"/>
      <c r="M2832" s="28"/>
      <c r="N2832" s="28"/>
      <c r="O2832" s="28"/>
      <c r="P2832" s="28"/>
      <c r="Q2832" s="28"/>
      <c r="R2832" s="28"/>
      <c r="S2832" s="28"/>
    </row>
    <row r="2833" spans="1:19" x14ac:dyDescent="0.25">
      <c r="A2833" s="28"/>
      <c r="B2833" s="28"/>
      <c r="C2833" s="28"/>
      <c r="D2833" s="28"/>
      <c r="E2833" s="28"/>
      <c r="F2833" s="28"/>
      <c r="G2833" s="28"/>
      <c r="H2833" s="28"/>
      <c r="I2833" s="28"/>
      <c r="J2833" s="28"/>
      <c r="K2833" s="28"/>
      <c r="L2833" s="28"/>
      <c r="M2833" s="28"/>
      <c r="N2833" s="28"/>
      <c r="O2833" s="28"/>
      <c r="P2833" s="28"/>
      <c r="Q2833" s="28"/>
      <c r="R2833" s="28"/>
      <c r="S2833" s="28"/>
    </row>
    <row r="2834" spans="1:19" x14ac:dyDescent="0.25">
      <c r="A2834" s="28"/>
      <c r="B2834" s="28"/>
      <c r="C2834" s="28"/>
      <c r="D2834" s="28"/>
      <c r="E2834" s="28"/>
      <c r="F2834" s="28"/>
      <c r="G2834" s="28"/>
      <c r="H2834" s="28"/>
      <c r="I2834" s="28"/>
      <c r="J2834" s="28"/>
      <c r="K2834" s="28"/>
      <c r="L2834" s="28"/>
      <c r="M2834" s="28"/>
      <c r="N2834" s="28"/>
      <c r="O2834" s="28"/>
      <c r="P2834" s="28"/>
      <c r="Q2834" s="28"/>
      <c r="R2834" s="28"/>
      <c r="S2834" s="28"/>
    </row>
    <row r="2835" spans="1:19" x14ac:dyDescent="0.25">
      <c r="A2835" s="28"/>
      <c r="B2835" s="28"/>
      <c r="C2835" s="28"/>
      <c r="D2835" s="28"/>
      <c r="E2835" s="28"/>
      <c r="F2835" s="28"/>
      <c r="G2835" s="28"/>
      <c r="H2835" s="28"/>
      <c r="I2835" s="28"/>
      <c r="J2835" s="28"/>
      <c r="K2835" s="28"/>
      <c r="L2835" s="28"/>
      <c r="M2835" s="28"/>
      <c r="N2835" s="28"/>
      <c r="O2835" s="28"/>
      <c r="P2835" s="28"/>
      <c r="Q2835" s="28"/>
      <c r="R2835" s="28"/>
      <c r="S2835" s="28"/>
    </row>
    <row r="2836" spans="1:19" x14ac:dyDescent="0.25">
      <c r="A2836" s="28"/>
      <c r="B2836" s="28"/>
      <c r="C2836" s="28"/>
      <c r="D2836" s="28"/>
      <c r="E2836" s="28"/>
      <c r="F2836" s="28"/>
      <c r="G2836" s="28"/>
      <c r="H2836" s="28"/>
      <c r="I2836" s="28"/>
      <c r="J2836" s="28"/>
      <c r="K2836" s="28"/>
      <c r="L2836" s="28"/>
      <c r="M2836" s="28"/>
      <c r="N2836" s="28"/>
      <c r="O2836" s="28"/>
      <c r="P2836" s="28"/>
      <c r="Q2836" s="28"/>
      <c r="R2836" s="28"/>
      <c r="S2836" s="28"/>
    </row>
    <row r="2837" spans="1:19" x14ac:dyDescent="0.25">
      <c r="A2837" s="28"/>
      <c r="B2837" s="28"/>
      <c r="C2837" s="28"/>
      <c r="D2837" s="28"/>
      <c r="E2837" s="28"/>
      <c r="F2837" s="28"/>
      <c r="G2837" s="28"/>
      <c r="H2837" s="28"/>
      <c r="I2837" s="28"/>
      <c r="J2837" s="28"/>
      <c r="K2837" s="28"/>
      <c r="L2837" s="28"/>
      <c r="M2837" s="28"/>
      <c r="N2837" s="28"/>
      <c r="O2837" s="28"/>
      <c r="P2837" s="28"/>
      <c r="Q2837" s="28"/>
      <c r="R2837" s="28"/>
      <c r="S2837" s="28"/>
    </row>
    <row r="2838" spans="1:19" x14ac:dyDescent="0.25">
      <c r="A2838" s="28"/>
      <c r="B2838" s="28"/>
      <c r="C2838" s="28"/>
      <c r="D2838" s="28"/>
      <c r="E2838" s="28"/>
      <c r="F2838" s="28"/>
      <c r="G2838" s="28"/>
      <c r="H2838" s="28"/>
      <c r="I2838" s="28"/>
      <c r="J2838" s="28"/>
      <c r="K2838" s="28"/>
      <c r="L2838" s="28"/>
      <c r="M2838" s="28"/>
      <c r="N2838" s="28"/>
      <c r="O2838" s="28"/>
      <c r="P2838" s="28"/>
      <c r="Q2838" s="28"/>
      <c r="R2838" s="28"/>
      <c r="S2838" s="28"/>
    </row>
    <row r="2839" spans="1:19" x14ac:dyDescent="0.25">
      <c r="A2839" s="28"/>
      <c r="B2839" s="28"/>
      <c r="C2839" s="28"/>
      <c r="D2839" s="28"/>
      <c r="E2839" s="28"/>
      <c r="F2839" s="28"/>
      <c r="G2839" s="28"/>
      <c r="H2839" s="28"/>
      <c r="I2839" s="28"/>
      <c r="J2839" s="28"/>
      <c r="K2839" s="28"/>
      <c r="L2839" s="28"/>
      <c r="M2839" s="28"/>
      <c r="N2839" s="28"/>
      <c r="O2839" s="28"/>
      <c r="P2839" s="28"/>
      <c r="Q2839" s="28"/>
      <c r="R2839" s="28"/>
      <c r="S2839" s="28"/>
    </row>
    <row r="2840" spans="1:19" x14ac:dyDescent="0.25">
      <c r="A2840" s="28"/>
      <c r="B2840" s="28"/>
      <c r="C2840" s="28"/>
      <c r="D2840" s="28"/>
      <c r="E2840" s="28"/>
      <c r="F2840" s="28"/>
      <c r="G2840" s="28"/>
      <c r="H2840" s="28"/>
      <c r="I2840" s="28"/>
      <c r="J2840" s="28"/>
      <c r="K2840" s="28"/>
      <c r="L2840" s="28"/>
      <c r="M2840" s="28"/>
      <c r="N2840" s="28"/>
      <c r="O2840" s="28"/>
      <c r="P2840" s="28"/>
      <c r="Q2840" s="28"/>
      <c r="R2840" s="28"/>
      <c r="S2840" s="28"/>
    </row>
    <row r="2841" spans="1:19" x14ac:dyDescent="0.25">
      <c r="A2841" s="28"/>
      <c r="B2841" s="28"/>
      <c r="C2841" s="28"/>
      <c r="D2841" s="28"/>
      <c r="E2841" s="28"/>
      <c r="F2841" s="28"/>
      <c r="G2841" s="28"/>
      <c r="H2841" s="28"/>
      <c r="I2841" s="28"/>
      <c r="J2841" s="28"/>
      <c r="K2841" s="28"/>
      <c r="L2841" s="28"/>
      <c r="M2841" s="28"/>
      <c r="N2841" s="28"/>
      <c r="O2841" s="28"/>
      <c r="P2841" s="28"/>
      <c r="Q2841" s="28"/>
      <c r="R2841" s="28"/>
      <c r="S2841" s="28"/>
    </row>
    <row r="2842" spans="1:19" x14ac:dyDescent="0.25">
      <c r="A2842" s="28"/>
      <c r="B2842" s="28"/>
      <c r="C2842" s="28"/>
      <c r="D2842" s="28"/>
      <c r="E2842" s="28"/>
      <c r="F2842" s="28"/>
      <c r="G2842" s="28"/>
      <c r="H2842" s="28"/>
      <c r="I2842" s="28"/>
      <c r="J2842" s="28"/>
      <c r="K2842" s="28"/>
      <c r="L2842" s="28"/>
      <c r="M2842" s="28"/>
      <c r="N2842" s="28"/>
      <c r="O2842" s="28"/>
      <c r="P2842" s="28"/>
      <c r="Q2842" s="28"/>
      <c r="R2842" s="28"/>
      <c r="S2842" s="28"/>
    </row>
    <row r="2843" spans="1:19" x14ac:dyDescent="0.25">
      <c r="A2843" s="28"/>
      <c r="B2843" s="28"/>
      <c r="C2843" s="28"/>
      <c r="D2843" s="28"/>
      <c r="E2843" s="28"/>
      <c r="F2843" s="28"/>
      <c r="G2843" s="28"/>
      <c r="H2843" s="28"/>
      <c r="I2843" s="28"/>
      <c r="J2843" s="28"/>
      <c r="K2843" s="28"/>
      <c r="L2843" s="28"/>
      <c r="M2843" s="28"/>
      <c r="N2843" s="28"/>
      <c r="O2843" s="28"/>
      <c r="P2843" s="28"/>
      <c r="Q2843" s="28"/>
      <c r="R2843" s="28"/>
      <c r="S2843" s="28"/>
    </row>
    <row r="2844" spans="1:19" x14ac:dyDescent="0.25">
      <c r="A2844" s="28"/>
      <c r="B2844" s="28"/>
      <c r="C2844" s="28"/>
      <c r="D2844" s="28"/>
      <c r="E2844" s="28"/>
      <c r="F2844" s="28"/>
      <c r="G2844" s="28"/>
      <c r="H2844" s="28"/>
      <c r="I2844" s="28"/>
      <c r="J2844" s="28"/>
      <c r="K2844" s="28"/>
      <c r="L2844" s="28"/>
      <c r="M2844" s="28"/>
      <c r="N2844" s="28"/>
      <c r="O2844" s="28"/>
      <c r="P2844" s="28"/>
      <c r="Q2844" s="28"/>
      <c r="R2844" s="28"/>
      <c r="S2844" s="28"/>
    </row>
    <row r="2845" spans="1:19" x14ac:dyDescent="0.25">
      <c r="A2845" s="28"/>
      <c r="B2845" s="28"/>
      <c r="C2845" s="28"/>
      <c r="D2845" s="28"/>
      <c r="E2845" s="28"/>
      <c r="F2845" s="28"/>
      <c r="G2845" s="28"/>
      <c r="H2845" s="28"/>
      <c r="I2845" s="28"/>
      <c r="J2845" s="28"/>
      <c r="K2845" s="28"/>
      <c r="L2845" s="28"/>
      <c r="M2845" s="28"/>
      <c r="N2845" s="28"/>
      <c r="O2845" s="28"/>
      <c r="P2845" s="28"/>
      <c r="Q2845" s="28"/>
      <c r="R2845" s="28"/>
      <c r="S2845" s="28"/>
    </row>
    <row r="2846" spans="1:19" x14ac:dyDescent="0.25">
      <c r="A2846" s="28"/>
      <c r="B2846" s="28"/>
      <c r="C2846" s="28"/>
      <c r="D2846" s="28"/>
      <c r="E2846" s="28"/>
      <c r="F2846" s="28"/>
      <c r="G2846" s="28"/>
      <c r="H2846" s="28"/>
      <c r="I2846" s="28"/>
      <c r="J2846" s="28"/>
      <c r="K2846" s="28"/>
      <c r="L2846" s="28"/>
      <c r="M2846" s="28"/>
      <c r="N2846" s="28"/>
      <c r="O2846" s="28"/>
      <c r="P2846" s="28"/>
      <c r="Q2846" s="28"/>
      <c r="R2846" s="28"/>
      <c r="S2846" s="28"/>
    </row>
    <row r="2847" spans="1:19" x14ac:dyDescent="0.25">
      <c r="A2847" s="28"/>
      <c r="B2847" s="28"/>
      <c r="C2847" s="28"/>
      <c r="D2847" s="28"/>
      <c r="E2847" s="28"/>
      <c r="F2847" s="28"/>
      <c r="G2847" s="28"/>
      <c r="H2847" s="28"/>
      <c r="I2847" s="28"/>
      <c r="J2847" s="28"/>
      <c r="K2847" s="28"/>
      <c r="L2847" s="28"/>
      <c r="M2847" s="28"/>
      <c r="N2847" s="28"/>
      <c r="O2847" s="28"/>
      <c r="P2847" s="28"/>
      <c r="Q2847" s="28"/>
      <c r="R2847" s="28"/>
      <c r="S2847" s="28"/>
    </row>
    <row r="2848" spans="1:19" x14ac:dyDescent="0.25">
      <c r="A2848" s="28"/>
      <c r="B2848" s="28"/>
      <c r="C2848" s="28"/>
      <c r="D2848" s="28"/>
      <c r="E2848" s="28"/>
      <c r="F2848" s="28"/>
      <c r="G2848" s="28"/>
      <c r="H2848" s="28"/>
      <c r="I2848" s="28"/>
      <c r="J2848" s="28"/>
      <c r="K2848" s="28"/>
      <c r="L2848" s="28"/>
      <c r="M2848" s="28"/>
      <c r="N2848" s="28"/>
      <c r="O2848" s="28"/>
      <c r="P2848" s="28"/>
      <c r="Q2848" s="28"/>
      <c r="R2848" s="28"/>
      <c r="S2848" s="28"/>
    </row>
    <row r="2849" spans="1:19" x14ac:dyDescent="0.25">
      <c r="A2849" s="28"/>
      <c r="B2849" s="28"/>
      <c r="C2849" s="28"/>
      <c r="D2849" s="28"/>
      <c r="E2849" s="28"/>
      <c r="F2849" s="28"/>
      <c r="G2849" s="28"/>
      <c r="H2849" s="28"/>
      <c r="I2849" s="28"/>
      <c r="J2849" s="28"/>
      <c r="K2849" s="28"/>
      <c r="L2849" s="28"/>
      <c r="M2849" s="28"/>
      <c r="N2849" s="28"/>
      <c r="O2849" s="28"/>
      <c r="P2849" s="28"/>
      <c r="Q2849" s="28"/>
      <c r="R2849" s="28"/>
      <c r="S2849" s="28"/>
    </row>
    <row r="2850" spans="1:19" x14ac:dyDescent="0.25">
      <c r="A2850" s="28"/>
      <c r="B2850" s="28"/>
      <c r="C2850" s="28"/>
      <c r="D2850" s="28"/>
      <c r="E2850" s="28"/>
      <c r="F2850" s="28"/>
      <c r="G2850" s="28"/>
      <c r="H2850" s="28"/>
      <c r="I2850" s="28"/>
      <c r="J2850" s="28"/>
      <c r="K2850" s="28"/>
      <c r="L2850" s="28"/>
      <c r="M2850" s="28"/>
      <c r="N2850" s="28"/>
      <c r="O2850" s="28"/>
      <c r="P2850" s="28"/>
      <c r="Q2850" s="28"/>
      <c r="R2850" s="28"/>
      <c r="S2850" s="28"/>
    </row>
    <row r="2851" spans="1:19" x14ac:dyDescent="0.25">
      <c r="A2851" s="28"/>
      <c r="B2851" s="28"/>
      <c r="C2851" s="28"/>
      <c r="D2851" s="28"/>
      <c r="E2851" s="28"/>
      <c r="F2851" s="28"/>
      <c r="G2851" s="28"/>
      <c r="H2851" s="28"/>
      <c r="I2851" s="28"/>
      <c r="J2851" s="28"/>
      <c r="K2851" s="28"/>
      <c r="L2851" s="28"/>
      <c r="M2851" s="28"/>
      <c r="N2851" s="28"/>
      <c r="O2851" s="28"/>
      <c r="P2851" s="28"/>
      <c r="Q2851" s="28"/>
      <c r="R2851" s="28"/>
      <c r="S2851" s="28"/>
    </row>
    <row r="2852" spans="1:19" x14ac:dyDescent="0.25">
      <c r="A2852" s="28"/>
      <c r="B2852" s="28"/>
      <c r="C2852" s="28"/>
      <c r="D2852" s="28"/>
      <c r="E2852" s="28"/>
      <c r="F2852" s="28"/>
      <c r="G2852" s="28"/>
      <c r="H2852" s="28"/>
      <c r="I2852" s="28"/>
      <c r="J2852" s="28"/>
      <c r="K2852" s="28"/>
      <c r="L2852" s="28"/>
      <c r="M2852" s="28"/>
      <c r="N2852" s="28"/>
      <c r="O2852" s="28"/>
      <c r="P2852" s="28"/>
      <c r="Q2852" s="28"/>
      <c r="R2852" s="28"/>
      <c r="S2852" s="28"/>
    </row>
    <row r="2853" spans="1:19" x14ac:dyDescent="0.25">
      <c r="A2853" s="28"/>
      <c r="B2853" s="28"/>
      <c r="C2853" s="28"/>
      <c r="D2853" s="28"/>
      <c r="E2853" s="28"/>
      <c r="F2853" s="28"/>
      <c r="G2853" s="28"/>
      <c r="H2853" s="28"/>
      <c r="I2853" s="28"/>
      <c r="J2853" s="28"/>
      <c r="K2853" s="28"/>
      <c r="L2853" s="28"/>
      <c r="M2853" s="28"/>
      <c r="N2853" s="28"/>
      <c r="O2853" s="28"/>
      <c r="P2853" s="28"/>
      <c r="Q2853" s="28"/>
      <c r="R2853" s="28"/>
      <c r="S2853" s="28"/>
    </row>
    <row r="2854" spans="1:19" x14ac:dyDescent="0.25">
      <c r="A2854" s="28"/>
      <c r="B2854" s="28"/>
      <c r="C2854" s="28"/>
      <c r="D2854" s="28"/>
      <c r="E2854" s="28"/>
      <c r="F2854" s="28"/>
      <c r="G2854" s="28"/>
      <c r="H2854" s="28"/>
      <c r="I2854" s="28"/>
      <c r="J2854" s="28"/>
      <c r="K2854" s="28"/>
      <c r="L2854" s="28"/>
      <c r="M2854" s="28"/>
      <c r="N2854" s="28"/>
      <c r="O2854" s="28"/>
      <c r="P2854" s="28"/>
      <c r="Q2854" s="28"/>
      <c r="R2854" s="28"/>
      <c r="S2854" s="28"/>
    </row>
    <row r="2855" spans="1:19" x14ac:dyDescent="0.25">
      <c r="A2855" s="28"/>
      <c r="B2855" s="28"/>
      <c r="C2855" s="28"/>
      <c r="D2855" s="28"/>
      <c r="E2855" s="28"/>
      <c r="F2855" s="28"/>
      <c r="G2855" s="28"/>
      <c r="H2855" s="28"/>
      <c r="I2855" s="28"/>
      <c r="J2855" s="28"/>
      <c r="K2855" s="28"/>
      <c r="L2855" s="28"/>
      <c r="M2855" s="28"/>
      <c r="N2855" s="28"/>
      <c r="O2855" s="28"/>
      <c r="P2855" s="28"/>
      <c r="Q2855" s="28"/>
      <c r="R2855" s="28"/>
      <c r="S2855" s="28"/>
    </row>
    <row r="2856" spans="1:19" x14ac:dyDescent="0.25">
      <c r="A2856" s="28"/>
      <c r="B2856" s="28"/>
      <c r="C2856" s="28"/>
      <c r="D2856" s="28"/>
      <c r="E2856" s="28"/>
      <c r="F2856" s="28"/>
      <c r="G2856" s="28"/>
      <c r="H2856" s="28"/>
      <c r="I2856" s="28"/>
      <c r="J2856" s="28"/>
      <c r="K2856" s="28"/>
      <c r="L2856" s="28"/>
      <c r="M2856" s="28"/>
      <c r="N2856" s="28"/>
      <c r="O2856" s="28"/>
      <c r="P2856" s="28"/>
      <c r="Q2856" s="28"/>
      <c r="R2856" s="28"/>
      <c r="S2856" s="28"/>
    </row>
    <row r="2857" spans="1:19" x14ac:dyDescent="0.25">
      <c r="A2857" s="28"/>
      <c r="B2857" s="28"/>
      <c r="C2857" s="28"/>
      <c r="D2857" s="28"/>
      <c r="E2857" s="28"/>
      <c r="F2857" s="28"/>
      <c r="G2857" s="28"/>
      <c r="H2857" s="28"/>
      <c r="I2857" s="28"/>
      <c r="J2857" s="28"/>
      <c r="K2857" s="28"/>
      <c r="L2857" s="28"/>
      <c r="M2857" s="28"/>
      <c r="N2857" s="28"/>
      <c r="O2857" s="28"/>
      <c r="P2857" s="28"/>
      <c r="Q2857" s="28"/>
      <c r="R2857" s="28"/>
      <c r="S2857" s="28"/>
    </row>
    <row r="2858" spans="1:19" x14ac:dyDescent="0.25">
      <c r="A2858" s="28"/>
      <c r="B2858" s="28"/>
      <c r="C2858" s="28"/>
      <c r="D2858" s="28"/>
      <c r="E2858" s="28"/>
      <c r="F2858" s="28"/>
      <c r="G2858" s="28"/>
      <c r="H2858" s="28"/>
      <c r="I2858" s="28"/>
      <c r="J2858" s="28"/>
      <c r="K2858" s="28"/>
      <c r="L2858" s="28"/>
      <c r="M2858" s="28"/>
      <c r="N2858" s="28"/>
      <c r="O2858" s="28"/>
      <c r="P2858" s="28"/>
      <c r="Q2858" s="28"/>
      <c r="R2858" s="28"/>
      <c r="S2858" s="28"/>
    </row>
    <row r="2859" spans="1:19" x14ac:dyDescent="0.25">
      <c r="A2859" s="28"/>
      <c r="B2859" s="28"/>
      <c r="C2859" s="28"/>
      <c r="D2859" s="28"/>
      <c r="E2859" s="28"/>
      <c r="F2859" s="28"/>
      <c r="G2859" s="28"/>
      <c r="H2859" s="28"/>
      <c r="I2859" s="28"/>
      <c r="J2859" s="28"/>
      <c r="K2859" s="28"/>
      <c r="L2859" s="28"/>
      <c r="M2859" s="28"/>
      <c r="N2859" s="28"/>
      <c r="O2859" s="28"/>
      <c r="P2859" s="28"/>
      <c r="Q2859" s="28"/>
      <c r="R2859" s="28"/>
      <c r="S2859" s="28"/>
    </row>
    <row r="2860" spans="1:19" x14ac:dyDescent="0.25">
      <c r="A2860" s="28"/>
      <c r="B2860" s="28"/>
      <c r="C2860" s="28"/>
      <c r="D2860" s="28"/>
      <c r="E2860" s="28"/>
      <c r="F2860" s="28"/>
      <c r="G2860" s="28"/>
      <c r="H2860" s="28"/>
      <c r="I2860" s="28"/>
      <c r="J2860" s="28"/>
      <c r="K2860" s="28"/>
      <c r="L2860" s="28"/>
      <c r="M2860" s="28"/>
      <c r="N2860" s="28"/>
      <c r="O2860" s="28"/>
      <c r="P2860" s="28"/>
      <c r="Q2860" s="28"/>
      <c r="R2860" s="28"/>
      <c r="S2860" s="28"/>
    </row>
    <row r="2861" spans="1:19" x14ac:dyDescent="0.25">
      <c r="A2861" s="28"/>
      <c r="B2861" s="28"/>
      <c r="C2861" s="28"/>
      <c r="D2861" s="28"/>
      <c r="E2861" s="28"/>
      <c r="F2861" s="28"/>
      <c r="G2861" s="28"/>
      <c r="H2861" s="28"/>
      <c r="I2861" s="28"/>
      <c r="J2861" s="28"/>
      <c r="K2861" s="28"/>
      <c r="L2861" s="28"/>
      <c r="M2861" s="28"/>
      <c r="N2861" s="28"/>
      <c r="O2861" s="28"/>
      <c r="P2861" s="28"/>
      <c r="Q2861" s="28"/>
      <c r="R2861" s="28"/>
      <c r="S2861" s="28"/>
    </row>
    <row r="2862" spans="1:19" x14ac:dyDescent="0.25">
      <c r="A2862" s="28"/>
      <c r="B2862" s="28"/>
      <c r="C2862" s="28"/>
      <c r="D2862" s="28"/>
      <c r="E2862" s="28"/>
      <c r="F2862" s="28"/>
      <c r="G2862" s="28"/>
      <c r="H2862" s="28"/>
      <c r="I2862" s="28"/>
      <c r="J2862" s="28"/>
      <c r="K2862" s="28"/>
      <c r="L2862" s="28"/>
      <c r="M2862" s="28"/>
      <c r="N2862" s="28"/>
      <c r="O2862" s="28"/>
      <c r="P2862" s="28"/>
      <c r="Q2862" s="28"/>
      <c r="R2862" s="28"/>
      <c r="S2862" s="28"/>
    </row>
    <row r="2863" spans="1:19" x14ac:dyDescent="0.25">
      <c r="A2863" s="28"/>
      <c r="B2863" s="28"/>
      <c r="C2863" s="28"/>
      <c r="D2863" s="28"/>
      <c r="E2863" s="28"/>
      <c r="F2863" s="28"/>
      <c r="G2863" s="28"/>
      <c r="H2863" s="28"/>
      <c r="I2863" s="28"/>
      <c r="J2863" s="28"/>
      <c r="K2863" s="28"/>
      <c r="L2863" s="28"/>
      <c r="M2863" s="28"/>
      <c r="N2863" s="28"/>
      <c r="O2863" s="28"/>
      <c r="P2863" s="28"/>
      <c r="Q2863" s="28"/>
      <c r="R2863" s="28"/>
      <c r="S2863" s="28"/>
    </row>
    <row r="2864" spans="1:19" x14ac:dyDescent="0.25">
      <c r="A2864" s="28"/>
      <c r="B2864" s="28"/>
      <c r="C2864" s="28"/>
      <c r="D2864" s="28"/>
      <c r="E2864" s="28"/>
      <c r="F2864" s="28"/>
      <c r="G2864" s="28"/>
      <c r="H2864" s="28"/>
      <c r="I2864" s="28"/>
      <c r="J2864" s="28"/>
      <c r="K2864" s="28"/>
      <c r="L2864" s="28"/>
      <c r="M2864" s="28"/>
      <c r="N2864" s="28"/>
      <c r="O2864" s="28"/>
      <c r="P2864" s="28"/>
      <c r="Q2864" s="28"/>
      <c r="R2864" s="28"/>
      <c r="S2864" s="28"/>
    </row>
    <row r="2865" spans="1:19" x14ac:dyDescent="0.25">
      <c r="A2865" s="28"/>
      <c r="B2865" s="28"/>
      <c r="C2865" s="28"/>
      <c r="D2865" s="28"/>
      <c r="E2865" s="28"/>
      <c r="F2865" s="28"/>
      <c r="G2865" s="28"/>
      <c r="H2865" s="28"/>
      <c r="I2865" s="28"/>
      <c r="J2865" s="28"/>
      <c r="K2865" s="28"/>
      <c r="L2865" s="28"/>
      <c r="M2865" s="28"/>
      <c r="N2865" s="28"/>
      <c r="O2865" s="28"/>
      <c r="P2865" s="28"/>
      <c r="Q2865" s="28"/>
      <c r="R2865" s="28"/>
      <c r="S2865" s="28"/>
    </row>
    <row r="2866" spans="1:19" x14ac:dyDescent="0.25">
      <c r="A2866" s="28"/>
      <c r="B2866" s="28"/>
      <c r="C2866" s="28"/>
      <c r="D2866" s="28"/>
      <c r="E2866" s="28"/>
      <c r="F2866" s="28"/>
      <c r="G2866" s="28"/>
      <c r="H2866" s="28"/>
      <c r="I2866" s="28"/>
      <c r="J2866" s="28"/>
      <c r="K2866" s="28"/>
      <c r="L2866" s="28"/>
      <c r="M2866" s="28"/>
      <c r="N2866" s="28"/>
      <c r="O2866" s="28"/>
      <c r="P2866" s="28"/>
      <c r="Q2866" s="28"/>
      <c r="R2866" s="28"/>
      <c r="S2866" s="28"/>
    </row>
    <row r="2867" spans="1:19" x14ac:dyDescent="0.25">
      <c r="A2867" s="28"/>
      <c r="B2867" s="28"/>
      <c r="C2867" s="28"/>
      <c r="D2867" s="28"/>
      <c r="E2867" s="28"/>
      <c r="F2867" s="28"/>
      <c r="G2867" s="28"/>
      <c r="H2867" s="28"/>
      <c r="I2867" s="28"/>
      <c r="J2867" s="28"/>
      <c r="K2867" s="28"/>
      <c r="L2867" s="28"/>
      <c r="M2867" s="28"/>
      <c r="N2867" s="28"/>
      <c r="O2867" s="28"/>
      <c r="P2867" s="28"/>
      <c r="Q2867" s="28"/>
      <c r="R2867" s="28"/>
      <c r="S2867" s="28"/>
    </row>
    <row r="2868" spans="1:19" x14ac:dyDescent="0.25">
      <c r="A2868" s="28"/>
      <c r="B2868" s="28"/>
      <c r="C2868" s="28"/>
      <c r="D2868" s="28"/>
      <c r="E2868" s="28"/>
      <c r="F2868" s="28"/>
      <c r="G2868" s="28"/>
      <c r="H2868" s="28"/>
      <c r="I2868" s="28"/>
      <c r="J2868" s="28"/>
      <c r="K2868" s="28"/>
      <c r="L2868" s="28"/>
      <c r="M2868" s="28"/>
      <c r="N2868" s="28"/>
      <c r="O2868" s="28"/>
      <c r="P2868" s="28"/>
      <c r="Q2868" s="28"/>
      <c r="R2868" s="28"/>
      <c r="S2868" s="28"/>
    </row>
    <row r="2869" spans="1:19" x14ac:dyDescent="0.25">
      <c r="A2869" s="28"/>
      <c r="B2869" s="28"/>
      <c r="C2869" s="28"/>
      <c r="D2869" s="28"/>
      <c r="E2869" s="28"/>
      <c r="F2869" s="28"/>
      <c r="G2869" s="28"/>
      <c r="H2869" s="28"/>
      <c r="I2869" s="28"/>
      <c r="J2869" s="28"/>
      <c r="K2869" s="28"/>
      <c r="L2869" s="28"/>
      <c r="M2869" s="28"/>
      <c r="N2869" s="28"/>
      <c r="O2869" s="28"/>
      <c r="P2869" s="28"/>
      <c r="Q2869" s="28"/>
      <c r="R2869" s="28"/>
      <c r="S2869" s="28"/>
    </row>
    <row r="2870" spans="1:19" x14ac:dyDescent="0.25">
      <c r="A2870" s="28"/>
      <c r="B2870" s="28"/>
      <c r="C2870" s="28"/>
      <c r="D2870" s="28"/>
      <c r="E2870" s="28"/>
      <c r="F2870" s="28"/>
      <c r="G2870" s="28"/>
      <c r="H2870" s="28"/>
      <c r="I2870" s="28"/>
      <c r="J2870" s="28"/>
      <c r="K2870" s="28"/>
      <c r="L2870" s="28"/>
      <c r="M2870" s="28"/>
      <c r="N2870" s="28"/>
      <c r="O2870" s="28"/>
      <c r="P2870" s="28"/>
      <c r="Q2870" s="28"/>
      <c r="R2870" s="28"/>
      <c r="S2870" s="28"/>
    </row>
    <row r="2871" spans="1:19" x14ac:dyDescent="0.25">
      <c r="A2871" s="28"/>
      <c r="B2871" s="28"/>
      <c r="C2871" s="28"/>
      <c r="D2871" s="28"/>
      <c r="E2871" s="28"/>
      <c r="F2871" s="28"/>
      <c r="G2871" s="28"/>
      <c r="H2871" s="28"/>
      <c r="I2871" s="28"/>
      <c r="J2871" s="28"/>
      <c r="K2871" s="28"/>
      <c r="L2871" s="28"/>
      <c r="M2871" s="28"/>
      <c r="N2871" s="28"/>
      <c r="O2871" s="28"/>
      <c r="P2871" s="28"/>
      <c r="Q2871" s="28"/>
      <c r="R2871" s="28"/>
      <c r="S2871" s="28"/>
    </row>
    <row r="2872" spans="1:19" x14ac:dyDescent="0.25">
      <c r="A2872" s="28"/>
      <c r="B2872" s="28"/>
      <c r="C2872" s="28"/>
      <c r="D2872" s="28"/>
      <c r="E2872" s="28"/>
      <c r="F2872" s="28"/>
      <c r="G2872" s="28"/>
      <c r="H2872" s="28"/>
      <c r="I2872" s="28"/>
      <c r="J2872" s="28"/>
      <c r="K2872" s="28"/>
      <c r="L2872" s="28"/>
      <c r="M2872" s="28"/>
      <c r="N2872" s="28"/>
      <c r="O2872" s="28"/>
      <c r="P2872" s="28"/>
      <c r="Q2872" s="28"/>
      <c r="R2872" s="28"/>
      <c r="S2872" s="28"/>
    </row>
    <row r="2873" spans="1:19" x14ac:dyDescent="0.25">
      <c r="A2873" s="28"/>
      <c r="B2873" s="28"/>
      <c r="C2873" s="28"/>
      <c r="D2873" s="28"/>
      <c r="E2873" s="28"/>
      <c r="F2873" s="28"/>
      <c r="G2873" s="28"/>
      <c r="H2873" s="28"/>
      <c r="I2873" s="28"/>
      <c r="J2873" s="28"/>
      <c r="K2873" s="28"/>
      <c r="L2873" s="28"/>
      <c r="M2873" s="28"/>
      <c r="N2873" s="28"/>
      <c r="O2873" s="28"/>
      <c r="P2873" s="28"/>
      <c r="Q2873" s="28"/>
      <c r="R2873" s="28"/>
      <c r="S2873" s="28"/>
    </row>
    <row r="2874" spans="1:19" x14ac:dyDescent="0.25">
      <c r="A2874" s="28"/>
      <c r="B2874" s="28"/>
      <c r="C2874" s="28"/>
      <c r="D2874" s="28"/>
      <c r="E2874" s="28"/>
      <c r="F2874" s="28"/>
      <c r="G2874" s="28"/>
      <c r="H2874" s="28"/>
      <c r="I2874" s="28"/>
      <c r="J2874" s="28"/>
      <c r="K2874" s="28"/>
      <c r="L2874" s="28"/>
      <c r="M2874" s="28"/>
      <c r="N2874" s="28"/>
      <c r="O2874" s="28"/>
      <c r="P2874" s="28"/>
      <c r="Q2874" s="28"/>
      <c r="R2874" s="28"/>
      <c r="S2874" s="28"/>
    </row>
    <row r="2875" spans="1:19" x14ac:dyDescent="0.25">
      <c r="A2875" s="28"/>
      <c r="B2875" s="28"/>
      <c r="C2875" s="28"/>
      <c r="D2875" s="28"/>
      <c r="E2875" s="28"/>
      <c r="F2875" s="28"/>
      <c r="G2875" s="28"/>
      <c r="H2875" s="28"/>
      <c r="I2875" s="28"/>
      <c r="J2875" s="28"/>
      <c r="K2875" s="28"/>
      <c r="L2875" s="28"/>
      <c r="M2875" s="28"/>
      <c r="N2875" s="28"/>
      <c r="O2875" s="28"/>
      <c r="P2875" s="28"/>
      <c r="Q2875" s="28"/>
      <c r="R2875" s="28"/>
      <c r="S2875" s="28"/>
    </row>
    <row r="2876" spans="1:19" x14ac:dyDescent="0.25">
      <c r="A2876" s="28"/>
      <c r="B2876" s="28"/>
      <c r="C2876" s="28"/>
      <c r="D2876" s="28"/>
      <c r="E2876" s="28"/>
      <c r="F2876" s="28"/>
      <c r="G2876" s="28"/>
      <c r="H2876" s="28"/>
      <c r="I2876" s="28"/>
      <c r="J2876" s="28"/>
      <c r="K2876" s="28"/>
      <c r="L2876" s="28"/>
      <c r="M2876" s="28"/>
      <c r="N2876" s="28"/>
      <c r="O2876" s="28"/>
      <c r="P2876" s="28"/>
      <c r="Q2876" s="28"/>
      <c r="R2876" s="28"/>
      <c r="S2876" s="28"/>
    </row>
    <row r="2877" spans="1:19" x14ac:dyDescent="0.25">
      <c r="A2877" s="28"/>
      <c r="B2877" s="28"/>
      <c r="C2877" s="28"/>
      <c r="D2877" s="28"/>
      <c r="E2877" s="28"/>
      <c r="F2877" s="28"/>
      <c r="G2877" s="28"/>
      <c r="H2877" s="28"/>
      <c r="I2877" s="28"/>
      <c r="J2877" s="28"/>
      <c r="K2877" s="28"/>
      <c r="L2877" s="28"/>
      <c r="M2877" s="28"/>
      <c r="N2877" s="28"/>
      <c r="O2877" s="28"/>
      <c r="P2877" s="28"/>
      <c r="Q2877" s="28"/>
      <c r="R2877" s="28"/>
      <c r="S2877" s="28"/>
    </row>
    <row r="2878" spans="1:19" x14ac:dyDescent="0.25">
      <c r="A2878" s="28"/>
      <c r="B2878" s="28"/>
      <c r="C2878" s="28"/>
      <c r="D2878" s="28"/>
      <c r="E2878" s="28"/>
      <c r="F2878" s="28"/>
      <c r="G2878" s="28"/>
      <c r="H2878" s="28"/>
      <c r="I2878" s="28"/>
      <c r="J2878" s="28"/>
      <c r="K2878" s="28"/>
      <c r="L2878" s="28"/>
      <c r="M2878" s="28"/>
      <c r="N2878" s="28"/>
      <c r="O2878" s="28"/>
      <c r="P2878" s="28"/>
      <c r="Q2878" s="28"/>
      <c r="R2878" s="28"/>
      <c r="S2878" s="28"/>
    </row>
    <row r="2879" spans="1:19" x14ac:dyDescent="0.25">
      <c r="A2879" s="28"/>
      <c r="B2879" s="28"/>
      <c r="C2879" s="28"/>
      <c r="D2879" s="28"/>
      <c r="E2879" s="28"/>
      <c r="F2879" s="28"/>
      <c r="G2879" s="28"/>
      <c r="H2879" s="28"/>
      <c r="I2879" s="28"/>
      <c r="J2879" s="28"/>
      <c r="K2879" s="28"/>
      <c r="L2879" s="28"/>
      <c r="M2879" s="28"/>
      <c r="N2879" s="28"/>
      <c r="O2879" s="28"/>
      <c r="P2879" s="28"/>
      <c r="Q2879" s="28"/>
      <c r="R2879" s="28"/>
      <c r="S2879" s="28"/>
    </row>
    <row r="2880" spans="1:19" x14ac:dyDescent="0.25">
      <c r="A2880" s="28"/>
      <c r="B2880" s="28"/>
      <c r="C2880" s="28"/>
      <c r="D2880" s="28"/>
      <c r="E2880" s="28"/>
      <c r="F2880" s="28"/>
      <c r="G2880" s="28"/>
      <c r="H2880" s="28"/>
      <c r="I2880" s="28"/>
      <c r="J2880" s="28"/>
      <c r="K2880" s="28"/>
      <c r="L2880" s="28"/>
      <c r="M2880" s="28"/>
      <c r="N2880" s="28"/>
      <c r="O2880" s="28"/>
      <c r="P2880" s="28"/>
      <c r="Q2880" s="28"/>
      <c r="R2880" s="28"/>
      <c r="S2880" s="28"/>
    </row>
    <row r="2881" spans="1:19" x14ac:dyDescent="0.25">
      <c r="A2881" s="28"/>
      <c r="B2881" s="28"/>
      <c r="C2881" s="28"/>
      <c r="D2881" s="28"/>
      <c r="E2881" s="28"/>
      <c r="F2881" s="28"/>
      <c r="G2881" s="28"/>
      <c r="H2881" s="28"/>
      <c r="I2881" s="28"/>
      <c r="J2881" s="28"/>
      <c r="K2881" s="28"/>
      <c r="L2881" s="28"/>
      <c r="M2881" s="28"/>
      <c r="N2881" s="28"/>
      <c r="O2881" s="28"/>
      <c r="P2881" s="28"/>
      <c r="Q2881" s="28"/>
      <c r="R2881" s="28"/>
      <c r="S2881" s="28"/>
    </row>
    <row r="2882" spans="1:19" x14ac:dyDescent="0.25">
      <c r="A2882" s="28"/>
      <c r="B2882" s="28"/>
      <c r="C2882" s="28"/>
      <c r="D2882" s="28"/>
      <c r="E2882" s="28"/>
      <c r="F2882" s="28"/>
      <c r="G2882" s="28"/>
      <c r="H2882" s="28"/>
      <c r="I2882" s="28"/>
      <c r="J2882" s="28"/>
      <c r="K2882" s="28"/>
      <c r="L2882" s="28"/>
      <c r="M2882" s="28"/>
      <c r="N2882" s="28"/>
      <c r="O2882" s="28"/>
      <c r="P2882" s="28"/>
      <c r="Q2882" s="28"/>
      <c r="R2882" s="28"/>
      <c r="S2882" s="28"/>
    </row>
    <row r="2883" spans="1:19" x14ac:dyDescent="0.25">
      <c r="A2883" s="28"/>
      <c r="B2883" s="28"/>
      <c r="C2883" s="28"/>
      <c r="D2883" s="28"/>
      <c r="E2883" s="28"/>
      <c r="F2883" s="28"/>
      <c r="G2883" s="28"/>
      <c r="H2883" s="28"/>
      <c r="I2883" s="28"/>
      <c r="J2883" s="28"/>
      <c r="K2883" s="28"/>
      <c r="L2883" s="28"/>
      <c r="M2883" s="28"/>
      <c r="N2883" s="28"/>
      <c r="O2883" s="28"/>
      <c r="P2883" s="28"/>
      <c r="Q2883" s="28"/>
      <c r="R2883" s="28"/>
      <c r="S2883" s="28"/>
    </row>
    <row r="2884" spans="1:19" x14ac:dyDescent="0.25">
      <c r="A2884" s="28"/>
      <c r="B2884" s="28"/>
      <c r="C2884" s="28"/>
      <c r="D2884" s="28"/>
      <c r="E2884" s="28"/>
      <c r="F2884" s="28"/>
      <c r="G2884" s="28"/>
      <c r="H2884" s="28"/>
      <c r="I2884" s="28"/>
      <c r="J2884" s="28"/>
      <c r="K2884" s="28"/>
      <c r="L2884" s="28"/>
      <c r="M2884" s="28"/>
      <c r="N2884" s="28"/>
      <c r="O2884" s="28"/>
      <c r="P2884" s="28"/>
      <c r="Q2884" s="28"/>
      <c r="R2884" s="28"/>
      <c r="S2884" s="28"/>
    </row>
    <row r="2885" spans="1:19" x14ac:dyDescent="0.25">
      <c r="A2885" s="28"/>
      <c r="B2885" s="28"/>
      <c r="C2885" s="28"/>
      <c r="D2885" s="28"/>
      <c r="E2885" s="28"/>
      <c r="F2885" s="28"/>
      <c r="G2885" s="28"/>
      <c r="H2885" s="28"/>
      <c r="I2885" s="28"/>
      <c r="J2885" s="28"/>
      <c r="K2885" s="28"/>
      <c r="L2885" s="28"/>
      <c r="M2885" s="28"/>
      <c r="N2885" s="28"/>
      <c r="O2885" s="28"/>
      <c r="P2885" s="28"/>
      <c r="Q2885" s="28"/>
      <c r="R2885" s="28"/>
      <c r="S2885" s="28"/>
    </row>
    <row r="2886" spans="1:19" x14ac:dyDescent="0.25">
      <c r="A2886" s="28"/>
      <c r="B2886" s="28"/>
      <c r="C2886" s="28"/>
      <c r="D2886" s="28"/>
      <c r="E2886" s="28"/>
      <c r="F2886" s="28"/>
      <c r="G2886" s="28"/>
      <c r="H2886" s="28"/>
      <c r="I2886" s="28"/>
      <c r="J2886" s="28"/>
      <c r="K2886" s="28"/>
      <c r="L2886" s="28"/>
      <c r="M2886" s="28"/>
      <c r="N2886" s="28"/>
      <c r="O2886" s="28"/>
      <c r="P2886" s="28"/>
      <c r="Q2886" s="28"/>
      <c r="R2886" s="28"/>
      <c r="S2886" s="28"/>
    </row>
    <row r="2887" spans="1:19" x14ac:dyDescent="0.25">
      <c r="A2887" s="28"/>
      <c r="B2887" s="28"/>
      <c r="C2887" s="28"/>
      <c r="D2887" s="28"/>
      <c r="E2887" s="28"/>
      <c r="F2887" s="28"/>
      <c r="G2887" s="28"/>
      <c r="H2887" s="28"/>
      <c r="I2887" s="28"/>
      <c r="J2887" s="28"/>
      <c r="K2887" s="28"/>
      <c r="L2887" s="28"/>
      <c r="M2887" s="28"/>
      <c r="N2887" s="28"/>
      <c r="O2887" s="28"/>
      <c r="P2887" s="28"/>
      <c r="Q2887" s="28"/>
      <c r="R2887" s="28"/>
      <c r="S2887" s="28"/>
    </row>
    <row r="2888" spans="1:19" x14ac:dyDescent="0.25">
      <c r="A2888" s="28"/>
      <c r="B2888" s="28"/>
      <c r="C2888" s="28"/>
      <c r="D2888" s="28"/>
      <c r="E2888" s="28"/>
      <c r="F2888" s="28"/>
      <c r="G2888" s="28"/>
      <c r="H2888" s="28"/>
      <c r="I2888" s="28"/>
      <c r="J2888" s="28"/>
      <c r="K2888" s="28"/>
      <c r="L2888" s="28"/>
      <c r="M2888" s="28"/>
      <c r="N2888" s="28"/>
      <c r="O2888" s="28"/>
      <c r="P2888" s="28"/>
      <c r="Q2888" s="28"/>
      <c r="R2888" s="28"/>
      <c r="S2888" s="28"/>
    </row>
    <row r="2889" spans="1:19" x14ac:dyDescent="0.25">
      <c r="A2889" s="28"/>
      <c r="B2889" s="28"/>
      <c r="C2889" s="28"/>
      <c r="D2889" s="28"/>
      <c r="E2889" s="28"/>
      <c r="F2889" s="28"/>
      <c r="G2889" s="28"/>
      <c r="H2889" s="28"/>
      <c r="I2889" s="28"/>
      <c r="J2889" s="28"/>
      <c r="K2889" s="28"/>
      <c r="L2889" s="28"/>
      <c r="M2889" s="28"/>
      <c r="N2889" s="28"/>
      <c r="O2889" s="28"/>
      <c r="P2889" s="28"/>
      <c r="Q2889" s="28"/>
      <c r="R2889" s="28"/>
      <c r="S2889" s="28"/>
    </row>
    <row r="2890" spans="1:19" x14ac:dyDescent="0.25">
      <c r="A2890" s="28"/>
      <c r="B2890" s="28"/>
      <c r="C2890" s="28"/>
      <c r="D2890" s="28"/>
      <c r="E2890" s="28"/>
      <c r="F2890" s="28"/>
      <c r="G2890" s="28"/>
      <c r="H2890" s="28"/>
      <c r="I2890" s="28"/>
      <c r="J2890" s="28"/>
      <c r="K2890" s="28"/>
      <c r="L2890" s="28"/>
      <c r="M2890" s="28"/>
      <c r="N2890" s="28"/>
      <c r="O2890" s="28"/>
      <c r="P2890" s="28"/>
      <c r="Q2890" s="28"/>
      <c r="R2890" s="28"/>
      <c r="S2890" s="28"/>
    </row>
    <row r="2891" spans="1:19" x14ac:dyDescent="0.25">
      <c r="A2891" s="28"/>
      <c r="B2891" s="28"/>
      <c r="C2891" s="28"/>
      <c r="D2891" s="28"/>
      <c r="E2891" s="28"/>
      <c r="F2891" s="28"/>
      <c r="G2891" s="28"/>
      <c r="H2891" s="28"/>
      <c r="I2891" s="28"/>
      <c r="J2891" s="28"/>
      <c r="K2891" s="28"/>
      <c r="L2891" s="28"/>
      <c r="M2891" s="28"/>
      <c r="N2891" s="28"/>
      <c r="O2891" s="28"/>
      <c r="P2891" s="28"/>
      <c r="Q2891" s="28"/>
      <c r="R2891" s="28"/>
      <c r="S2891" s="28"/>
    </row>
    <row r="2892" spans="1:19" x14ac:dyDescent="0.25">
      <c r="A2892" s="28"/>
      <c r="B2892" s="28"/>
      <c r="C2892" s="28"/>
      <c r="D2892" s="28"/>
      <c r="E2892" s="28"/>
      <c r="F2892" s="28"/>
      <c r="G2892" s="28"/>
      <c r="H2892" s="28"/>
      <c r="I2892" s="28"/>
      <c r="J2892" s="28"/>
      <c r="K2892" s="28"/>
      <c r="L2892" s="28"/>
      <c r="M2892" s="28"/>
      <c r="N2892" s="28"/>
      <c r="O2892" s="28"/>
      <c r="P2892" s="28"/>
      <c r="Q2892" s="28"/>
      <c r="R2892" s="28"/>
      <c r="S2892" s="28"/>
    </row>
    <row r="2893" spans="1:19" x14ac:dyDescent="0.25">
      <c r="A2893" s="28"/>
      <c r="B2893" s="28"/>
      <c r="C2893" s="28"/>
      <c r="D2893" s="28"/>
      <c r="E2893" s="28"/>
      <c r="F2893" s="28"/>
      <c r="G2893" s="28"/>
      <c r="H2893" s="28"/>
      <c r="I2893" s="28"/>
      <c r="J2893" s="28"/>
      <c r="K2893" s="28"/>
      <c r="L2893" s="28"/>
      <c r="M2893" s="28"/>
      <c r="N2893" s="28"/>
      <c r="O2893" s="28"/>
      <c r="P2893" s="28"/>
      <c r="Q2893" s="28"/>
      <c r="R2893" s="28"/>
      <c r="S2893" s="28"/>
    </row>
    <row r="2894" spans="1:19" x14ac:dyDescent="0.25">
      <c r="A2894" s="28"/>
      <c r="B2894" s="28"/>
      <c r="C2894" s="28"/>
      <c r="D2894" s="28"/>
      <c r="E2894" s="28"/>
      <c r="F2894" s="28"/>
      <c r="G2894" s="28"/>
      <c r="H2894" s="28"/>
      <c r="I2894" s="28"/>
      <c r="J2894" s="28"/>
      <c r="K2894" s="28"/>
      <c r="L2894" s="28"/>
      <c r="M2894" s="28"/>
      <c r="N2894" s="28"/>
      <c r="O2894" s="28"/>
      <c r="P2894" s="28"/>
      <c r="Q2894" s="28"/>
      <c r="R2894" s="28"/>
      <c r="S2894" s="28"/>
    </row>
    <row r="2895" spans="1:19" x14ac:dyDescent="0.25">
      <c r="A2895" s="28"/>
      <c r="B2895" s="28"/>
      <c r="C2895" s="28"/>
      <c r="D2895" s="28"/>
      <c r="E2895" s="28"/>
      <c r="F2895" s="28"/>
      <c r="G2895" s="28"/>
      <c r="H2895" s="28"/>
      <c r="I2895" s="28"/>
      <c r="J2895" s="28"/>
      <c r="K2895" s="28"/>
      <c r="L2895" s="28"/>
      <c r="M2895" s="28"/>
      <c r="N2895" s="28"/>
      <c r="O2895" s="28"/>
      <c r="P2895" s="28"/>
      <c r="Q2895" s="28"/>
      <c r="R2895" s="28"/>
      <c r="S2895" s="28"/>
    </row>
    <row r="2896" spans="1:19" x14ac:dyDescent="0.25">
      <c r="A2896" s="28"/>
      <c r="B2896" s="28"/>
      <c r="C2896" s="28"/>
      <c r="D2896" s="28"/>
      <c r="E2896" s="28"/>
      <c r="F2896" s="28"/>
      <c r="G2896" s="28"/>
      <c r="H2896" s="28"/>
      <c r="I2896" s="28"/>
      <c r="J2896" s="28"/>
      <c r="K2896" s="28"/>
      <c r="L2896" s="28"/>
      <c r="M2896" s="28"/>
      <c r="N2896" s="28"/>
      <c r="O2896" s="28"/>
      <c r="P2896" s="28"/>
      <c r="Q2896" s="28"/>
      <c r="R2896" s="28"/>
      <c r="S2896" s="28"/>
    </row>
    <row r="2897" spans="1:19" x14ac:dyDescent="0.25">
      <c r="A2897" s="28"/>
      <c r="B2897" s="28"/>
      <c r="C2897" s="28"/>
      <c r="D2897" s="28"/>
      <c r="E2897" s="28"/>
      <c r="F2897" s="28"/>
      <c r="G2897" s="28"/>
      <c r="H2897" s="28"/>
      <c r="I2897" s="28"/>
      <c r="J2897" s="28"/>
      <c r="K2897" s="28"/>
      <c r="L2897" s="28"/>
      <c r="M2897" s="28"/>
      <c r="N2897" s="28"/>
      <c r="O2897" s="28"/>
      <c r="P2897" s="28"/>
      <c r="Q2897" s="28"/>
      <c r="R2897" s="28"/>
      <c r="S2897" s="28"/>
    </row>
    <row r="2898" spans="1:19" x14ac:dyDescent="0.25">
      <c r="A2898" s="28"/>
      <c r="B2898" s="28"/>
      <c r="C2898" s="28"/>
      <c r="D2898" s="28"/>
      <c r="E2898" s="28"/>
      <c r="F2898" s="28"/>
      <c r="G2898" s="28"/>
      <c r="H2898" s="28"/>
      <c r="I2898" s="28"/>
      <c r="J2898" s="28"/>
      <c r="K2898" s="28"/>
      <c r="L2898" s="28"/>
      <c r="M2898" s="28"/>
      <c r="N2898" s="28"/>
      <c r="O2898" s="28"/>
      <c r="P2898" s="28"/>
      <c r="Q2898" s="28"/>
      <c r="R2898" s="28"/>
      <c r="S2898" s="28"/>
    </row>
    <row r="2899" spans="1:19" x14ac:dyDescent="0.25">
      <c r="A2899" s="28"/>
      <c r="B2899" s="28"/>
      <c r="C2899" s="28"/>
      <c r="D2899" s="28"/>
      <c r="E2899" s="28"/>
      <c r="F2899" s="28"/>
      <c r="G2899" s="28"/>
      <c r="H2899" s="28"/>
      <c r="I2899" s="28"/>
      <c r="J2899" s="28"/>
      <c r="K2899" s="28"/>
      <c r="L2899" s="28"/>
      <c r="M2899" s="28"/>
      <c r="N2899" s="28"/>
      <c r="O2899" s="28"/>
      <c r="P2899" s="28"/>
      <c r="Q2899" s="28"/>
      <c r="R2899" s="28"/>
      <c r="S2899" s="28"/>
    </row>
    <row r="2900" spans="1:19" x14ac:dyDescent="0.25">
      <c r="A2900" s="28"/>
      <c r="B2900" s="28"/>
      <c r="C2900" s="28"/>
      <c r="D2900" s="28"/>
      <c r="E2900" s="28"/>
      <c r="F2900" s="28"/>
      <c r="G2900" s="28"/>
      <c r="H2900" s="28"/>
      <c r="I2900" s="28"/>
      <c r="J2900" s="28"/>
      <c r="K2900" s="28"/>
      <c r="L2900" s="28"/>
      <c r="M2900" s="28"/>
      <c r="N2900" s="28"/>
      <c r="O2900" s="28"/>
      <c r="P2900" s="28"/>
      <c r="Q2900" s="28"/>
      <c r="R2900" s="28"/>
      <c r="S2900" s="28"/>
    </row>
    <row r="2901" spans="1:19" x14ac:dyDescent="0.25">
      <c r="A2901" s="28"/>
      <c r="B2901" s="28"/>
      <c r="C2901" s="28"/>
      <c r="D2901" s="28"/>
      <c r="E2901" s="28"/>
      <c r="F2901" s="28"/>
      <c r="G2901" s="28"/>
      <c r="H2901" s="28"/>
      <c r="I2901" s="28"/>
      <c r="J2901" s="28"/>
      <c r="K2901" s="28"/>
      <c r="L2901" s="28"/>
      <c r="M2901" s="28"/>
      <c r="N2901" s="28"/>
      <c r="O2901" s="28"/>
      <c r="P2901" s="28"/>
      <c r="Q2901" s="28"/>
      <c r="R2901" s="28"/>
      <c r="S2901" s="28"/>
    </row>
    <row r="2902" spans="1:19" x14ac:dyDescent="0.25">
      <c r="A2902" s="28"/>
      <c r="B2902" s="28"/>
      <c r="C2902" s="28"/>
      <c r="D2902" s="28"/>
      <c r="E2902" s="28"/>
      <c r="F2902" s="28"/>
      <c r="G2902" s="28"/>
      <c r="H2902" s="28"/>
      <c r="I2902" s="28"/>
      <c r="J2902" s="28"/>
      <c r="K2902" s="28"/>
      <c r="L2902" s="28"/>
      <c r="M2902" s="28"/>
      <c r="N2902" s="28"/>
      <c r="O2902" s="28"/>
      <c r="P2902" s="28"/>
      <c r="Q2902" s="28"/>
      <c r="R2902" s="28"/>
      <c r="S2902" s="28"/>
    </row>
    <row r="2903" spans="1:19" x14ac:dyDescent="0.25">
      <c r="A2903" s="28"/>
      <c r="B2903" s="28"/>
      <c r="C2903" s="28"/>
      <c r="D2903" s="28"/>
      <c r="E2903" s="28"/>
      <c r="F2903" s="28"/>
      <c r="G2903" s="28"/>
      <c r="H2903" s="28"/>
      <c r="I2903" s="28"/>
      <c r="J2903" s="28"/>
      <c r="K2903" s="28"/>
      <c r="L2903" s="28"/>
      <c r="M2903" s="28"/>
      <c r="N2903" s="28"/>
      <c r="O2903" s="28"/>
      <c r="P2903" s="28"/>
      <c r="Q2903" s="28"/>
      <c r="R2903" s="28"/>
      <c r="S2903" s="28"/>
    </row>
    <row r="2904" spans="1:19" x14ac:dyDescent="0.25">
      <c r="A2904" s="28"/>
      <c r="B2904" s="28"/>
      <c r="C2904" s="28"/>
      <c r="D2904" s="28"/>
      <c r="E2904" s="28"/>
      <c r="F2904" s="28"/>
      <c r="G2904" s="28"/>
      <c r="H2904" s="28"/>
      <c r="I2904" s="28"/>
      <c r="J2904" s="28"/>
      <c r="K2904" s="28"/>
      <c r="L2904" s="28"/>
      <c r="M2904" s="28"/>
      <c r="N2904" s="28"/>
      <c r="O2904" s="28"/>
      <c r="P2904" s="28"/>
      <c r="Q2904" s="28"/>
      <c r="R2904" s="28"/>
      <c r="S2904" s="28"/>
    </row>
    <row r="2905" spans="1:19" x14ac:dyDescent="0.25">
      <c r="A2905" s="28"/>
      <c r="B2905" s="28"/>
      <c r="C2905" s="28"/>
      <c r="D2905" s="28"/>
      <c r="E2905" s="28"/>
      <c r="F2905" s="28"/>
      <c r="G2905" s="28"/>
      <c r="H2905" s="28"/>
      <c r="I2905" s="28"/>
      <c r="J2905" s="28"/>
      <c r="K2905" s="28"/>
      <c r="L2905" s="28"/>
      <c r="M2905" s="28"/>
      <c r="N2905" s="28"/>
      <c r="O2905" s="28"/>
      <c r="P2905" s="28"/>
      <c r="Q2905" s="28"/>
      <c r="R2905" s="28"/>
      <c r="S2905" s="28"/>
    </row>
    <row r="2906" spans="1:19" x14ac:dyDescent="0.25">
      <c r="A2906" s="28"/>
      <c r="B2906" s="28"/>
      <c r="C2906" s="28"/>
      <c r="D2906" s="28"/>
      <c r="E2906" s="28"/>
      <c r="F2906" s="28"/>
      <c r="G2906" s="28"/>
      <c r="H2906" s="28"/>
      <c r="I2906" s="28"/>
      <c r="J2906" s="28"/>
      <c r="K2906" s="28"/>
      <c r="L2906" s="28"/>
      <c r="M2906" s="28"/>
      <c r="N2906" s="28"/>
      <c r="O2906" s="28"/>
      <c r="P2906" s="28"/>
      <c r="Q2906" s="28"/>
      <c r="R2906" s="28"/>
      <c r="S2906" s="28"/>
    </row>
    <row r="2907" spans="1:19" x14ac:dyDescent="0.25">
      <c r="A2907" s="28"/>
      <c r="B2907" s="28"/>
      <c r="C2907" s="28"/>
      <c r="D2907" s="28"/>
      <c r="E2907" s="28"/>
      <c r="F2907" s="28"/>
      <c r="G2907" s="28"/>
      <c r="H2907" s="28"/>
      <c r="I2907" s="28"/>
      <c r="J2907" s="28"/>
      <c r="K2907" s="28"/>
      <c r="L2907" s="28"/>
      <c r="M2907" s="28"/>
      <c r="N2907" s="28"/>
      <c r="O2907" s="28"/>
      <c r="P2907" s="28"/>
      <c r="Q2907" s="28"/>
      <c r="R2907" s="28"/>
      <c r="S2907" s="28"/>
    </row>
    <row r="2908" spans="1:19" x14ac:dyDescent="0.25">
      <c r="A2908" s="28"/>
      <c r="B2908" s="28"/>
      <c r="C2908" s="28"/>
      <c r="D2908" s="28"/>
      <c r="E2908" s="28"/>
      <c r="F2908" s="28"/>
      <c r="G2908" s="28"/>
      <c r="H2908" s="28"/>
      <c r="I2908" s="28"/>
      <c r="J2908" s="28"/>
      <c r="K2908" s="28"/>
      <c r="L2908" s="28"/>
      <c r="M2908" s="28"/>
      <c r="N2908" s="28"/>
      <c r="O2908" s="28"/>
      <c r="P2908" s="28"/>
      <c r="Q2908" s="28"/>
      <c r="R2908" s="28"/>
      <c r="S2908" s="28"/>
    </row>
    <row r="2909" spans="1:19" x14ac:dyDescent="0.25">
      <c r="A2909" s="28"/>
      <c r="B2909" s="28"/>
      <c r="C2909" s="28"/>
      <c r="D2909" s="28"/>
      <c r="E2909" s="28"/>
      <c r="F2909" s="28"/>
      <c r="G2909" s="28"/>
      <c r="H2909" s="28"/>
      <c r="I2909" s="28"/>
      <c r="J2909" s="28"/>
      <c r="K2909" s="28"/>
      <c r="L2909" s="28"/>
      <c r="M2909" s="28"/>
      <c r="N2909" s="28"/>
      <c r="O2909" s="28"/>
      <c r="P2909" s="28"/>
      <c r="Q2909" s="28"/>
      <c r="R2909" s="28"/>
      <c r="S2909" s="28"/>
    </row>
    <row r="2910" spans="1:19" x14ac:dyDescent="0.25">
      <c r="A2910" s="28"/>
      <c r="B2910" s="28"/>
      <c r="C2910" s="28"/>
      <c r="D2910" s="28"/>
      <c r="E2910" s="28"/>
      <c r="F2910" s="28"/>
      <c r="G2910" s="28"/>
      <c r="H2910" s="28"/>
      <c r="I2910" s="28"/>
      <c r="J2910" s="28"/>
      <c r="K2910" s="28"/>
      <c r="L2910" s="28"/>
      <c r="M2910" s="28"/>
      <c r="N2910" s="28"/>
      <c r="O2910" s="28"/>
      <c r="P2910" s="28"/>
      <c r="Q2910" s="28"/>
      <c r="R2910" s="28"/>
      <c r="S2910" s="28"/>
    </row>
    <row r="2911" spans="1:19" x14ac:dyDescent="0.25">
      <c r="A2911" s="28"/>
      <c r="B2911" s="28"/>
      <c r="C2911" s="28"/>
      <c r="D2911" s="28"/>
      <c r="E2911" s="28"/>
      <c r="F2911" s="28"/>
      <c r="G2911" s="28"/>
      <c r="H2911" s="28"/>
      <c r="I2911" s="28"/>
      <c r="J2911" s="28"/>
      <c r="K2911" s="28"/>
      <c r="L2911" s="28"/>
      <c r="M2911" s="28"/>
      <c r="N2911" s="28"/>
      <c r="O2911" s="28"/>
      <c r="P2911" s="28"/>
      <c r="Q2911" s="28"/>
      <c r="R2911" s="28"/>
      <c r="S2911" s="28"/>
    </row>
    <row r="2912" spans="1:19" x14ac:dyDescent="0.25">
      <c r="A2912" s="28"/>
      <c r="B2912" s="28"/>
      <c r="C2912" s="28"/>
      <c r="D2912" s="28"/>
      <c r="E2912" s="28"/>
      <c r="F2912" s="28"/>
      <c r="G2912" s="28"/>
      <c r="H2912" s="28"/>
      <c r="I2912" s="28"/>
      <c r="J2912" s="28"/>
      <c r="K2912" s="28"/>
      <c r="L2912" s="28"/>
      <c r="M2912" s="28"/>
      <c r="N2912" s="28"/>
      <c r="O2912" s="28"/>
      <c r="P2912" s="28"/>
      <c r="Q2912" s="28"/>
      <c r="R2912" s="28"/>
      <c r="S2912" s="28"/>
    </row>
    <row r="2913" spans="1:19" x14ac:dyDescent="0.25">
      <c r="A2913" s="28"/>
      <c r="B2913" s="28"/>
      <c r="C2913" s="28"/>
      <c r="D2913" s="28"/>
      <c r="E2913" s="28"/>
      <c r="F2913" s="28"/>
      <c r="G2913" s="28"/>
      <c r="H2913" s="28"/>
      <c r="I2913" s="28"/>
      <c r="J2913" s="28"/>
      <c r="K2913" s="28"/>
      <c r="L2913" s="28"/>
      <c r="M2913" s="28"/>
      <c r="N2913" s="28"/>
      <c r="O2913" s="28"/>
      <c r="P2913" s="28"/>
      <c r="Q2913" s="28"/>
      <c r="R2913" s="28"/>
      <c r="S2913" s="28"/>
    </row>
    <row r="2914" spans="1:19" x14ac:dyDescent="0.25">
      <c r="A2914" s="28"/>
      <c r="B2914" s="28"/>
      <c r="C2914" s="28"/>
      <c r="D2914" s="28"/>
      <c r="E2914" s="28"/>
      <c r="F2914" s="28"/>
      <c r="G2914" s="28"/>
      <c r="H2914" s="28"/>
      <c r="I2914" s="28"/>
      <c r="J2914" s="28"/>
      <c r="K2914" s="28"/>
      <c r="L2914" s="28"/>
      <c r="M2914" s="28"/>
      <c r="N2914" s="28"/>
      <c r="O2914" s="28"/>
      <c r="P2914" s="28"/>
      <c r="Q2914" s="28"/>
      <c r="R2914" s="28"/>
      <c r="S2914" s="28"/>
    </row>
    <row r="2915" spans="1:19" x14ac:dyDescent="0.25">
      <c r="A2915" s="28"/>
      <c r="B2915" s="28"/>
      <c r="C2915" s="28"/>
      <c r="D2915" s="28"/>
      <c r="E2915" s="28"/>
      <c r="F2915" s="28"/>
      <c r="G2915" s="28"/>
      <c r="H2915" s="28"/>
      <c r="I2915" s="28"/>
      <c r="J2915" s="28"/>
      <c r="K2915" s="28"/>
      <c r="L2915" s="28"/>
      <c r="M2915" s="28"/>
      <c r="N2915" s="28"/>
      <c r="O2915" s="28"/>
      <c r="P2915" s="28"/>
      <c r="Q2915" s="28"/>
      <c r="R2915" s="28"/>
      <c r="S2915" s="28"/>
    </row>
    <row r="2916" spans="1:19" x14ac:dyDescent="0.25">
      <c r="A2916" s="28"/>
      <c r="B2916" s="28"/>
      <c r="C2916" s="28"/>
      <c r="D2916" s="28"/>
      <c r="E2916" s="28"/>
      <c r="F2916" s="28"/>
      <c r="G2916" s="28"/>
      <c r="H2916" s="28"/>
      <c r="I2916" s="28"/>
      <c r="J2916" s="28"/>
      <c r="K2916" s="28"/>
      <c r="L2916" s="28"/>
      <c r="M2916" s="28"/>
      <c r="N2916" s="28"/>
      <c r="O2916" s="28"/>
      <c r="P2916" s="28"/>
      <c r="Q2916" s="28"/>
      <c r="R2916" s="28"/>
      <c r="S2916" s="28"/>
    </row>
    <row r="2917" spans="1:19" x14ac:dyDescent="0.25">
      <c r="A2917" s="28"/>
      <c r="B2917" s="28"/>
      <c r="C2917" s="28"/>
      <c r="D2917" s="28"/>
      <c r="E2917" s="28"/>
      <c r="F2917" s="28"/>
      <c r="G2917" s="28"/>
      <c r="H2917" s="28"/>
      <c r="I2917" s="28"/>
      <c r="J2917" s="28"/>
      <c r="K2917" s="28"/>
      <c r="L2917" s="28"/>
      <c r="M2917" s="28"/>
      <c r="N2917" s="28"/>
      <c r="O2917" s="28"/>
      <c r="P2917" s="28"/>
      <c r="Q2917" s="28"/>
      <c r="R2917" s="28"/>
      <c r="S2917" s="28"/>
    </row>
    <row r="2918" spans="1:19" x14ac:dyDescent="0.25">
      <c r="A2918" s="28"/>
      <c r="B2918" s="28"/>
      <c r="C2918" s="28"/>
      <c r="D2918" s="28"/>
      <c r="E2918" s="28"/>
      <c r="F2918" s="28"/>
      <c r="G2918" s="28"/>
      <c r="H2918" s="28"/>
      <c r="I2918" s="28"/>
      <c r="J2918" s="28"/>
      <c r="K2918" s="28"/>
      <c r="L2918" s="28"/>
      <c r="M2918" s="28"/>
      <c r="N2918" s="28"/>
      <c r="O2918" s="28"/>
      <c r="P2918" s="28"/>
      <c r="Q2918" s="28"/>
      <c r="R2918" s="28"/>
      <c r="S2918" s="28"/>
    </row>
    <row r="2919" spans="1:19" x14ac:dyDescent="0.25">
      <c r="A2919" s="28"/>
      <c r="B2919" s="28"/>
      <c r="C2919" s="28"/>
      <c r="D2919" s="28"/>
      <c r="E2919" s="28"/>
      <c r="F2919" s="28"/>
      <c r="G2919" s="28"/>
      <c r="H2919" s="28"/>
      <c r="I2919" s="28"/>
      <c r="J2919" s="28"/>
      <c r="K2919" s="28"/>
      <c r="L2919" s="28"/>
      <c r="M2919" s="28"/>
      <c r="N2919" s="28"/>
      <c r="O2919" s="28"/>
      <c r="P2919" s="28"/>
      <c r="Q2919" s="28"/>
      <c r="R2919" s="28"/>
      <c r="S2919" s="28"/>
    </row>
    <row r="2920" spans="1:19" x14ac:dyDescent="0.25">
      <c r="A2920" s="28"/>
      <c r="B2920" s="28"/>
      <c r="C2920" s="28"/>
      <c r="D2920" s="28"/>
      <c r="E2920" s="28"/>
      <c r="F2920" s="28"/>
      <c r="G2920" s="28"/>
      <c r="H2920" s="28"/>
      <c r="I2920" s="28"/>
      <c r="J2920" s="28"/>
      <c r="K2920" s="28"/>
      <c r="L2920" s="28"/>
      <c r="M2920" s="28"/>
      <c r="N2920" s="28"/>
      <c r="O2920" s="28"/>
      <c r="P2920" s="28"/>
      <c r="Q2920" s="28"/>
      <c r="R2920" s="28"/>
      <c r="S2920" s="28"/>
    </row>
    <row r="2921" spans="1:19" x14ac:dyDescent="0.25">
      <c r="A2921" s="28"/>
      <c r="B2921" s="28"/>
      <c r="C2921" s="28"/>
      <c r="D2921" s="28"/>
      <c r="E2921" s="28"/>
      <c r="F2921" s="28"/>
      <c r="G2921" s="28"/>
      <c r="H2921" s="28"/>
      <c r="I2921" s="28"/>
      <c r="J2921" s="28"/>
      <c r="K2921" s="28"/>
      <c r="L2921" s="28"/>
      <c r="M2921" s="28"/>
      <c r="N2921" s="28"/>
      <c r="O2921" s="28"/>
      <c r="P2921" s="28"/>
      <c r="Q2921" s="28"/>
      <c r="R2921" s="28"/>
      <c r="S2921" s="28"/>
    </row>
    <row r="2922" spans="1:19" x14ac:dyDescent="0.25">
      <c r="A2922" s="28"/>
      <c r="B2922" s="28"/>
      <c r="C2922" s="28"/>
      <c r="D2922" s="28"/>
      <c r="E2922" s="28"/>
      <c r="F2922" s="28"/>
      <c r="G2922" s="28"/>
      <c r="H2922" s="28"/>
      <c r="I2922" s="28"/>
      <c r="J2922" s="28"/>
      <c r="K2922" s="28"/>
      <c r="L2922" s="28"/>
      <c r="M2922" s="28"/>
      <c r="N2922" s="28"/>
      <c r="O2922" s="28"/>
      <c r="P2922" s="28"/>
      <c r="Q2922" s="28"/>
      <c r="R2922" s="28"/>
      <c r="S2922" s="28"/>
    </row>
    <row r="2923" spans="1:19" x14ac:dyDescent="0.25">
      <c r="A2923" s="28"/>
      <c r="B2923" s="28"/>
      <c r="C2923" s="28"/>
      <c r="D2923" s="28"/>
      <c r="E2923" s="28"/>
      <c r="F2923" s="28"/>
      <c r="G2923" s="28"/>
      <c r="H2923" s="28"/>
      <c r="I2923" s="28"/>
      <c r="J2923" s="28"/>
      <c r="K2923" s="28"/>
      <c r="L2923" s="28"/>
      <c r="M2923" s="28"/>
      <c r="N2923" s="28"/>
      <c r="O2923" s="28"/>
      <c r="P2923" s="28"/>
      <c r="Q2923" s="28"/>
      <c r="R2923" s="28"/>
      <c r="S2923" s="28"/>
    </row>
    <row r="2924" spans="1:19" x14ac:dyDescent="0.25">
      <c r="A2924" s="28"/>
      <c r="B2924" s="28"/>
      <c r="C2924" s="28"/>
      <c r="D2924" s="28"/>
      <c r="E2924" s="28"/>
      <c r="F2924" s="28"/>
      <c r="G2924" s="28"/>
      <c r="H2924" s="28"/>
      <c r="I2924" s="28"/>
      <c r="J2924" s="28"/>
      <c r="K2924" s="28"/>
      <c r="L2924" s="28"/>
      <c r="M2924" s="28"/>
      <c r="N2924" s="28"/>
      <c r="O2924" s="28"/>
      <c r="P2924" s="28"/>
      <c r="Q2924" s="28"/>
      <c r="R2924" s="28"/>
      <c r="S2924" s="28"/>
    </row>
    <row r="2925" spans="1:19" x14ac:dyDescent="0.25">
      <c r="A2925" s="28"/>
      <c r="B2925" s="28"/>
      <c r="C2925" s="28"/>
      <c r="D2925" s="28"/>
      <c r="E2925" s="28"/>
      <c r="F2925" s="28"/>
      <c r="G2925" s="28"/>
      <c r="H2925" s="28"/>
      <c r="I2925" s="28"/>
      <c r="J2925" s="28"/>
      <c r="K2925" s="28"/>
      <c r="L2925" s="28"/>
      <c r="M2925" s="28"/>
      <c r="N2925" s="28"/>
      <c r="O2925" s="28"/>
      <c r="P2925" s="28"/>
      <c r="Q2925" s="28"/>
      <c r="R2925" s="28"/>
      <c r="S2925" s="28"/>
    </row>
    <row r="2926" spans="1:19" x14ac:dyDescent="0.25">
      <c r="A2926" s="28"/>
      <c r="B2926" s="28"/>
      <c r="C2926" s="28"/>
      <c r="D2926" s="28"/>
      <c r="E2926" s="28"/>
      <c r="F2926" s="28"/>
      <c r="G2926" s="28"/>
      <c r="H2926" s="28"/>
      <c r="I2926" s="28"/>
      <c r="J2926" s="28"/>
      <c r="K2926" s="28"/>
      <c r="L2926" s="28"/>
      <c r="M2926" s="28"/>
      <c r="N2926" s="28"/>
      <c r="O2926" s="28"/>
      <c r="P2926" s="28"/>
      <c r="Q2926" s="28"/>
      <c r="R2926" s="28"/>
      <c r="S2926" s="28"/>
    </row>
    <row r="2927" spans="1:19" x14ac:dyDescent="0.25">
      <c r="A2927" s="28"/>
      <c r="B2927" s="28"/>
      <c r="C2927" s="28"/>
      <c r="D2927" s="28"/>
      <c r="E2927" s="28"/>
      <c r="F2927" s="28"/>
      <c r="G2927" s="28"/>
      <c r="H2927" s="28"/>
      <c r="I2927" s="28"/>
      <c r="J2927" s="28"/>
      <c r="K2927" s="28"/>
      <c r="L2927" s="28"/>
      <c r="M2927" s="28"/>
      <c r="N2927" s="28"/>
      <c r="O2927" s="28"/>
      <c r="P2927" s="28"/>
      <c r="Q2927" s="28"/>
      <c r="R2927" s="28"/>
      <c r="S2927" s="28"/>
    </row>
    <row r="2928" spans="1:19" x14ac:dyDescent="0.25">
      <c r="A2928" s="28"/>
      <c r="B2928" s="28"/>
      <c r="C2928" s="28"/>
      <c r="D2928" s="28"/>
      <c r="E2928" s="28"/>
      <c r="F2928" s="28"/>
      <c r="G2928" s="28"/>
      <c r="H2928" s="28"/>
      <c r="I2928" s="28"/>
      <c r="J2928" s="28"/>
      <c r="K2928" s="28"/>
      <c r="L2928" s="28"/>
      <c r="M2928" s="28"/>
      <c r="N2928" s="28"/>
      <c r="O2928" s="28"/>
      <c r="P2928" s="28"/>
      <c r="Q2928" s="28"/>
      <c r="R2928" s="28"/>
      <c r="S2928" s="28"/>
    </row>
    <row r="2929" spans="1:19" x14ac:dyDescent="0.25">
      <c r="A2929" s="28"/>
      <c r="B2929" s="28"/>
      <c r="C2929" s="28"/>
      <c r="D2929" s="28"/>
      <c r="E2929" s="28"/>
      <c r="F2929" s="28"/>
      <c r="G2929" s="28"/>
      <c r="H2929" s="28"/>
      <c r="I2929" s="28"/>
      <c r="J2929" s="28"/>
      <c r="K2929" s="28"/>
      <c r="L2929" s="28"/>
      <c r="M2929" s="28"/>
      <c r="N2929" s="28"/>
      <c r="O2929" s="28"/>
      <c r="P2929" s="28"/>
      <c r="Q2929" s="28"/>
      <c r="R2929" s="28"/>
      <c r="S2929" s="28"/>
    </row>
    <row r="2930" spans="1:19" x14ac:dyDescent="0.25">
      <c r="A2930" s="28"/>
      <c r="B2930" s="28"/>
      <c r="C2930" s="28"/>
      <c r="D2930" s="28"/>
      <c r="E2930" s="28"/>
      <c r="F2930" s="28"/>
      <c r="G2930" s="28"/>
      <c r="H2930" s="28"/>
      <c r="I2930" s="28"/>
      <c r="J2930" s="28"/>
      <c r="K2930" s="28"/>
      <c r="L2930" s="28"/>
      <c r="M2930" s="28"/>
      <c r="N2930" s="28"/>
      <c r="O2930" s="28"/>
      <c r="P2930" s="28"/>
      <c r="Q2930" s="28"/>
      <c r="R2930" s="28"/>
      <c r="S2930" s="28"/>
    </row>
    <row r="2931" spans="1:19" x14ac:dyDescent="0.25">
      <c r="A2931" s="28"/>
      <c r="B2931" s="28"/>
      <c r="C2931" s="28"/>
      <c r="D2931" s="28"/>
      <c r="E2931" s="28"/>
      <c r="F2931" s="28"/>
      <c r="G2931" s="28"/>
      <c r="H2931" s="28"/>
      <c r="I2931" s="28"/>
      <c r="J2931" s="28"/>
      <c r="K2931" s="28"/>
      <c r="L2931" s="28"/>
      <c r="M2931" s="28"/>
      <c r="N2931" s="28"/>
      <c r="O2931" s="28"/>
      <c r="P2931" s="28"/>
      <c r="Q2931" s="28"/>
      <c r="R2931" s="28"/>
      <c r="S2931" s="28"/>
    </row>
    <row r="2932" spans="1:19" x14ac:dyDescent="0.25">
      <c r="A2932" s="28"/>
      <c r="B2932" s="28"/>
      <c r="C2932" s="28"/>
      <c r="D2932" s="28"/>
      <c r="E2932" s="28"/>
      <c r="F2932" s="28"/>
      <c r="G2932" s="28"/>
      <c r="H2932" s="28"/>
      <c r="I2932" s="28"/>
      <c r="J2932" s="28"/>
      <c r="K2932" s="28"/>
      <c r="L2932" s="28"/>
      <c r="M2932" s="28"/>
      <c r="N2932" s="28"/>
      <c r="O2932" s="28"/>
      <c r="P2932" s="28"/>
      <c r="Q2932" s="28"/>
      <c r="R2932" s="28"/>
      <c r="S2932" s="28"/>
    </row>
    <row r="2933" spans="1:19" x14ac:dyDescent="0.25">
      <c r="A2933" s="28"/>
      <c r="B2933" s="28"/>
      <c r="C2933" s="28"/>
      <c r="D2933" s="28"/>
      <c r="E2933" s="28"/>
      <c r="F2933" s="28"/>
      <c r="G2933" s="28"/>
      <c r="H2933" s="28"/>
      <c r="I2933" s="28"/>
      <c r="J2933" s="28"/>
      <c r="K2933" s="28"/>
      <c r="L2933" s="28"/>
      <c r="M2933" s="28"/>
      <c r="N2933" s="28"/>
      <c r="O2933" s="28"/>
      <c r="P2933" s="28"/>
      <c r="Q2933" s="28"/>
      <c r="R2933" s="28"/>
      <c r="S2933" s="28"/>
    </row>
    <row r="2934" spans="1:19" x14ac:dyDescent="0.25">
      <c r="A2934" s="28"/>
      <c r="B2934" s="28"/>
      <c r="C2934" s="28"/>
      <c r="D2934" s="28"/>
      <c r="E2934" s="28"/>
      <c r="F2934" s="28"/>
      <c r="G2934" s="28"/>
      <c r="H2934" s="28"/>
      <c r="I2934" s="28"/>
      <c r="J2934" s="28"/>
      <c r="K2934" s="28"/>
      <c r="L2934" s="28"/>
      <c r="M2934" s="28"/>
      <c r="N2934" s="28"/>
      <c r="O2934" s="28"/>
      <c r="P2934" s="28"/>
      <c r="Q2934" s="28"/>
      <c r="R2934" s="28"/>
      <c r="S2934" s="28"/>
    </row>
    <row r="2935" spans="1:19" x14ac:dyDescent="0.25">
      <c r="A2935" s="28"/>
      <c r="B2935" s="28"/>
      <c r="C2935" s="28"/>
      <c r="D2935" s="28"/>
      <c r="E2935" s="28"/>
      <c r="F2935" s="28"/>
      <c r="G2935" s="28"/>
      <c r="H2935" s="28"/>
      <c r="I2935" s="28"/>
      <c r="J2935" s="28"/>
      <c r="K2935" s="28"/>
      <c r="L2935" s="28"/>
      <c r="M2935" s="28"/>
      <c r="N2935" s="28"/>
      <c r="O2935" s="28"/>
      <c r="P2935" s="28"/>
      <c r="Q2935" s="28"/>
      <c r="R2935" s="28"/>
      <c r="S2935" s="28"/>
    </row>
    <row r="2936" spans="1:19" x14ac:dyDescent="0.25">
      <c r="A2936" s="28"/>
      <c r="B2936" s="28"/>
      <c r="C2936" s="28"/>
      <c r="D2936" s="28"/>
      <c r="E2936" s="28"/>
      <c r="F2936" s="28"/>
      <c r="G2936" s="28"/>
      <c r="H2936" s="28"/>
      <c r="I2936" s="28"/>
      <c r="J2936" s="28"/>
      <c r="K2936" s="28"/>
      <c r="L2936" s="28"/>
      <c r="M2936" s="28"/>
      <c r="N2936" s="28"/>
      <c r="O2936" s="28"/>
      <c r="P2936" s="28"/>
      <c r="Q2936" s="28"/>
      <c r="R2936" s="28"/>
      <c r="S2936" s="28"/>
    </row>
    <row r="2937" spans="1:19" x14ac:dyDescent="0.25">
      <c r="A2937" s="28"/>
      <c r="B2937" s="28"/>
      <c r="C2937" s="28"/>
      <c r="D2937" s="28"/>
      <c r="E2937" s="28"/>
      <c r="F2937" s="28"/>
      <c r="G2937" s="28"/>
      <c r="H2937" s="28"/>
      <c r="I2937" s="28"/>
      <c r="J2937" s="28"/>
      <c r="K2937" s="28"/>
      <c r="L2937" s="28"/>
      <c r="M2937" s="28"/>
      <c r="N2937" s="28"/>
      <c r="O2937" s="28"/>
      <c r="P2937" s="28"/>
      <c r="Q2937" s="28"/>
      <c r="R2937" s="28"/>
      <c r="S2937" s="28"/>
    </row>
    <row r="2938" spans="1:19" x14ac:dyDescent="0.25">
      <c r="A2938" s="28"/>
      <c r="B2938" s="28"/>
      <c r="C2938" s="28"/>
      <c r="D2938" s="28"/>
      <c r="E2938" s="28"/>
      <c r="F2938" s="28"/>
      <c r="G2938" s="28"/>
      <c r="H2938" s="28"/>
      <c r="I2938" s="28"/>
      <c r="J2938" s="28"/>
      <c r="K2938" s="28"/>
      <c r="L2938" s="28"/>
      <c r="M2938" s="28"/>
      <c r="N2938" s="28"/>
      <c r="O2938" s="28"/>
      <c r="P2938" s="28"/>
      <c r="Q2938" s="28"/>
      <c r="R2938" s="28"/>
      <c r="S2938" s="28"/>
    </row>
    <row r="2939" spans="1:19" x14ac:dyDescent="0.25">
      <c r="A2939" s="28"/>
      <c r="B2939" s="28"/>
      <c r="C2939" s="28"/>
      <c r="D2939" s="28"/>
      <c r="E2939" s="28"/>
      <c r="F2939" s="28"/>
      <c r="G2939" s="28"/>
      <c r="H2939" s="28"/>
      <c r="I2939" s="28"/>
      <c r="J2939" s="28"/>
      <c r="K2939" s="28"/>
      <c r="L2939" s="28"/>
      <c r="M2939" s="28"/>
      <c r="N2939" s="28"/>
      <c r="O2939" s="28"/>
      <c r="P2939" s="28"/>
      <c r="Q2939" s="28"/>
      <c r="R2939" s="28"/>
      <c r="S2939" s="28"/>
    </row>
    <row r="2940" spans="1:19" x14ac:dyDescent="0.25">
      <c r="A2940" s="28"/>
      <c r="B2940" s="28"/>
      <c r="C2940" s="28"/>
      <c r="D2940" s="28"/>
      <c r="E2940" s="28"/>
      <c r="F2940" s="28"/>
      <c r="G2940" s="28"/>
      <c r="H2940" s="28"/>
      <c r="I2940" s="28"/>
      <c r="J2940" s="28"/>
      <c r="K2940" s="28"/>
      <c r="L2940" s="28"/>
      <c r="M2940" s="28"/>
      <c r="N2940" s="28"/>
      <c r="O2940" s="28"/>
      <c r="P2940" s="28"/>
      <c r="Q2940" s="28"/>
      <c r="R2940" s="28"/>
      <c r="S2940" s="28"/>
    </row>
    <row r="2941" spans="1:19" x14ac:dyDescent="0.25">
      <c r="A2941" s="28"/>
      <c r="B2941" s="28"/>
      <c r="C2941" s="28"/>
      <c r="D2941" s="28"/>
      <c r="E2941" s="28"/>
      <c r="F2941" s="28"/>
      <c r="G2941" s="28"/>
      <c r="H2941" s="28"/>
      <c r="I2941" s="28"/>
      <c r="J2941" s="28"/>
      <c r="K2941" s="28"/>
      <c r="L2941" s="28"/>
      <c r="M2941" s="28"/>
      <c r="N2941" s="28"/>
      <c r="O2941" s="28"/>
      <c r="P2941" s="28"/>
      <c r="Q2941" s="28"/>
      <c r="R2941" s="28"/>
      <c r="S2941" s="28"/>
    </row>
    <row r="2942" spans="1:19" x14ac:dyDescent="0.25">
      <c r="A2942" s="28"/>
      <c r="B2942" s="28"/>
      <c r="C2942" s="28"/>
      <c r="D2942" s="28"/>
      <c r="E2942" s="28"/>
      <c r="F2942" s="28"/>
      <c r="G2942" s="28"/>
      <c r="H2942" s="28"/>
      <c r="I2942" s="28"/>
      <c r="J2942" s="28"/>
      <c r="K2942" s="28"/>
      <c r="L2942" s="28"/>
      <c r="M2942" s="28"/>
      <c r="N2942" s="28"/>
      <c r="O2942" s="28"/>
      <c r="P2942" s="28"/>
      <c r="Q2942" s="28"/>
      <c r="R2942" s="28"/>
      <c r="S2942" s="28"/>
    </row>
    <row r="2943" spans="1:19" x14ac:dyDescent="0.25">
      <c r="A2943" s="28"/>
      <c r="B2943" s="28"/>
      <c r="C2943" s="28"/>
      <c r="D2943" s="28"/>
      <c r="E2943" s="28"/>
      <c r="F2943" s="28"/>
      <c r="G2943" s="28"/>
      <c r="H2943" s="28"/>
      <c r="I2943" s="28"/>
      <c r="J2943" s="28"/>
      <c r="K2943" s="28"/>
      <c r="L2943" s="28"/>
      <c r="M2943" s="28"/>
      <c r="N2943" s="28"/>
      <c r="O2943" s="28"/>
      <c r="P2943" s="28"/>
      <c r="Q2943" s="28"/>
      <c r="R2943" s="28"/>
      <c r="S2943" s="28"/>
    </row>
    <row r="2944" spans="1:19" x14ac:dyDescent="0.25">
      <c r="A2944" s="28"/>
      <c r="B2944" s="28"/>
      <c r="C2944" s="28"/>
      <c r="D2944" s="28"/>
      <c r="E2944" s="28"/>
      <c r="F2944" s="28"/>
      <c r="G2944" s="28"/>
      <c r="H2944" s="28"/>
      <c r="I2944" s="28"/>
      <c r="J2944" s="28"/>
      <c r="K2944" s="28"/>
      <c r="L2944" s="28"/>
      <c r="M2944" s="28"/>
      <c r="N2944" s="28"/>
      <c r="O2944" s="28"/>
      <c r="P2944" s="28"/>
      <c r="Q2944" s="28"/>
      <c r="R2944" s="28"/>
      <c r="S2944" s="28"/>
    </row>
    <row r="2945" spans="1:19" x14ac:dyDescent="0.25">
      <c r="A2945" s="28"/>
      <c r="B2945" s="28"/>
      <c r="C2945" s="28"/>
      <c r="D2945" s="28"/>
      <c r="E2945" s="28"/>
      <c r="F2945" s="28"/>
      <c r="G2945" s="28"/>
      <c r="H2945" s="28"/>
      <c r="I2945" s="28"/>
      <c r="J2945" s="28"/>
      <c r="K2945" s="28"/>
      <c r="L2945" s="28"/>
      <c r="M2945" s="28"/>
      <c r="N2945" s="28"/>
      <c r="O2945" s="28"/>
      <c r="P2945" s="28"/>
      <c r="Q2945" s="28"/>
      <c r="R2945" s="28"/>
      <c r="S2945" s="28"/>
    </row>
    <row r="2946" spans="1:19" x14ac:dyDescent="0.25">
      <c r="A2946" s="28"/>
      <c r="B2946" s="28"/>
      <c r="C2946" s="28"/>
      <c r="D2946" s="28"/>
      <c r="E2946" s="28"/>
      <c r="F2946" s="28"/>
      <c r="G2946" s="28"/>
      <c r="H2946" s="28"/>
      <c r="I2946" s="28"/>
      <c r="J2946" s="28"/>
      <c r="K2946" s="28"/>
      <c r="L2946" s="28"/>
      <c r="M2946" s="28"/>
      <c r="N2946" s="28"/>
      <c r="O2946" s="28"/>
      <c r="P2946" s="28"/>
      <c r="Q2946" s="28"/>
      <c r="R2946" s="28"/>
      <c r="S2946" s="28"/>
    </row>
    <row r="2947" spans="1:19" x14ac:dyDescent="0.25">
      <c r="A2947" s="28"/>
      <c r="B2947" s="28"/>
      <c r="C2947" s="28"/>
      <c r="D2947" s="28"/>
      <c r="E2947" s="28"/>
      <c r="F2947" s="28"/>
      <c r="G2947" s="28"/>
      <c r="H2947" s="28"/>
      <c r="I2947" s="28"/>
      <c r="J2947" s="28"/>
      <c r="K2947" s="28"/>
      <c r="L2947" s="28"/>
      <c r="M2947" s="28"/>
      <c r="N2947" s="28"/>
      <c r="O2947" s="28"/>
      <c r="P2947" s="28"/>
      <c r="Q2947" s="28"/>
      <c r="R2947" s="28"/>
      <c r="S2947" s="28"/>
    </row>
    <row r="2948" spans="1:19" x14ac:dyDescent="0.25">
      <c r="A2948" s="28"/>
      <c r="B2948" s="28"/>
      <c r="C2948" s="28"/>
      <c r="D2948" s="28"/>
      <c r="E2948" s="28"/>
      <c r="F2948" s="28"/>
      <c r="G2948" s="28"/>
      <c r="H2948" s="28"/>
      <c r="I2948" s="28"/>
      <c r="J2948" s="28"/>
      <c r="K2948" s="28"/>
      <c r="L2948" s="28"/>
      <c r="M2948" s="28"/>
      <c r="N2948" s="28"/>
      <c r="O2948" s="28"/>
      <c r="P2948" s="28"/>
      <c r="Q2948" s="28"/>
      <c r="R2948" s="28"/>
      <c r="S2948" s="28"/>
    </row>
    <row r="2949" spans="1:19" x14ac:dyDescent="0.25">
      <c r="A2949" s="28"/>
      <c r="B2949" s="28"/>
      <c r="C2949" s="28"/>
      <c r="D2949" s="28"/>
      <c r="E2949" s="28"/>
      <c r="F2949" s="28"/>
      <c r="G2949" s="28"/>
      <c r="H2949" s="28"/>
      <c r="I2949" s="28"/>
      <c r="J2949" s="28"/>
      <c r="K2949" s="28"/>
      <c r="L2949" s="28"/>
      <c r="M2949" s="28"/>
      <c r="N2949" s="28"/>
      <c r="O2949" s="28"/>
      <c r="P2949" s="28"/>
      <c r="Q2949" s="28"/>
      <c r="R2949" s="28"/>
      <c r="S2949" s="28"/>
    </row>
    <row r="2950" spans="1:19" x14ac:dyDescent="0.25">
      <c r="A2950" s="28"/>
      <c r="B2950" s="28"/>
      <c r="C2950" s="28"/>
      <c r="D2950" s="28"/>
      <c r="E2950" s="28"/>
      <c r="F2950" s="28"/>
      <c r="G2950" s="28"/>
      <c r="H2950" s="28"/>
      <c r="I2950" s="28"/>
      <c r="J2950" s="28"/>
      <c r="K2950" s="28"/>
      <c r="L2950" s="28"/>
      <c r="M2950" s="28"/>
      <c r="N2950" s="28"/>
      <c r="O2950" s="28"/>
      <c r="P2950" s="28"/>
      <c r="Q2950" s="28"/>
      <c r="R2950" s="28"/>
      <c r="S2950" s="28"/>
    </row>
    <row r="2951" spans="1:19" x14ac:dyDescent="0.25">
      <c r="A2951" s="28"/>
      <c r="B2951" s="28"/>
      <c r="C2951" s="28"/>
      <c r="D2951" s="28"/>
      <c r="E2951" s="28"/>
      <c r="F2951" s="28"/>
      <c r="G2951" s="28"/>
      <c r="H2951" s="28"/>
      <c r="I2951" s="28"/>
      <c r="J2951" s="28"/>
      <c r="K2951" s="28"/>
      <c r="L2951" s="28"/>
      <c r="M2951" s="28"/>
      <c r="N2951" s="28"/>
      <c r="O2951" s="28"/>
      <c r="P2951" s="28"/>
      <c r="Q2951" s="28"/>
      <c r="R2951" s="28"/>
      <c r="S2951" s="28"/>
    </row>
    <row r="2952" spans="1:19" x14ac:dyDescent="0.25">
      <c r="A2952" s="28"/>
      <c r="B2952" s="28"/>
      <c r="C2952" s="28"/>
      <c r="D2952" s="28"/>
      <c r="E2952" s="28"/>
      <c r="F2952" s="28"/>
      <c r="G2952" s="28"/>
      <c r="H2952" s="28"/>
      <c r="I2952" s="28"/>
      <c r="J2952" s="28"/>
      <c r="K2952" s="28"/>
      <c r="L2952" s="28"/>
      <c r="M2952" s="28"/>
      <c r="N2952" s="28"/>
      <c r="O2952" s="28"/>
      <c r="P2952" s="28"/>
      <c r="Q2952" s="28"/>
      <c r="R2952" s="28"/>
      <c r="S2952" s="28"/>
    </row>
    <row r="2953" spans="1:19" x14ac:dyDescent="0.25">
      <c r="A2953" s="28"/>
      <c r="B2953" s="28"/>
      <c r="C2953" s="28"/>
      <c r="D2953" s="28"/>
      <c r="E2953" s="28"/>
      <c r="F2953" s="28"/>
      <c r="G2953" s="28"/>
      <c r="H2953" s="28"/>
      <c r="I2953" s="28"/>
      <c r="J2953" s="28"/>
      <c r="K2953" s="28"/>
      <c r="L2953" s="28"/>
      <c r="M2953" s="28"/>
      <c r="N2953" s="28"/>
      <c r="O2953" s="28"/>
      <c r="P2953" s="28"/>
      <c r="Q2953" s="28"/>
      <c r="R2953" s="28"/>
      <c r="S2953" s="28"/>
    </row>
    <row r="2954" spans="1:19" x14ac:dyDescent="0.25">
      <c r="A2954" s="28"/>
      <c r="B2954" s="28"/>
      <c r="C2954" s="28"/>
      <c r="D2954" s="28"/>
      <c r="E2954" s="28"/>
      <c r="F2954" s="28"/>
      <c r="G2954" s="28"/>
      <c r="H2954" s="28"/>
      <c r="I2954" s="28"/>
      <c r="J2954" s="28"/>
      <c r="K2954" s="28"/>
      <c r="L2954" s="28"/>
      <c r="M2954" s="28"/>
      <c r="N2954" s="28"/>
      <c r="O2954" s="28"/>
      <c r="P2954" s="28"/>
      <c r="Q2954" s="28"/>
      <c r="R2954" s="28"/>
      <c r="S2954" s="28"/>
    </row>
    <row r="2955" spans="1:19" x14ac:dyDescent="0.25">
      <c r="A2955" s="28"/>
      <c r="B2955" s="28"/>
      <c r="C2955" s="28"/>
      <c r="D2955" s="28"/>
      <c r="E2955" s="28"/>
      <c r="F2955" s="28"/>
      <c r="G2955" s="28"/>
      <c r="H2955" s="28"/>
      <c r="I2955" s="28"/>
      <c r="J2955" s="28"/>
      <c r="K2955" s="28"/>
      <c r="L2955" s="28"/>
      <c r="M2955" s="28"/>
      <c r="N2955" s="28"/>
      <c r="O2955" s="28"/>
      <c r="P2955" s="28"/>
      <c r="Q2955" s="28"/>
      <c r="R2955" s="28"/>
      <c r="S2955" s="28"/>
    </row>
    <row r="2956" spans="1:19" x14ac:dyDescent="0.25">
      <c r="A2956" s="28"/>
      <c r="B2956" s="28"/>
      <c r="C2956" s="28"/>
      <c r="D2956" s="28"/>
      <c r="E2956" s="28"/>
      <c r="F2956" s="28"/>
      <c r="G2956" s="28"/>
      <c r="H2956" s="28"/>
      <c r="I2956" s="28"/>
      <c r="J2956" s="28"/>
      <c r="K2956" s="28"/>
      <c r="L2956" s="28"/>
      <c r="M2956" s="28"/>
      <c r="N2956" s="28"/>
      <c r="O2956" s="28"/>
      <c r="P2956" s="28"/>
      <c r="Q2956" s="28"/>
      <c r="R2956" s="28"/>
      <c r="S2956" s="28"/>
    </row>
    <row r="2957" spans="1:19" x14ac:dyDescent="0.25">
      <c r="A2957" s="28"/>
      <c r="B2957" s="28"/>
      <c r="C2957" s="28"/>
      <c r="D2957" s="28"/>
      <c r="E2957" s="28"/>
      <c r="F2957" s="28"/>
      <c r="G2957" s="28"/>
      <c r="H2957" s="28"/>
      <c r="I2957" s="28"/>
      <c r="J2957" s="28"/>
      <c r="K2957" s="28"/>
      <c r="L2957" s="28"/>
      <c r="M2957" s="28"/>
      <c r="N2957" s="28"/>
      <c r="O2957" s="28"/>
      <c r="P2957" s="28"/>
      <c r="Q2957" s="28"/>
      <c r="R2957" s="28"/>
      <c r="S2957" s="28"/>
    </row>
    <row r="2958" spans="1:19" x14ac:dyDescent="0.25">
      <c r="A2958" s="28"/>
      <c r="B2958" s="28"/>
      <c r="C2958" s="28"/>
      <c r="D2958" s="28"/>
      <c r="E2958" s="28"/>
      <c r="F2958" s="28"/>
      <c r="G2958" s="28"/>
      <c r="H2958" s="28"/>
      <c r="I2958" s="28"/>
      <c r="J2958" s="28"/>
      <c r="K2958" s="28"/>
      <c r="L2958" s="28"/>
      <c r="M2958" s="28"/>
      <c r="N2958" s="28"/>
      <c r="O2958" s="28"/>
      <c r="P2958" s="28"/>
      <c r="Q2958" s="28"/>
      <c r="R2958" s="28"/>
      <c r="S2958" s="28"/>
    </row>
    <row r="2959" spans="1:19" x14ac:dyDescent="0.25">
      <c r="A2959" s="28"/>
      <c r="B2959" s="28"/>
      <c r="C2959" s="28"/>
      <c r="D2959" s="28"/>
      <c r="E2959" s="28"/>
      <c r="F2959" s="28"/>
      <c r="G2959" s="28"/>
      <c r="H2959" s="28"/>
      <c r="I2959" s="28"/>
      <c r="J2959" s="28"/>
      <c r="K2959" s="28"/>
      <c r="L2959" s="28"/>
      <c r="M2959" s="28"/>
      <c r="N2959" s="28"/>
      <c r="O2959" s="28"/>
      <c r="P2959" s="28"/>
      <c r="Q2959" s="28"/>
      <c r="R2959" s="28"/>
      <c r="S2959" s="28"/>
    </row>
    <row r="2960" spans="1:19" x14ac:dyDescent="0.25">
      <c r="A2960" s="28"/>
      <c r="B2960" s="28"/>
      <c r="C2960" s="28"/>
      <c r="D2960" s="28"/>
      <c r="E2960" s="28"/>
      <c r="F2960" s="28"/>
      <c r="G2960" s="28"/>
      <c r="H2960" s="28"/>
      <c r="I2960" s="28"/>
      <c r="J2960" s="28"/>
      <c r="K2960" s="28"/>
      <c r="L2960" s="28"/>
      <c r="M2960" s="28"/>
      <c r="N2960" s="28"/>
      <c r="O2960" s="28"/>
      <c r="P2960" s="28"/>
      <c r="Q2960" s="28"/>
      <c r="R2960" s="28"/>
      <c r="S2960" s="28"/>
    </row>
    <row r="2961" spans="1:19" x14ac:dyDescent="0.25">
      <c r="A2961" s="28"/>
      <c r="B2961" s="28"/>
      <c r="C2961" s="28"/>
      <c r="D2961" s="28"/>
      <c r="E2961" s="28"/>
      <c r="F2961" s="28"/>
      <c r="G2961" s="28"/>
      <c r="H2961" s="28"/>
      <c r="I2961" s="28"/>
      <c r="J2961" s="28"/>
      <c r="K2961" s="28"/>
      <c r="L2961" s="28"/>
      <c r="M2961" s="28"/>
      <c r="N2961" s="28"/>
      <c r="O2961" s="28"/>
      <c r="P2961" s="28"/>
      <c r="Q2961" s="28"/>
      <c r="R2961" s="28"/>
      <c r="S2961" s="28"/>
    </row>
    <row r="2962" spans="1:19" x14ac:dyDescent="0.25">
      <c r="A2962" s="28"/>
      <c r="B2962" s="28"/>
      <c r="C2962" s="28"/>
      <c r="D2962" s="28"/>
      <c r="E2962" s="28"/>
      <c r="F2962" s="28"/>
      <c r="G2962" s="28"/>
      <c r="H2962" s="28"/>
      <c r="I2962" s="28"/>
      <c r="J2962" s="28"/>
      <c r="K2962" s="28"/>
      <c r="L2962" s="28"/>
      <c r="M2962" s="28"/>
      <c r="N2962" s="28"/>
      <c r="O2962" s="28"/>
      <c r="P2962" s="28"/>
      <c r="Q2962" s="28"/>
      <c r="R2962" s="28"/>
      <c r="S2962" s="28"/>
    </row>
    <row r="2963" spans="1:19" x14ac:dyDescent="0.25">
      <c r="A2963" s="28"/>
      <c r="B2963" s="28"/>
      <c r="C2963" s="28"/>
      <c r="D2963" s="28"/>
      <c r="E2963" s="28"/>
      <c r="F2963" s="28"/>
      <c r="G2963" s="28"/>
      <c r="H2963" s="28"/>
      <c r="I2963" s="28"/>
      <c r="J2963" s="28"/>
      <c r="K2963" s="28"/>
      <c r="L2963" s="28"/>
      <c r="M2963" s="28"/>
      <c r="N2963" s="28"/>
      <c r="O2963" s="28"/>
      <c r="P2963" s="28"/>
      <c r="Q2963" s="28"/>
      <c r="R2963" s="28"/>
      <c r="S2963" s="28"/>
    </row>
    <row r="2964" spans="1:19" x14ac:dyDescent="0.25">
      <c r="A2964" s="28"/>
      <c r="B2964" s="28"/>
      <c r="C2964" s="28"/>
      <c r="D2964" s="28"/>
      <c r="E2964" s="28"/>
      <c r="F2964" s="28"/>
      <c r="G2964" s="28"/>
      <c r="H2964" s="28"/>
      <c r="I2964" s="28"/>
      <c r="J2964" s="28"/>
      <c r="K2964" s="28"/>
      <c r="L2964" s="28"/>
      <c r="M2964" s="28"/>
      <c r="N2964" s="28"/>
      <c r="O2964" s="28"/>
      <c r="P2964" s="28"/>
      <c r="Q2964" s="28"/>
      <c r="R2964" s="28"/>
      <c r="S2964" s="28"/>
    </row>
    <row r="2965" spans="1:19" x14ac:dyDescent="0.25">
      <c r="A2965" s="28"/>
      <c r="B2965" s="28"/>
      <c r="C2965" s="28"/>
      <c r="D2965" s="28"/>
      <c r="E2965" s="28"/>
      <c r="F2965" s="28"/>
      <c r="G2965" s="28"/>
      <c r="H2965" s="28"/>
      <c r="I2965" s="28"/>
      <c r="J2965" s="28"/>
      <c r="K2965" s="28"/>
      <c r="L2965" s="28"/>
      <c r="M2965" s="28"/>
      <c r="N2965" s="28"/>
      <c r="O2965" s="28"/>
      <c r="P2965" s="28"/>
      <c r="Q2965" s="28"/>
      <c r="R2965" s="28"/>
      <c r="S2965" s="28"/>
    </row>
    <row r="2966" spans="1:19" x14ac:dyDescent="0.25">
      <c r="A2966" s="28"/>
      <c r="B2966" s="28"/>
      <c r="C2966" s="28"/>
      <c r="D2966" s="28"/>
      <c r="E2966" s="28"/>
      <c r="F2966" s="28"/>
      <c r="G2966" s="28"/>
      <c r="H2966" s="28"/>
      <c r="I2966" s="28"/>
      <c r="J2966" s="28"/>
      <c r="K2966" s="28"/>
      <c r="L2966" s="28"/>
      <c r="M2966" s="28"/>
      <c r="N2966" s="28"/>
      <c r="O2966" s="28"/>
      <c r="P2966" s="28"/>
      <c r="Q2966" s="28"/>
      <c r="R2966" s="28"/>
      <c r="S2966" s="28"/>
    </row>
    <row r="2967" spans="1:19" x14ac:dyDescent="0.25">
      <c r="A2967" s="28"/>
      <c r="B2967" s="28"/>
      <c r="C2967" s="28"/>
      <c r="D2967" s="28"/>
      <c r="E2967" s="28"/>
      <c r="F2967" s="28"/>
      <c r="G2967" s="28"/>
      <c r="H2967" s="28"/>
      <c r="I2967" s="28"/>
      <c r="J2967" s="28"/>
      <c r="K2967" s="28"/>
      <c r="L2967" s="28"/>
      <c r="M2967" s="28"/>
      <c r="N2967" s="28"/>
      <c r="O2967" s="28"/>
      <c r="P2967" s="28"/>
      <c r="Q2967" s="28"/>
      <c r="R2967" s="28"/>
      <c r="S2967" s="28"/>
    </row>
    <row r="2968" spans="1:19" x14ac:dyDescent="0.25">
      <c r="A2968" s="28"/>
      <c r="B2968" s="28"/>
      <c r="C2968" s="28"/>
      <c r="D2968" s="28"/>
      <c r="E2968" s="28"/>
      <c r="F2968" s="28"/>
      <c r="G2968" s="28"/>
      <c r="H2968" s="28"/>
      <c r="I2968" s="28"/>
      <c r="J2968" s="28"/>
      <c r="K2968" s="28"/>
      <c r="L2968" s="28"/>
      <c r="M2968" s="28"/>
      <c r="N2968" s="28"/>
      <c r="O2968" s="28"/>
      <c r="P2968" s="28"/>
      <c r="Q2968" s="28"/>
      <c r="R2968" s="28"/>
      <c r="S2968" s="28"/>
    </row>
    <row r="2969" spans="1:19" x14ac:dyDescent="0.25">
      <c r="A2969" s="28"/>
      <c r="B2969" s="28"/>
      <c r="C2969" s="28"/>
      <c r="D2969" s="28"/>
      <c r="E2969" s="28"/>
      <c r="F2969" s="28"/>
      <c r="G2969" s="28"/>
      <c r="H2969" s="28"/>
      <c r="I2969" s="28"/>
      <c r="J2969" s="28"/>
      <c r="K2969" s="28"/>
      <c r="L2969" s="28"/>
      <c r="M2969" s="28"/>
      <c r="N2969" s="28"/>
      <c r="O2969" s="28"/>
      <c r="P2969" s="28"/>
      <c r="Q2969" s="28"/>
      <c r="R2969" s="28"/>
      <c r="S2969" s="28"/>
    </row>
    <row r="2970" spans="1:19" x14ac:dyDescent="0.25">
      <c r="A2970" s="28"/>
      <c r="B2970" s="28"/>
      <c r="C2970" s="28"/>
      <c r="D2970" s="28"/>
      <c r="E2970" s="28"/>
      <c r="F2970" s="28"/>
      <c r="G2970" s="28"/>
      <c r="H2970" s="28"/>
      <c r="I2970" s="28"/>
      <c r="J2970" s="28"/>
      <c r="K2970" s="28"/>
      <c r="L2970" s="28"/>
      <c r="M2970" s="28"/>
      <c r="N2970" s="28"/>
      <c r="O2970" s="28"/>
      <c r="P2970" s="28"/>
      <c r="Q2970" s="28"/>
      <c r="R2970" s="28"/>
      <c r="S2970" s="28"/>
    </row>
    <row r="2971" spans="1:19" x14ac:dyDescent="0.25">
      <c r="A2971" s="28"/>
      <c r="B2971" s="28"/>
      <c r="C2971" s="28"/>
      <c r="D2971" s="28"/>
      <c r="E2971" s="28"/>
      <c r="F2971" s="28"/>
      <c r="G2971" s="28"/>
      <c r="H2971" s="28"/>
      <c r="I2971" s="28"/>
      <c r="J2971" s="28"/>
      <c r="K2971" s="28"/>
      <c r="L2971" s="28"/>
      <c r="M2971" s="28"/>
      <c r="N2971" s="28"/>
      <c r="O2971" s="28"/>
      <c r="P2971" s="28"/>
      <c r="Q2971" s="28"/>
      <c r="R2971" s="28"/>
      <c r="S2971" s="28"/>
    </row>
    <row r="2972" spans="1:19" x14ac:dyDescent="0.25">
      <c r="A2972" s="28"/>
      <c r="B2972" s="28"/>
      <c r="C2972" s="28"/>
      <c r="D2972" s="28"/>
      <c r="E2972" s="28"/>
      <c r="F2972" s="28"/>
      <c r="G2972" s="28"/>
      <c r="H2972" s="28"/>
      <c r="I2972" s="28"/>
      <c r="J2972" s="28"/>
      <c r="K2972" s="28"/>
      <c r="L2972" s="28"/>
      <c r="M2972" s="28"/>
      <c r="N2972" s="28"/>
      <c r="O2972" s="28"/>
      <c r="P2972" s="28"/>
      <c r="Q2972" s="28"/>
      <c r="R2972" s="28"/>
      <c r="S2972" s="28"/>
    </row>
    <row r="2973" spans="1:19" x14ac:dyDescent="0.25">
      <c r="A2973" s="28"/>
      <c r="B2973" s="28"/>
      <c r="C2973" s="28"/>
      <c r="D2973" s="28"/>
      <c r="E2973" s="28"/>
      <c r="F2973" s="28"/>
      <c r="G2973" s="28"/>
      <c r="H2973" s="28"/>
      <c r="I2973" s="28"/>
      <c r="J2973" s="28"/>
      <c r="K2973" s="28"/>
      <c r="L2973" s="28"/>
      <c r="M2973" s="28"/>
      <c r="N2973" s="28"/>
      <c r="O2973" s="28"/>
      <c r="P2973" s="28"/>
      <c r="Q2973" s="28"/>
      <c r="R2973" s="28"/>
      <c r="S2973" s="28"/>
    </row>
    <row r="2974" spans="1:19" x14ac:dyDescent="0.25">
      <c r="A2974" s="28"/>
      <c r="B2974" s="28"/>
      <c r="C2974" s="28"/>
      <c r="D2974" s="28"/>
      <c r="E2974" s="28"/>
      <c r="F2974" s="28"/>
      <c r="G2974" s="28"/>
      <c r="H2974" s="28"/>
      <c r="I2974" s="28"/>
      <c r="J2974" s="28"/>
      <c r="K2974" s="28"/>
      <c r="L2974" s="28"/>
      <c r="M2974" s="28"/>
      <c r="N2974" s="28"/>
      <c r="O2974" s="28"/>
      <c r="P2974" s="28"/>
      <c r="Q2974" s="28"/>
      <c r="R2974" s="28"/>
      <c r="S2974" s="28"/>
    </row>
    <row r="2975" spans="1:19" x14ac:dyDescent="0.25">
      <c r="A2975" s="28"/>
      <c r="B2975" s="28"/>
      <c r="C2975" s="28"/>
      <c r="D2975" s="28"/>
      <c r="E2975" s="28"/>
      <c r="F2975" s="28"/>
      <c r="G2975" s="28"/>
      <c r="H2975" s="28"/>
      <c r="I2975" s="28"/>
      <c r="J2975" s="28"/>
      <c r="K2975" s="28"/>
      <c r="L2975" s="28"/>
      <c r="M2975" s="28"/>
      <c r="N2975" s="28"/>
      <c r="O2975" s="28"/>
      <c r="P2975" s="28"/>
      <c r="Q2975" s="28"/>
      <c r="R2975" s="28"/>
      <c r="S2975" s="28"/>
    </row>
    <row r="2976" spans="1:19" x14ac:dyDescent="0.25">
      <c r="A2976" s="28"/>
      <c r="B2976" s="28"/>
      <c r="C2976" s="28"/>
      <c r="D2976" s="28"/>
      <c r="E2976" s="28"/>
      <c r="F2976" s="28"/>
      <c r="G2976" s="28"/>
      <c r="H2976" s="28"/>
      <c r="I2976" s="28"/>
      <c r="J2976" s="28"/>
      <c r="K2976" s="28"/>
      <c r="L2976" s="28"/>
      <c r="M2976" s="28"/>
      <c r="N2976" s="28"/>
      <c r="O2976" s="28"/>
      <c r="P2976" s="28"/>
      <c r="Q2976" s="28"/>
      <c r="R2976" s="28"/>
      <c r="S2976" s="28"/>
    </row>
    <row r="2977" spans="1:19" x14ac:dyDescent="0.25">
      <c r="A2977" s="28"/>
      <c r="B2977" s="28"/>
      <c r="C2977" s="28"/>
      <c r="D2977" s="28"/>
      <c r="E2977" s="28"/>
      <c r="F2977" s="28"/>
      <c r="G2977" s="28"/>
      <c r="H2977" s="28"/>
      <c r="I2977" s="28"/>
      <c r="J2977" s="28"/>
      <c r="K2977" s="28"/>
      <c r="L2977" s="28"/>
      <c r="M2977" s="28"/>
      <c r="N2977" s="28"/>
      <c r="O2977" s="28"/>
      <c r="P2977" s="28"/>
      <c r="Q2977" s="28"/>
      <c r="R2977" s="28"/>
      <c r="S2977" s="28"/>
    </row>
    <row r="2978" spans="1:19" x14ac:dyDescent="0.25">
      <c r="A2978" s="28"/>
      <c r="B2978" s="28"/>
      <c r="C2978" s="28"/>
      <c r="D2978" s="28"/>
      <c r="E2978" s="28"/>
      <c r="F2978" s="28"/>
      <c r="G2978" s="28"/>
      <c r="H2978" s="28"/>
      <c r="I2978" s="28"/>
      <c r="J2978" s="28"/>
      <c r="K2978" s="28"/>
      <c r="L2978" s="28"/>
      <c r="M2978" s="28"/>
      <c r="N2978" s="28"/>
      <c r="O2978" s="28"/>
      <c r="P2978" s="28"/>
      <c r="Q2978" s="28"/>
      <c r="R2978" s="28"/>
      <c r="S2978" s="28"/>
    </row>
    <row r="2979" spans="1:19" x14ac:dyDescent="0.25">
      <c r="A2979" s="28"/>
      <c r="B2979" s="28"/>
      <c r="C2979" s="28"/>
      <c r="D2979" s="28"/>
      <c r="E2979" s="28"/>
      <c r="F2979" s="28"/>
      <c r="G2979" s="28"/>
      <c r="H2979" s="28"/>
      <c r="I2979" s="28"/>
      <c r="J2979" s="28"/>
      <c r="K2979" s="28"/>
      <c r="L2979" s="28"/>
      <c r="M2979" s="28"/>
      <c r="N2979" s="28"/>
      <c r="O2979" s="28"/>
      <c r="P2979" s="28"/>
      <c r="Q2979" s="28"/>
      <c r="R2979" s="28"/>
      <c r="S2979" s="28"/>
    </row>
    <row r="2980" spans="1:19" x14ac:dyDescent="0.25">
      <c r="A2980" s="28"/>
      <c r="B2980" s="28"/>
      <c r="C2980" s="28"/>
      <c r="D2980" s="28"/>
      <c r="E2980" s="28"/>
      <c r="F2980" s="28"/>
      <c r="G2980" s="28"/>
      <c r="H2980" s="28"/>
      <c r="I2980" s="28"/>
      <c r="J2980" s="28"/>
      <c r="K2980" s="28"/>
      <c r="L2980" s="28"/>
      <c r="M2980" s="28"/>
      <c r="N2980" s="28"/>
      <c r="O2980" s="28"/>
      <c r="P2980" s="28"/>
      <c r="Q2980" s="28"/>
      <c r="R2980" s="28"/>
      <c r="S2980" s="28"/>
    </row>
    <row r="2981" spans="1:19" x14ac:dyDescent="0.25">
      <c r="A2981" s="28"/>
      <c r="B2981" s="28"/>
      <c r="C2981" s="28"/>
      <c r="D2981" s="28"/>
      <c r="E2981" s="28"/>
      <c r="F2981" s="28"/>
      <c r="G2981" s="28"/>
      <c r="H2981" s="28"/>
      <c r="I2981" s="28"/>
      <c r="J2981" s="28"/>
      <c r="K2981" s="28"/>
      <c r="L2981" s="28"/>
      <c r="M2981" s="28"/>
      <c r="N2981" s="28"/>
      <c r="O2981" s="28"/>
      <c r="P2981" s="28"/>
      <c r="Q2981" s="28"/>
      <c r="R2981" s="28"/>
      <c r="S2981" s="28"/>
    </row>
    <row r="2982" spans="1:19" x14ac:dyDescent="0.25">
      <c r="A2982" s="28"/>
      <c r="B2982" s="28"/>
      <c r="C2982" s="28"/>
      <c r="D2982" s="28"/>
      <c r="E2982" s="28"/>
      <c r="F2982" s="28"/>
      <c r="G2982" s="28"/>
      <c r="H2982" s="28"/>
      <c r="I2982" s="28"/>
      <c r="J2982" s="28"/>
      <c r="K2982" s="28"/>
      <c r="L2982" s="28"/>
      <c r="M2982" s="28"/>
      <c r="N2982" s="28"/>
      <c r="O2982" s="28"/>
      <c r="P2982" s="28"/>
      <c r="Q2982" s="28"/>
      <c r="R2982" s="28"/>
      <c r="S2982" s="28"/>
    </row>
    <row r="2983" spans="1:19" x14ac:dyDescent="0.25">
      <c r="A2983" s="28"/>
      <c r="B2983" s="28"/>
      <c r="C2983" s="28"/>
      <c r="D2983" s="28"/>
      <c r="E2983" s="28"/>
      <c r="F2983" s="28"/>
      <c r="G2983" s="28"/>
      <c r="H2983" s="28"/>
      <c r="I2983" s="28"/>
      <c r="J2983" s="28"/>
      <c r="K2983" s="28"/>
      <c r="L2983" s="28"/>
      <c r="M2983" s="28"/>
      <c r="N2983" s="28"/>
      <c r="O2983" s="28"/>
      <c r="P2983" s="28"/>
      <c r="Q2983" s="28"/>
      <c r="R2983" s="28"/>
      <c r="S2983" s="28"/>
    </row>
    <row r="2984" spans="1:19" x14ac:dyDescent="0.25">
      <c r="A2984" s="28"/>
      <c r="B2984" s="28"/>
      <c r="C2984" s="28"/>
      <c r="D2984" s="28"/>
      <c r="E2984" s="28"/>
      <c r="F2984" s="28"/>
      <c r="G2984" s="28"/>
      <c r="H2984" s="28"/>
      <c r="I2984" s="28"/>
      <c r="J2984" s="28"/>
      <c r="K2984" s="28"/>
      <c r="L2984" s="28"/>
      <c r="M2984" s="28"/>
      <c r="N2984" s="28"/>
      <c r="O2984" s="28"/>
      <c r="P2984" s="28"/>
      <c r="Q2984" s="28"/>
      <c r="R2984" s="28"/>
      <c r="S2984" s="28"/>
    </row>
    <row r="2985" spans="1:19" x14ac:dyDescent="0.25">
      <c r="A2985" s="28"/>
      <c r="B2985" s="28"/>
      <c r="C2985" s="28"/>
      <c r="D2985" s="28"/>
      <c r="E2985" s="28"/>
      <c r="F2985" s="28"/>
      <c r="G2985" s="28"/>
      <c r="H2985" s="28"/>
      <c r="I2985" s="28"/>
      <c r="J2985" s="28"/>
      <c r="K2985" s="28"/>
      <c r="L2985" s="28"/>
      <c r="M2985" s="28"/>
      <c r="N2985" s="28"/>
      <c r="O2985" s="28"/>
      <c r="P2985" s="28"/>
      <c r="Q2985" s="28"/>
      <c r="R2985" s="28"/>
      <c r="S2985" s="28"/>
    </row>
    <row r="2986" spans="1:19" x14ac:dyDescent="0.25">
      <c r="A2986" s="28"/>
      <c r="B2986" s="28"/>
      <c r="C2986" s="28"/>
      <c r="D2986" s="28"/>
      <c r="E2986" s="28"/>
      <c r="F2986" s="28"/>
      <c r="G2986" s="28"/>
      <c r="H2986" s="28"/>
      <c r="I2986" s="28"/>
      <c r="J2986" s="28"/>
      <c r="K2986" s="28"/>
      <c r="L2986" s="28"/>
      <c r="M2986" s="28"/>
      <c r="N2986" s="28"/>
      <c r="O2986" s="28"/>
      <c r="P2986" s="28"/>
      <c r="Q2986" s="28"/>
      <c r="R2986" s="28"/>
      <c r="S2986" s="28"/>
    </row>
    <row r="2987" spans="1:19" x14ac:dyDescent="0.25">
      <c r="A2987" s="28"/>
      <c r="B2987" s="28"/>
      <c r="C2987" s="28"/>
      <c r="D2987" s="28"/>
      <c r="E2987" s="28"/>
      <c r="F2987" s="28"/>
      <c r="G2987" s="28"/>
      <c r="H2987" s="28"/>
      <c r="I2987" s="28"/>
      <c r="J2987" s="28"/>
      <c r="K2987" s="28"/>
      <c r="L2987" s="28"/>
      <c r="M2987" s="28"/>
      <c r="N2987" s="28"/>
      <c r="O2987" s="28"/>
      <c r="P2987" s="28"/>
      <c r="Q2987" s="28"/>
      <c r="R2987" s="28"/>
      <c r="S2987" s="28"/>
    </row>
    <row r="2988" spans="1:19" x14ac:dyDescent="0.25">
      <c r="A2988" s="28"/>
      <c r="B2988" s="28"/>
      <c r="C2988" s="28"/>
      <c r="D2988" s="28"/>
      <c r="E2988" s="28"/>
      <c r="F2988" s="28"/>
      <c r="G2988" s="28"/>
      <c r="H2988" s="28"/>
      <c r="I2988" s="28"/>
      <c r="J2988" s="28"/>
      <c r="K2988" s="28"/>
      <c r="L2988" s="28"/>
      <c r="M2988" s="28"/>
      <c r="N2988" s="28"/>
      <c r="O2988" s="28"/>
      <c r="P2988" s="28"/>
      <c r="Q2988" s="28"/>
      <c r="R2988" s="28"/>
      <c r="S2988" s="28"/>
    </row>
    <row r="2989" spans="1:19" x14ac:dyDescent="0.25">
      <c r="A2989" s="28"/>
      <c r="B2989" s="28"/>
      <c r="C2989" s="28"/>
      <c r="D2989" s="28"/>
      <c r="E2989" s="28"/>
      <c r="F2989" s="28"/>
      <c r="G2989" s="28"/>
      <c r="H2989" s="28"/>
      <c r="I2989" s="28"/>
      <c r="J2989" s="28"/>
      <c r="K2989" s="28"/>
      <c r="L2989" s="28"/>
      <c r="M2989" s="28"/>
      <c r="N2989" s="28"/>
      <c r="O2989" s="28"/>
      <c r="P2989" s="28"/>
      <c r="Q2989" s="28"/>
      <c r="R2989" s="28"/>
      <c r="S2989" s="28"/>
    </row>
    <row r="2990" spans="1:19" x14ac:dyDescent="0.25">
      <c r="A2990" s="28"/>
      <c r="B2990" s="28"/>
      <c r="C2990" s="28"/>
      <c r="D2990" s="28"/>
      <c r="E2990" s="28"/>
      <c r="F2990" s="28"/>
      <c r="G2990" s="28"/>
      <c r="H2990" s="28"/>
      <c r="I2990" s="28"/>
      <c r="J2990" s="28"/>
      <c r="K2990" s="28"/>
      <c r="L2990" s="28"/>
      <c r="M2990" s="28"/>
      <c r="N2990" s="28"/>
      <c r="O2990" s="28"/>
      <c r="P2990" s="28"/>
      <c r="Q2990" s="28"/>
      <c r="R2990" s="28"/>
      <c r="S2990" s="28"/>
    </row>
    <row r="2991" spans="1:19" x14ac:dyDescent="0.25">
      <c r="A2991" s="28"/>
      <c r="B2991" s="28"/>
      <c r="C2991" s="28"/>
      <c r="D2991" s="28"/>
      <c r="E2991" s="28"/>
      <c r="F2991" s="28"/>
      <c r="G2991" s="28"/>
      <c r="H2991" s="28"/>
      <c r="I2991" s="28"/>
      <c r="J2991" s="28"/>
      <c r="K2991" s="28"/>
      <c r="L2991" s="28"/>
      <c r="M2991" s="28"/>
      <c r="N2991" s="28"/>
      <c r="O2991" s="28"/>
      <c r="P2991" s="28"/>
      <c r="Q2991" s="28"/>
      <c r="R2991" s="28"/>
      <c r="S2991" s="28"/>
    </row>
    <row r="2992" spans="1:19" x14ac:dyDescent="0.25">
      <c r="A2992" s="28"/>
      <c r="B2992" s="28"/>
      <c r="C2992" s="28"/>
      <c r="D2992" s="28"/>
      <c r="E2992" s="28"/>
      <c r="F2992" s="28"/>
      <c r="G2992" s="28"/>
      <c r="H2992" s="28"/>
      <c r="I2992" s="28"/>
      <c r="J2992" s="28"/>
      <c r="K2992" s="28"/>
      <c r="L2992" s="28"/>
      <c r="M2992" s="28"/>
      <c r="N2992" s="28"/>
      <c r="O2992" s="28"/>
      <c r="P2992" s="28"/>
      <c r="Q2992" s="28"/>
      <c r="R2992" s="28"/>
      <c r="S2992" s="28"/>
    </row>
    <row r="2993" spans="1:19" x14ac:dyDescent="0.25">
      <c r="A2993" s="28"/>
      <c r="B2993" s="28"/>
      <c r="C2993" s="28"/>
      <c r="D2993" s="28"/>
      <c r="E2993" s="28"/>
      <c r="F2993" s="28"/>
      <c r="G2993" s="28"/>
      <c r="H2993" s="28"/>
      <c r="I2993" s="28"/>
      <c r="J2993" s="28"/>
      <c r="K2993" s="28"/>
      <c r="L2993" s="28"/>
      <c r="M2993" s="28"/>
      <c r="N2993" s="28"/>
      <c r="O2993" s="28"/>
      <c r="P2993" s="28"/>
      <c r="Q2993" s="28"/>
      <c r="R2993" s="28"/>
      <c r="S2993" s="28"/>
    </row>
    <row r="2994" spans="1:19" x14ac:dyDescent="0.25">
      <c r="A2994" s="28"/>
      <c r="B2994" s="28"/>
      <c r="C2994" s="28"/>
      <c r="D2994" s="28"/>
      <c r="E2994" s="28"/>
      <c r="F2994" s="28"/>
      <c r="G2994" s="28"/>
      <c r="H2994" s="28"/>
      <c r="I2994" s="28"/>
      <c r="J2994" s="28"/>
      <c r="K2994" s="28"/>
      <c r="L2994" s="28"/>
      <c r="M2994" s="28"/>
      <c r="N2994" s="28"/>
      <c r="O2994" s="28"/>
      <c r="P2994" s="28"/>
      <c r="Q2994" s="28"/>
      <c r="R2994" s="28"/>
      <c r="S2994" s="28"/>
    </row>
    <row r="2995" spans="1:19" x14ac:dyDescent="0.25">
      <c r="A2995" s="28"/>
      <c r="B2995" s="28"/>
      <c r="C2995" s="28"/>
      <c r="D2995" s="28"/>
      <c r="E2995" s="28"/>
      <c r="F2995" s="28"/>
      <c r="G2995" s="28"/>
      <c r="H2995" s="28"/>
      <c r="I2995" s="28"/>
      <c r="J2995" s="28"/>
      <c r="K2995" s="28"/>
      <c r="L2995" s="28"/>
      <c r="M2995" s="28"/>
      <c r="N2995" s="28"/>
      <c r="O2995" s="28"/>
      <c r="P2995" s="28"/>
      <c r="Q2995" s="28"/>
      <c r="R2995" s="28"/>
      <c r="S2995" s="28"/>
    </row>
    <row r="2996" spans="1:19" x14ac:dyDescent="0.25">
      <c r="A2996" s="28"/>
      <c r="B2996" s="28"/>
      <c r="C2996" s="28"/>
      <c r="D2996" s="28"/>
      <c r="E2996" s="28"/>
      <c r="F2996" s="28"/>
      <c r="G2996" s="28"/>
      <c r="H2996" s="28"/>
      <c r="I2996" s="28"/>
      <c r="J2996" s="28"/>
      <c r="K2996" s="28"/>
      <c r="L2996" s="28"/>
      <c r="M2996" s="28"/>
      <c r="N2996" s="28"/>
      <c r="O2996" s="28"/>
      <c r="P2996" s="28"/>
      <c r="Q2996" s="28"/>
      <c r="R2996" s="28"/>
      <c r="S2996" s="28"/>
    </row>
    <row r="2997" spans="1:19" x14ac:dyDescent="0.25">
      <c r="A2997" s="28"/>
      <c r="B2997" s="28"/>
      <c r="C2997" s="28"/>
      <c r="D2997" s="28"/>
      <c r="E2997" s="28"/>
      <c r="F2997" s="28"/>
      <c r="G2997" s="28"/>
      <c r="H2997" s="28"/>
      <c r="I2997" s="28"/>
      <c r="J2997" s="28"/>
      <c r="K2997" s="28"/>
      <c r="L2997" s="28"/>
      <c r="M2997" s="28"/>
      <c r="N2997" s="28"/>
      <c r="O2997" s="28"/>
      <c r="P2997" s="28"/>
      <c r="Q2997" s="28"/>
      <c r="R2997" s="28"/>
      <c r="S2997" s="28"/>
    </row>
    <row r="2998" spans="1:19" x14ac:dyDescent="0.25">
      <c r="A2998" s="28"/>
      <c r="B2998" s="28"/>
      <c r="C2998" s="28"/>
      <c r="D2998" s="28"/>
      <c r="E2998" s="28"/>
      <c r="F2998" s="28"/>
      <c r="G2998" s="28"/>
      <c r="H2998" s="28"/>
      <c r="I2998" s="28"/>
      <c r="J2998" s="28"/>
      <c r="K2998" s="28"/>
      <c r="L2998" s="28"/>
      <c r="M2998" s="28"/>
      <c r="N2998" s="28"/>
      <c r="O2998" s="28"/>
      <c r="P2998" s="28"/>
      <c r="Q2998" s="28"/>
      <c r="R2998" s="28"/>
      <c r="S2998" s="28"/>
    </row>
    <row r="2999" spans="1:19" x14ac:dyDescent="0.25">
      <c r="A2999" s="28"/>
      <c r="B2999" s="28"/>
      <c r="C2999" s="28"/>
      <c r="D2999" s="28"/>
      <c r="E2999" s="28"/>
      <c r="F2999" s="28"/>
      <c r="G2999" s="28"/>
      <c r="H2999" s="28"/>
      <c r="I2999" s="28"/>
      <c r="J2999" s="28"/>
      <c r="K2999" s="28"/>
      <c r="L2999" s="28"/>
      <c r="M2999" s="28"/>
      <c r="N2999" s="28"/>
      <c r="O2999" s="28"/>
      <c r="P2999" s="28"/>
      <c r="Q2999" s="28"/>
      <c r="R2999" s="28"/>
      <c r="S2999" s="28"/>
    </row>
    <row r="3000" spans="1:19" x14ac:dyDescent="0.25">
      <c r="A3000" s="28"/>
      <c r="B3000" s="28"/>
      <c r="C3000" s="28"/>
      <c r="D3000" s="28"/>
      <c r="E3000" s="28"/>
      <c r="F3000" s="28"/>
      <c r="G3000" s="28"/>
      <c r="H3000" s="28"/>
      <c r="I3000" s="28"/>
      <c r="J3000" s="28"/>
      <c r="K3000" s="28"/>
      <c r="L3000" s="28"/>
      <c r="M3000" s="28"/>
      <c r="N3000" s="28"/>
      <c r="O3000" s="28"/>
      <c r="P3000" s="28"/>
      <c r="Q3000" s="28"/>
      <c r="R3000" s="28"/>
      <c r="S3000" s="28"/>
    </row>
    <row r="3001" spans="1:19" x14ac:dyDescent="0.25">
      <c r="A3001" s="28"/>
      <c r="B3001" s="28"/>
      <c r="C3001" s="28"/>
      <c r="D3001" s="28"/>
      <c r="E3001" s="28"/>
      <c r="F3001" s="28"/>
      <c r="G3001" s="28"/>
      <c r="H3001" s="28"/>
      <c r="I3001" s="28"/>
      <c r="J3001" s="28"/>
      <c r="K3001" s="28"/>
      <c r="L3001" s="28"/>
      <c r="M3001" s="28"/>
      <c r="N3001" s="28"/>
      <c r="O3001" s="28"/>
      <c r="P3001" s="28"/>
      <c r="Q3001" s="28"/>
      <c r="R3001" s="28"/>
      <c r="S3001" s="28"/>
    </row>
    <row r="3002" spans="1:19" x14ac:dyDescent="0.25">
      <c r="A3002" s="28"/>
      <c r="B3002" s="28"/>
      <c r="C3002" s="28"/>
      <c r="D3002" s="28"/>
      <c r="E3002" s="28"/>
      <c r="F3002" s="28"/>
      <c r="G3002" s="28"/>
      <c r="H3002" s="28"/>
      <c r="I3002" s="28"/>
      <c r="J3002" s="28"/>
      <c r="K3002" s="28"/>
      <c r="L3002" s="28"/>
      <c r="M3002" s="28"/>
      <c r="N3002" s="28"/>
      <c r="O3002" s="28"/>
      <c r="P3002" s="28"/>
      <c r="Q3002" s="28"/>
      <c r="R3002" s="28"/>
      <c r="S3002" s="28"/>
    </row>
    <row r="3003" spans="1:19" x14ac:dyDescent="0.25">
      <c r="A3003" s="28"/>
      <c r="B3003" s="28"/>
      <c r="C3003" s="28"/>
      <c r="D3003" s="28"/>
      <c r="E3003" s="28"/>
      <c r="F3003" s="28"/>
      <c r="G3003" s="28"/>
      <c r="H3003" s="28"/>
      <c r="I3003" s="28"/>
      <c r="J3003" s="28"/>
      <c r="K3003" s="28"/>
      <c r="L3003" s="28"/>
      <c r="M3003" s="28"/>
      <c r="N3003" s="28"/>
      <c r="O3003" s="28"/>
      <c r="P3003" s="28"/>
      <c r="Q3003" s="28"/>
      <c r="R3003" s="28"/>
      <c r="S3003" s="28"/>
    </row>
    <row r="3004" spans="1:19" x14ac:dyDescent="0.25">
      <c r="A3004" s="28"/>
      <c r="B3004" s="28"/>
      <c r="C3004" s="28"/>
      <c r="D3004" s="28"/>
      <c r="E3004" s="28"/>
      <c r="F3004" s="28"/>
      <c r="G3004" s="28"/>
      <c r="H3004" s="28"/>
      <c r="I3004" s="28"/>
      <c r="J3004" s="28"/>
      <c r="K3004" s="28"/>
      <c r="L3004" s="28"/>
      <c r="M3004" s="28"/>
      <c r="N3004" s="28"/>
      <c r="O3004" s="28"/>
      <c r="P3004" s="28"/>
      <c r="Q3004" s="28"/>
      <c r="R3004" s="28"/>
      <c r="S3004" s="28"/>
    </row>
    <row r="3005" spans="1:19" x14ac:dyDescent="0.25">
      <c r="A3005" s="28"/>
      <c r="B3005" s="28"/>
      <c r="C3005" s="28"/>
      <c r="D3005" s="28"/>
      <c r="E3005" s="28"/>
      <c r="F3005" s="28"/>
      <c r="G3005" s="28"/>
      <c r="H3005" s="28"/>
      <c r="I3005" s="28"/>
      <c r="J3005" s="28"/>
      <c r="K3005" s="28"/>
      <c r="L3005" s="28"/>
      <c r="M3005" s="28"/>
      <c r="N3005" s="28"/>
      <c r="O3005" s="28"/>
      <c r="P3005" s="28"/>
      <c r="Q3005" s="28"/>
      <c r="R3005" s="28"/>
      <c r="S3005" s="28"/>
    </row>
    <row r="3006" spans="1:19" x14ac:dyDescent="0.25">
      <c r="A3006" s="28"/>
      <c r="B3006" s="28"/>
      <c r="C3006" s="28"/>
      <c r="D3006" s="28"/>
      <c r="E3006" s="28"/>
      <c r="F3006" s="28"/>
      <c r="G3006" s="28"/>
      <c r="H3006" s="28"/>
      <c r="I3006" s="28"/>
      <c r="J3006" s="28"/>
      <c r="K3006" s="28"/>
      <c r="L3006" s="28"/>
      <c r="M3006" s="28"/>
      <c r="N3006" s="28"/>
      <c r="O3006" s="28"/>
      <c r="P3006" s="28"/>
      <c r="Q3006" s="28"/>
      <c r="R3006" s="28"/>
      <c r="S3006" s="28"/>
    </row>
    <row r="3007" spans="1:19" x14ac:dyDescent="0.25">
      <c r="A3007" s="28"/>
      <c r="B3007" s="28"/>
      <c r="C3007" s="28"/>
      <c r="D3007" s="28"/>
      <c r="E3007" s="28"/>
      <c r="F3007" s="28"/>
      <c r="G3007" s="28"/>
      <c r="H3007" s="28"/>
      <c r="I3007" s="28"/>
      <c r="J3007" s="28"/>
      <c r="K3007" s="28"/>
      <c r="L3007" s="28"/>
      <c r="M3007" s="28"/>
      <c r="N3007" s="28"/>
      <c r="O3007" s="28"/>
      <c r="P3007" s="28"/>
      <c r="Q3007" s="28"/>
      <c r="R3007" s="28"/>
      <c r="S3007" s="28"/>
    </row>
    <row r="3008" spans="1:19" x14ac:dyDescent="0.25">
      <c r="A3008" s="28"/>
      <c r="B3008" s="28"/>
      <c r="C3008" s="28"/>
      <c r="D3008" s="28"/>
      <c r="E3008" s="28"/>
      <c r="F3008" s="28"/>
      <c r="G3008" s="28"/>
      <c r="H3008" s="28"/>
      <c r="I3008" s="28"/>
      <c r="J3008" s="28"/>
      <c r="K3008" s="28"/>
      <c r="L3008" s="28"/>
      <c r="M3008" s="28"/>
      <c r="N3008" s="28"/>
      <c r="O3008" s="28"/>
      <c r="P3008" s="28"/>
      <c r="Q3008" s="28"/>
      <c r="R3008" s="28"/>
      <c r="S3008" s="28"/>
    </row>
    <row r="3009" spans="1:19" x14ac:dyDescent="0.25">
      <c r="A3009" s="28"/>
      <c r="B3009" s="28"/>
      <c r="C3009" s="28"/>
      <c r="D3009" s="28"/>
      <c r="E3009" s="28"/>
      <c r="F3009" s="28"/>
      <c r="G3009" s="28"/>
      <c r="H3009" s="28"/>
      <c r="I3009" s="28"/>
      <c r="J3009" s="28"/>
      <c r="K3009" s="28"/>
      <c r="L3009" s="28"/>
      <c r="M3009" s="28"/>
      <c r="N3009" s="28"/>
      <c r="O3009" s="28"/>
      <c r="P3009" s="28"/>
      <c r="Q3009" s="28"/>
      <c r="R3009" s="28"/>
      <c r="S3009" s="28"/>
    </row>
    <row r="3010" spans="1:19" x14ac:dyDescent="0.25">
      <c r="A3010" s="28"/>
      <c r="B3010" s="28"/>
      <c r="C3010" s="28"/>
      <c r="D3010" s="28"/>
      <c r="E3010" s="28"/>
      <c r="F3010" s="28"/>
      <c r="G3010" s="28"/>
      <c r="H3010" s="28"/>
      <c r="I3010" s="28"/>
      <c r="J3010" s="28"/>
      <c r="K3010" s="28"/>
      <c r="L3010" s="28"/>
      <c r="M3010" s="28"/>
      <c r="N3010" s="28"/>
      <c r="O3010" s="28"/>
      <c r="P3010" s="28"/>
      <c r="Q3010" s="28"/>
      <c r="R3010" s="28"/>
      <c r="S3010" s="28"/>
    </row>
    <row r="3011" spans="1:19" x14ac:dyDescent="0.25">
      <c r="A3011" s="28"/>
      <c r="B3011" s="28"/>
      <c r="C3011" s="28"/>
      <c r="D3011" s="28"/>
      <c r="E3011" s="28"/>
      <c r="F3011" s="28"/>
      <c r="G3011" s="28"/>
      <c r="H3011" s="28"/>
      <c r="I3011" s="28"/>
      <c r="J3011" s="28"/>
      <c r="K3011" s="28"/>
      <c r="L3011" s="28"/>
      <c r="M3011" s="28"/>
      <c r="N3011" s="28"/>
      <c r="O3011" s="28"/>
      <c r="P3011" s="28"/>
      <c r="Q3011" s="28"/>
      <c r="R3011" s="28"/>
      <c r="S3011" s="28"/>
    </row>
    <row r="3012" spans="1:19" x14ac:dyDescent="0.25">
      <c r="A3012" s="28"/>
      <c r="B3012" s="28"/>
      <c r="C3012" s="28"/>
      <c r="D3012" s="28"/>
      <c r="E3012" s="28"/>
      <c r="F3012" s="28"/>
      <c r="G3012" s="28"/>
      <c r="H3012" s="28"/>
      <c r="I3012" s="28"/>
      <c r="J3012" s="28"/>
      <c r="K3012" s="28"/>
      <c r="L3012" s="28"/>
      <c r="M3012" s="28"/>
      <c r="N3012" s="28"/>
      <c r="O3012" s="28"/>
      <c r="P3012" s="28"/>
      <c r="Q3012" s="28"/>
      <c r="R3012" s="28"/>
      <c r="S3012" s="28"/>
    </row>
    <row r="3013" spans="1:19" x14ac:dyDescent="0.25">
      <c r="A3013" s="28"/>
      <c r="B3013" s="28"/>
      <c r="C3013" s="28"/>
      <c r="D3013" s="28"/>
      <c r="E3013" s="28"/>
      <c r="F3013" s="28"/>
      <c r="G3013" s="28"/>
      <c r="H3013" s="28"/>
      <c r="I3013" s="28"/>
      <c r="J3013" s="28"/>
      <c r="K3013" s="28"/>
      <c r="L3013" s="28"/>
      <c r="M3013" s="28"/>
      <c r="N3013" s="28"/>
      <c r="O3013" s="28"/>
      <c r="P3013" s="28"/>
      <c r="Q3013" s="28"/>
      <c r="R3013" s="28"/>
      <c r="S3013" s="28"/>
    </row>
    <row r="3014" spans="1:19" x14ac:dyDescent="0.25">
      <c r="A3014" s="28"/>
      <c r="B3014" s="28"/>
      <c r="C3014" s="28"/>
      <c r="D3014" s="28"/>
      <c r="E3014" s="28"/>
      <c r="F3014" s="28"/>
      <c r="G3014" s="28"/>
      <c r="H3014" s="28"/>
      <c r="I3014" s="28"/>
      <c r="J3014" s="28"/>
      <c r="K3014" s="28"/>
      <c r="L3014" s="28"/>
      <c r="M3014" s="28"/>
      <c r="N3014" s="28"/>
      <c r="O3014" s="28"/>
      <c r="P3014" s="28"/>
      <c r="Q3014" s="28"/>
      <c r="R3014" s="28"/>
      <c r="S3014" s="28"/>
    </row>
    <row r="3015" spans="1:19" x14ac:dyDescent="0.25">
      <c r="A3015" s="28"/>
      <c r="B3015" s="28"/>
      <c r="C3015" s="28"/>
      <c r="D3015" s="28"/>
      <c r="E3015" s="28"/>
      <c r="F3015" s="28"/>
      <c r="G3015" s="28"/>
      <c r="H3015" s="28"/>
      <c r="I3015" s="28"/>
      <c r="J3015" s="28"/>
      <c r="K3015" s="28"/>
      <c r="L3015" s="28"/>
      <c r="M3015" s="28"/>
      <c r="N3015" s="28"/>
      <c r="O3015" s="28"/>
      <c r="P3015" s="28"/>
      <c r="Q3015" s="28"/>
      <c r="R3015" s="28"/>
      <c r="S3015" s="28"/>
    </row>
    <row r="3016" spans="1:19" x14ac:dyDescent="0.25">
      <c r="A3016" s="28"/>
      <c r="B3016" s="28"/>
      <c r="C3016" s="28"/>
      <c r="D3016" s="28"/>
      <c r="E3016" s="28"/>
      <c r="F3016" s="28"/>
      <c r="G3016" s="28"/>
      <c r="H3016" s="28"/>
      <c r="I3016" s="28"/>
      <c r="J3016" s="28"/>
      <c r="K3016" s="28"/>
      <c r="L3016" s="28"/>
      <c r="M3016" s="28"/>
      <c r="N3016" s="28"/>
      <c r="O3016" s="28"/>
      <c r="P3016" s="28"/>
      <c r="Q3016" s="28"/>
      <c r="R3016" s="28"/>
      <c r="S3016" s="28"/>
    </row>
    <row r="3017" spans="1:19" x14ac:dyDescent="0.25">
      <c r="A3017" s="28"/>
      <c r="B3017" s="28"/>
      <c r="C3017" s="28"/>
      <c r="D3017" s="28"/>
      <c r="E3017" s="28"/>
      <c r="F3017" s="28"/>
      <c r="G3017" s="28"/>
      <c r="H3017" s="28"/>
      <c r="I3017" s="28"/>
      <c r="J3017" s="28"/>
      <c r="K3017" s="28"/>
      <c r="L3017" s="28"/>
      <c r="M3017" s="28"/>
      <c r="N3017" s="28"/>
      <c r="O3017" s="28"/>
      <c r="P3017" s="28"/>
      <c r="Q3017" s="28"/>
      <c r="R3017" s="28"/>
      <c r="S3017" s="28"/>
    </row>
    <row r="3018" spans="1:19" x14ac:dyDescent="0.25">
      <c r="A3018" s="28"/>
      <c r="B3018" s="28"/>
      <c r="C3018" s="28"/>
      <c r="D3018" s="28"/>
      <c r="E3018" s="28"/>
      <c r="F3018" s="28"/>
      <c r="G3018" s="28"/>
      <c r="H3018" s="28"/>
      <c r="I3018" s="28"/>
      <c r="J3018" s="28"/>
      <c r="K3018" s="28"/>
      <c r="L3018" s="28"/>
      <c r="M3018" s="28"/>
      <c r="N3018" s="28"/>
      <c r="O3018" s="28"/>
      <c r="P3018" s="28"/>
      <c r="Q3018" s="28"/>
      <c r="R3018" s="28"/>
      <c r="S3018" s="28"/>
    </row>
    <row r="3019" spans="1:19" x14ac:dyDescent="0.25">
      <c r="A3019" s="28"/>
      <c r="B3019" s="28"/>
      <c r="C3019" s="28"/>
      <c r="D3019" s="28"/>
      <c r="E3019" s="28"/>
      <c r="F3019" s="28"/>
      <c r="G3019" s="28"/>
      <c r="H3019" s="28"/>
      <c r="I3019" s="28"/>
      <c r="J3019" s="28"/>
      <c r="K3019" s="28"/>
      <c r="L3019" s="28"/>
      <c r="M3019" s="28"/>
      <c r="N3019" s="28"/>
      <c r="O3019" s="28"/>
      <c r="P3019" s="28"/>
      <c r="Q3019" s="28"/>
      <c r="R3019" s="28"/>
      <c r="S3019" s="28"/>
    </row>
    <row r="3020" spans="1:19" x14ac:dyDescent="0.25">
      <c r="A3020" s="28"/>
      <c r="B3020" s="28"/>
      <c r="C3020" s="28"/>
      <c r="D3020" s="28"/>
      <c r="E3020" s="28"/>
      <c r="F3020" s="28"/>
      <c r="G3020" s="28"/>
      <c r="H3020" s="28"/>
      <c r="I3020" s="28"/>
      <c r="J3020" s="28"/>
      <c r="K3020" s="28"/>
      <c r="L3020" s="28"/>
      <c r="M3020" s="28"/>
      <c r="N3020" s="28"/>
      <c r="O3020" s="28"/>
      <c r="P3020" s="28"/>
      <c r="Q3020" s="28"/>
      <c r="R3020" s="28"/>
      <c r="S3020" s="28"/>
    </row>
    <row r="3021" spans="1:19" x14ac:dyDescent="0.25">
      <c r="A3021" s="28"/>
      <c r="B3021" s="28"/>
      <c r="C3021" s="28"/>
      <c r="D3021" s="28"/>
      <c r="E3021" s="28"/>
      <c r="F3021" s="28"/>
      <c r="G3021" s="28"/>
      <c r="H3021" s="28"/>
      <c r="I3021" s="28"/>
      <c r="J3021" s="28"/>
      <c r="K3021" s="28"/>
      <c r="L3021" s="28"/>
      <c r="M3021" s="28"/>
      <c r="N3021" s="28"/>
      <c r="O3021" s="28"/>
      <c r="P3021" s="28"/>
      <c r="Q3021" s="28"/>
      <c r="R3021" s="28"/>
      <c r="S3021" s="28"/>
    </row>
    <row r="3022" spans="1:19" x14ac:dyDescent="0.25">
      <c r="A3022" s="28"/>
      <c r="B3022" s="28"/>
      <c r="C3022" s="28"/>
      <c r="D3022" s="28"/>
      <c r="E3022" s="28"/>
      <c r="F3022" s="28"/>
      <c r="G3022" s="28"/>
      <c r="H3022" s="28"/>
      <c r="I3022" s="28"/>
      <c r="J3022" s="28"/>
      <c r="K3022" s="28"/>
      <c r="L3022" s="28"/>
      <c r="M3022" s="28"/>
      <c r="N3022" s="28"/>
      <c r="O3022" s="28"/>
      <c r="P3022" s="28"/>
      <c r="Q3022" s="28"/>
      <c r="R3022" s="28"/>
      <c r="S3022" s="28"/>
    </row>
    <row r="3023" spans="1:19" x14ac:dyDescent="0.25">
      <c r="A3023" s="28"/>
      <c r="B3023" s="28"/>
      <c r="C3023" s="28"/>
      <c r="D3023" s="28"/>
      <c r="E3023" s="28"/>
      <c r="F3023" s="28"/>
      <c r="G3023" s="28"/>
      <c r="H3023" s="28"/>
      <c r="I3023" s="28"/>
      <c r="J3023" s="28"/>
      <c r="K3023" s="28"/>
      <c r="L3023" s="28"/>
      <c r="M3023" s="28"/>
      <c r="N3023" s="28"/>
      <c r="O3023" s="28"/>
      <c r="P3023" s="28"/>
      <c r="Q3023" s="28"/>
      <c r="R3023" s="28"/>
      <c r="S3023" s="28"/>
    </row>
    <row r="3024" spans="1:19" x14ac:dyDescent="0.25">
      <c r="A3024" s="28"/>
      <c r="B3024" s="28"/>
      <c r="C3024" s="28"/>
      <c r="D3024" s="28"/>
      <c r="E3024" s="28"/>
      <c r="F3024" s="28"/>
      <c r="G3024" s="28"/>
      <c r="H3024" s="28"/>
      <c r="I3024" s="28"/>
      <c r="J3024" s="28"/>
      <c r="K3024" s="28"/>
      <c r="L3024" s="28"/>
      <c r="M3024" s="28"/>
      <c r="N3024" s="28"/>
      <c r="O3024" s="28"/>
      <c r="P3024" s="28"/>
      <c r="Q3024" s="28"/>
      <c r="R3024" s="28"/>
      <c r="S3024" s="28"/>
    </row>
    <row r="3025" spans="1:19" x14ac:dyDescent="0.25">
      <c r="A3025" s="28"/>
      <c r="B3025" s="28"/>
      <c r="C3025" s="28"/>
      <c r="D3025" s="28"/>
      <c r="E3025" s="28"/>
      <c r="F3025" s="28"/>
      <c r="G3025" s="28"/>
      <c r="H3025" s="28"/>
      <c r="I3025" s="28"/>
      <c r="J3025" s="28"/>
      <c r="K3025" s="28"/>
      <c r="L3025" s="28"/>
      <c r="M3025" s="28"/>
      <c r="N3025" s="28"/>
      <c r="O3025" s="28"/>
      <c r="P3025" s="28"/>
      <c r="Q3025" s="28"/>
      <c r="R3025" s="28"/>
      <c r="S3025" s="28"/>
    </row>
    <row r="3026" spans="1:19" x14ac:dyDescent="0.25">
      <c r="A3026" s="28"/>
      <c r="B3026" s="28"/>
      <c r="C3026" s="28"/>
      <c r="D3026" s="28"/>
      <c r="E3026" s="28"/>
      <c r="F3026" s="28"/>
      <c r="G3026" s="28"/>
      <c r="H3026" s="28"/>
      <c r="I3026" s="28"/>
      <c r="J3026" s="28"/>
      <c r="K3026" s="28"/>
      <c r="L3026" s="28"/>
      <c r="M3026" s="28"/>
      <c r="N3026" s="28"/>
      <c r="O3026" s="28"/>
      <c r="P3026" s="28"/>
      <c r="Q3026" s="28"/>
      <c r="R3026" s="28"/>
      <c r="S3026" s="28"/>
    </row>
    <row r="3027" spans="1:19" x14ac:dyDescent="0.25">
      <c r="A3027" s="28"/>
      <c r="B3027" s="28"/>
      <c r="C3027" s="28"/>
      <c r="D3027" s="28"/>
      <c r="E3027" s="28"/>
      <c r="F3027" s="28"/>
      <c r="G3027" s="28"/>
      <c r="H3027" s="28"/>
      <c r="I3027" s="28"/>
      <c r="J3027" s="28"/>
      <c r="K3027" s="28"/>
      <c r="L3027" s="28"/>
      <c r="M3027" s="28"/>
      <c r="N3027" s="28"/>
      <c r="O3027" s="28"/>
      <c r="P3027" s="28"/>
      <c r="Q3027" s="28"/>
      <c r="R3027" s="28"/>
      <c r="S3027" s="28"/>
    </row>
    <row r="3028" spans="1:19" x14ac:dyDescent="0.25">
      <c r="A3028" s="28"/>
      <c r="B3028" s="28"/>
      <c r="C3028" s="28"/>
      <c r="D3028" s="28"/>
      <c r="E3028" s="28"/>
      <c r="F3028" s="28"/>
      <c r="G3028" s="28"/>
      <c r="H3028" s="28"/>
      <c r="I3028" s="28"/>
      <c r="J3028" s="28"/>
      <c r="K3028" s="28"/>
      <c r="L3028" s="28"/>
      <c r="M3028" s="28"/>
      <c r="N3028" s="28"/>
      <c r="O3028" s="28"/>
      <c r="P3028" s="28"/>
      <c r="Q3028" s="28"/>
      <c r="R3028" s="28"/>
      <c r="S3028" s="28"/>
    </row>
    <row r="3029" spans="1:19" x14ac:dyDescent="0.25">
      <c r="A3029" s="28"/>
      <c r="B3029" s="28"/>
      <c r="C3029" s="28"/>
      <c r="D3029" s="28"/>
      <c r="E3029" s="28"/>
      <c r="F3029" s="28"/>
      <c r="G3029" s="28"/>
      <c r="H3029" s="28"/>
      <c r="I3029" s="28"/>
      <c r="J3029" s="28"/>
      <c r="K3029" s="28"/>
      <c r="L3029" s="28"/>
      <c r="M3029" s="28"/>
      <c r="N3029" s="28"/>
      <c r="O3029" s="28"/>
      <c r="P3029" s="28"/>
      <c r="Q3029" s="28"/>
      <c r="R3029" s="28"/>
      <c r="S3029" s="28"/>
    </row>
    <row r="3030" spans="1:19" x14ac:dyDescent="0.25">
      <c r="A3030" s="28"/>
      <c r="B3030" s="28"/>
      <c r="C3030" s="28"/>
      <c r="D3030" s="28"/>
      <c r="E3030" s="28"/>
      <c r="F3030" s="28"/>
      <c r="G3030" s="28"/>
      <c r="H3030" s="28"/>
      <c r="I3030" s="28"/>
      <c r="J3030" s="28"/>
      <c r="K3030" s="28"/>
      <c r="L3030" s="28"/>
      <c r="M3030" s="28"/>
      <c r="N3030" s="28"/>
      <c r="O3030" s="28"/>
      <c r="P3030" s="28"/>
      <c r="Q3030" s="28"/>
      <c r="R3030" s="28"/>
      <c r="S3030" s="28"/>
    </row>
    <row r="3031" spans="1:19" x14ac:dyDescent="0.25">
      <c r="A3031" s="28"/>
      <c r="B3031" s="28"/>
      <c r="C3031" s="28"/>
      <c r="D3031" s="28"/>
      <c r="E3031" s="28"/>
      <c r="F3031" s="28"/>
      <c r="G3031" s="28"/>
      <c r="H3031" s="28"/>
      <c r="I3031" s="28"/>
      <c r="J3031" s="28"/>
      <c r="K3031" s="28"/>
      <c r="L3031" s="28"/>
      <c r="M3031" s="28"/>
      <c r="N3031" s="28"/>
      <c r="O3031" s="28"/>
      <c r="P3031" s="28"/>
      <c r="Q3031" s="28"/>
      <c r="R3031" s="28"/>
      <c r="S3031" s="28"/>
    </row>
    <row r="3032" spans="1:19" x14ac:dyDescent="0.25">
      <c r="A3032" s="28"/>
      <c r="B3032" s="28"/>
      <c r="C3032" s="28"/>
      <c r="D3032" s="28"/>
      <c r="E3032" s="28"/>
      <c r="F3032" s="28"/>
      <c r="G3032" s="28"/>
      <c r="H3032" s="28"/>
      <c r="I3032" s="28"/>
      <c r="J3032" s="28"/>
      <c r="K3032" s="28"/>
      <c r="L3032" s="28"/>
      <c r="M3032" s="28"/>
      <c r="N3032" s="28"/>
      <c r="O3032" s="28"/>
      <c r="P3032" s="28"/>
      <c r="Q3032" s="28"/>
      <c r="R3032" s="28"/>
      <c r="S3032" s="28"/>
    </row>
    <row r="3033" spans="1:19" x14ac:dyDescent="0.25">
      <c r="A3033" s="28"/>
      <c r="B3033" s="28"/>
      <c r="C3033" s="28"/>
      <c r="D3033" s="28"/>
      <c r="E3033" s="28"/>
      <c r="F3033" s="28"/>
      <c r="G3033" s="28"/>
      <c r="H3033" s="28"/>
      <c r="I3033" s="28"/>
      <c r="J3033" s="28"/>
      <c r="K3033" s="28"/>
      <c r="L3033" s="28"/>
      <c r="M3033" s="28"/>
      <c r="N3033" s="28"/>
      <c r="O3033" s="28"/>
      <c r="P3033" s="28"/>
      <c r="Q3033" s="28"/>
      <c r="R3033" s="28"/>
      <c r="S3033" s="28"/>
    </row>
    <row r="3034" spans="1:19" x14ac:dyDescent="0.25">
      <c r="A3034" s="28"/>
      <c r="B3034" s="28"/>
      <c r="C3034" s="28"/>
      <c r="D3034" s="28"/>
      <c r="E3034" s="28"/>
      <c r="F3034" s="28"/>
      <c r="G3034" s="28"/>
      <c r="H3034" s="28"/>
      <c r="I3034" s="28"/>
      <c r="J3034" s="28"/>
      <c r="K3034" s="28"/>
      <c r="L3034" s="28"/>
      <c r="M3034" s="28"/>
      <c r="N3034" s="28"/>
      <c r="O3034" s="28"/>
      <c r="P3034" s="28"/>
      <c r="Q3034" s="28"/>
      <c r="R3034" s="28"/>
      <c r="S3034" s="28"/>
    </row>
    <row r="3035" spans="1:19" x14ac:dyDescent="0.25">
      <c r="A3035" s="28"/>
      <c r="B3035" s="28"/>
      <c r="C3035" s="28"/>
      <c r="D3035" s="28"/>
      <c r="E3035" s="28"/>
      <c r="F3035" s="28"/>
      <c r="G3035" s="28"/>
      <c r="H3035" s="28"/>
      <c r="I3035" s="28"/>
      <c r="J3035" s="28"/>
      <c r="K3035" s="28"/>
      <c r="L3035" s="28"/>
      <c r="M3035" s="28"/>
      <c r="N3035" s="28"/>
      <c r="O3035" s="28"/>
      <c r="P3035" s="28"/>
      <c r="Q3035" s="28"/>
      <c r="R3035" s="28"/>
      <c r="S3035" s="28"/>
    </row>
    <row r="3036" spans="1:19" x14ac:dyDescent="0.25">
      <c r="A3036" s="28"/>
      <c r="B3036" s="28"/>
      <c r="C3036" s="28"/>
      <c r="D3036" s="28"/>
      <c r="E3036" s="28"/>
      <c r="F3036" s="28"/>
      <c r="G3036" s="28"/>
      <c r="H3036" s="28"/>
      <c r="I3036" s="28"/>
      <c r="J3036" s="28"/>
      <c r="K3036" s="28"/>
      <c r="L3036" s="28"/>
      <c r="M3036" s="28"/>
      <c r="N3036" s="28"/>
      <c r="O3036" s="28"/>
      <c r="P3036" s="28"/>
      <c r="Q3036" s="28"/>
      <c r="R3036" s="28"/>
      <c r="S3036" s="28"/>
    </row>
    <row r="3037" spans="1:19" x14ac:dyDescent="0.25">
      <c r="A3037" s="28"/>
      <c r="B3037" s="28"/>
      <c r="C3037" s="28"/>
      <c r="D3037" s="28"/>
      <c r="E3037" s="28"/>
      <c r="F3037" s="28"/>
      <c r="G3037" s="28"/>
      <c r="H3037" s="28"/>
      <c r="I3037" s="28"/>
      <c r="J3037" s="28"/>
      <c r="K3037" s="28"/>
      <c r="L3037" s="28"/>
      <c r="M3037" s="28"/>
      <c r="N3037" s="28"/>
      <c r="O3037" s="28"/>
      <c r="P3037" s="28"/>
      <c r="Q3037" s="28"/>
      <c r="R3037" s="28"/>
      <c r="S3037" s="28"/>
    </row>
    <row r="3038" spans="1:19" x14ac:dyDescent="0.25">
      <c r="A3038" s="28"/>
      <c r="B3038" s="28"/>
      <c r="C3038" s="28"/>
      <c r="D3038" s="28"/>
      <c r="E3038" s="28"/>
      <c r="F3038" s="28"/>
      <c r="G3038" s="28"/>
      <c r="H3038" s="28"/>
      <c r="I3038" s="28"/>
      <c r="J3038" s="28"/>
      <c r="K3038" s="28"/>
      <c r="L3038" s="28"/>
      <c r="M3038" s="28"/>
      <c r="N3038" s="28"/>
      <c r="O3038" s="28"/>
      <c r="P3038" s="28"/>
      <c r="Q3038" s="28"/>
      <c r="R3038" s="28"/>
      <c r="S3038" s="28"/>
    </row>
    <row r="3039" spans="1:19" x14ac:dyDescent="0.25">
      <c r="A3039" s="28"/>
      <c r="B3039" s="28"/>
      <c r="C3039" s="28"/>
      <c r="D3039" s="28"/>
      <c r="E3039" s="28"/>
      <c r="F3039" s="28"/>
      <c r="G3039" s="28"/>
      <c r="H3039" s="28"/>
      <c r="I3039" s="28"/>
      <c r="J3039" s="28"/>
      <c r="K3039" s="28"/>
      <c r="L3039" s="28"/>
      <c r="M3039" s="28"/>
      <c r="N3039" s="28"/>
      <c r="O3039" s="28"/>
      <c r="P3039" s="28"/>
      <c r="Q3039" s="28"/>
      <c r="R3039" s="28"/>
      <c r="S3039" s="28"/>
    </row>
    <row r="3040" spans="1:19" x14ac:dyDescent="0.25">
      <c r="A3040" s="28"/>
      <c r="B3040" s="28"/>
      <c r="C3040" s="28"/>
      <c r="D3040" s="28"/>
      <c r="E3040" s="28"/>
      <c r="F3040" s="28"/>
      <c r="G3040" s="28"/>
      <c r="H3040" s="28"/>
      <c r="I3040" s="28"/>
      <c r="J3040" s="28"/>
      <c r="K3040" s="28"/>
      <c r="L3040" s="28"/>
      <c r="M3040" s="28"/>
      <c r="N3040" s="28"/>
      <c r="O3040" s="28"/>
      <c r="P3040" s="28"/>
      <c r="Q3040" s="28"/>
      <c r="R3040" s="28"/>
      <c r="S3040" s="28"/>
    </row>
    <row r="3041" spans="1:19" x14ac:dyDescent="0.25">
      <c r="A3041" s="28"/>
      <c r="B3041" s="28"/>
      <c r="C3041" s="28"/>
      <c r="D3041" s="28"/>
      <c r="E3041" s="28"/>
      <c r="F3041" s="28"/>
      <c r="G3041" s="28"/>
      <c r="H3041" s="28"/>
      <c r="I3041" s="28"/>
      <c r="J3041" s="28"/>
      <c r="K3041" s="28"/>
      <c r="L3041" s="28"/>
      <c r="M3041" s="28"/>
      <c r="N3041" s="28"/>
      <c r="O3041" s="28"/>
      <c r="P3041" s="28"/>
      <c r="Q3041" s="28"/>
      <c r="R3041" s="28"/>
      <c r="S3041" s="28"/>
    </row>
    <row r="3042" spans="1:19" x14ac:dyDescent="0.25">
      <c r="A3042" s="28"/>
      <c r="B3042" s="28"/>
      <c r="C3042" s="28"/>
      <c r="D3042" s="28"/>
      <c r="E3042" s="28"/>
      <c r="F3042" s="28"/>
      <c r="G3042" s="28"/>
      <c r="H3042" s="28"/>
      <c r="I3042" s="28"/>
      <c r="J3042" s="28"/>
      <c r="K3042" s="28"/>
      <c r="L3042" s="28"/>
      <c r="M3042" s="28"/>
      <c r="N3042" s="28"/>
      <c r="O3042" s="28"/>
      <c r="P3042" s="28"/>
      <c r="Q3042" s="28"/>
      <c r="R3042" s="28"/>
      <c r="S3042" s="28"/>
    </row>
    <row r="3043" spans="1:19" x14ac:dyDescent="0.25">
      <c r="A3043" s="28"/>
      <c r="B3043" s="28"/>
      <c r="C3043" s="28"/>
      <c r="D3043" s="28"/>
      <c r="E3043" s="28"/>
      <c r="F3043" s="28"/>
      <c r="G3043" s="28"/>
      <c r="H3043" s="28"/>
      <c r="I3043" s="28"/>
      <c r="J3043" s="28"/>
      <c r="K3043" s="28"/>
      <c r="L3043" s="28"/>
      <c r="M3043" s="28"/>
      <c r="N3043" s="28"/>
      <c r="O3043" s="28"/>
      <c r="P3043" s="28"/>
      <c r="Q3043" s="28"/>
      <c r="R3043" s="28"/>
      <c r="S3043" s="28"/>
    </row>
    <row r="3044" spans="1:19" x14ac:dyDescent="0.25">
      <c r="A3044" s="28"/>
      <c r="B3044" s="28"/>
      <c r="C3044" s="28"/>
      <c r="D3044" s="28"/>
      <c r="E3044" s="28"/>
      <c r="F3044" s="28"/>
      <c r="G3044" s="28"/>
      <c r="H3044" s="28"/>
      <c r="I3044" s="28"/>
      <c r="J3044" s="28"/>
      <c r="K3044" s="28"/>
      <c r="L3044" s="28"/>
      <c r="M3044" s="28"/>
      <c r="N3044" s="28"/>
      <c r="O3044" s="28"/>
      <c r="P3044" s="28"/>
      <c r="Q3044" s="28"/>
      <c r="R3044" s="28"/>
      <c r="S3044" s="28"/>
    </row>
    <row r="3045" spans="1:19" x14ac:dyDescent="0.25">
      <c r="A3045" s="28"/>
      <c r="B3045" s="28"/>
      <c r="C3045" s="28"/>
      <c r="D3045" s="28"/>
      <c r="E3045" s="28"/>
      <c r="F3045" s="28"/>
      <c r="G3045" s="28"/>
      <c r="H3045" s="28"/>
      <c r="I3045" s="28"/>
      <c r="J3045" s="28"/>
      <c r="K3045" s="28"/>
      <c r="L3045" s="28"/>
      <c r="M3045" s="28"/>
      <c r="N3045" s="28"/>
      <c r="O3045" s="28"/>
      <c r="P3045" s="28"/>
      <c r="Q3045" s="28"/>
      <c r="R3045" s="28"/>
      <c r="S3045" s="28"/>
    </row>
    <row r="3046" spans="1:19" x14ac:dyDescent="0.25">
      <c r="A3046" s="28"/>
      <c r="B3046" s="28"/>
      <c r="C3046" s="28"/>
      <c r="D3046" s="28"/>
      <c r="E3046" s="28"/>
      <c r="F3046" s="28"/>
      <c r="G3046" s="28"/>
      <c r="H3046" s="28"/>
      <c r="I3046" s="28"/>
      <c r="J3046" s="28"/>
      <c r="K3046" s="28"/>
      <c r="L3046" s="28"/>
      <c r="M3046" s="28"/>
      <c r="N3046" s="28"/>
      <c r="O3046" s="28"/>
      <c r="P3046" s="28"/>
      <c r="Q3046" s="28"/>
      <c r="R3046" s="28"/>
      <c r="S3046" s="28"/>
    </row>
    <row r="3047" spans="1:19" x14ac:dyDescent="0.25">
      <c r="A3047" s="28"/>
      <c r="B3047" s="28"/>
      <c r="C3047" s="28"/>
      <c r="D3047" s="28"/>
      <c r="E3047" s="28"/>
      <c r="F3047" s="28"/>
      <c r="G3047" s="28"/>
      <c r="H3047" s="28"/>
      <c r="I3047" s="28"/>
      <c r="J3047" s="28"/>
      <c r="K3047" s="28"/>
      <c r="L3047" s="28"/>
      <c r="M3047" s="28"/>
      <c r="N3047" s="28"/>
      <c r="O3047" s="28"/>
      <c r="P3047" s="28"/>
      <c r="Q3047" s="28"/>
      <c r="R3047" s="28"/>
      <c r="S3047" s="28"/>
    </row>
    <row r="3048" spans="1:19" x14ac:dyDescent="0.25">
      <c r="A3048" s="28"/>
      <c r="B3048" s="28"/>
      <c r="C3048" s="28"/>
      <c r="D3048" s="28"/>
      <c r="E3048" s="28"/>
      <c r="F3048" s="28"/>
      <c r="G3048" s="28"/>
      <c r="H3048" s="28"/>
      <c r="I3048" s="28"/>
      <c r="J3048" s="28"/>
      <c r="K3048" s="28"/>
      <c r="L3048" s="28"/>
      <c r="M3048" s="28"/>
      <c r="N3048" s="28"/>
      <c r="O3048" s="28"/>
      <c r="P3048" s="28"/>
      <c r="Q3048" s="28"/>
      <c r="R3048" s="28"/>
      <c r="S3048" s="28"/>
    </row>
    <row r="3049" spans="1:19" x14ac:dyDescent="0.25">
      <c r="A3049" s="28"/>
      <c r="B3049" s="28"/>
      <c r="C3049" s="28"/>
      <c r="D3049" s="28"/>
      <c r="E3049" s="28"/>
      <c r="F3049" s="28"/>
      <c r="G3049" s="28"/>
      <c r="H3049" s="28"/>
      <c r="I3049" s="28"/>
      <c r="J3049" s="28"/>
      <c r="K3049" s="28"/>
      <c r="L3049" s="28"/>
      <c r="M3049" s="28"/>
      <c r="N3049" s="28"/>
      <c r="O3049" s="28"/>
      <c r="P3049" s="28"/>
      <c r="Q3049" s="28"/>
      <c r="R3049" s="28"/>
      <c r="S3049" s="28"/>
    </row>
    <row r="3050" spans="1:19" x14ac:dyDescent="0.25">
      <c r="A3050" s="28"/>
      <c r="B3050" s="28"/>
      <c r="C3050" s="28"/>
      <c r="D3050" s="28"/>
      <c r="E3050" s="28"/>
      <c r="F3050" s="28"/>
      <c r="G3050" s="28"/>
      <c r="H3050" s="28"/>
      <c r="I3050" s="28"/>
      <c r="J3050" s="28"/>
      <c r="K3050" s="28"/>
      <c r="L3050" s="28"/>
      <c r="M3050" s="28"/>
      <c r="N3050" s="28"/>
      <c r="O3050" s="28"/>
      <c r="P3050" s="28"/>
      <c r="Q3050" s="28"/>
      <c r="R3050" s="28"/>
      <c r="S3050" s="28"/>
    </row>
    <row r="3051" spans="1:19" x14ac:dyDescent="0.25">
      <c r="A3051" s="28"/>
      <c r="B3051" s="28"/>
      <c r="C3051" s="28"/>
      <c r="D3051" s="28"/>
      <c r="E3051" s="28"/>
      <c r="F3051" s="28"/>
      <c r="G3051" s="28"/>
      <c r="H3051" s="28"/>
      <c r="I3051" s="28"/>
      <c r="J3051" s="28"/>
      <c r="K3051" s="28"/>
      <c r="L3051" s="28"/>
      <c r="M3051" s="28"/>
      <c r="N3051" s="28"/>
      <c r="O3051" s="28"/>
      <c r="P3051" s="28"/>
      <c r="Q3051" s="28"/>
      <c r="R3051" s="28"/>
      <c r="S3051" s="28"/>
    </row>
    <row r="3052" spans="1:19" x14ac:dyDescent="0.25">
      <c r="A3052" s="28"/>
      <c r="B3052" s="28"/>
      <c r="C3052" s="28"/>
      <c r="D3052" s="28"/>
      <c r="E3052" s="28"/>
      <c r="F3052" s="28"/>
      <c r="G3052" s="28"/>
      <c r="H3052" s="28"/>
      <c r="I3052" s="28"/>
      <c r="J3052" s="28"/>
      <c r="K3052" s="28"/>
      <c r="L3052" s="28"/>
      <c r="M3052" s="28"/>
      <c r="N3052" s="28"/>
      <c r="O3052" s="28"/>
      <c r="P3052" s="28"/>
      <c r="Q3052" s="28"/>
      <c r="R3052" s="28"/>
      <c r="S3052" s="28"/>
    </row>
    <row r="3053" spans="1:19" x14ac:dyDescent="0.25">
      <c r="A3053" s="28"/>
      <c r="B3053" s="28"/>
      <c r="C3053" s="28"/>
      <c r="D3053" s="28"/>
      <c r="E3053" s="28"/>
      <c r="F3053" s="28"/>
      <c r="G3053" s="28"/>
      <c r="H3053" s="28"/>
      <c r="I3053" s="28"/>
      <c r="J3053" s="28"/>
      <c r="K3053" s="28"/>
      <c r="L3053" s="28"/>
      <c r="M3053" s="28"/>
      <c r="N3053" s="28"/>
      <c r="O3053" s="28"/>
      <c r="P3053" s="28"/>
      <c r="Q3053" s="28"/>
      <c r="R3053" s="28"/>
      <c r="S3053" s="28"/>
    </row>
    <row r="3054" spans="1:19" x14ac:dyDescent="0.25">
      <c r="A3054" s="28"/>
      <c r="B3054" s="28"/>
      <c r="C3054" s="28"/>
      <c r="D3054" s="28"/>
      <c r="E3054" s="28"/>
      <c r="F3054" s="28"/>
      <c r="G3054" s="28"/>
      <c r="H3054" s="28"/>
      <c r="I3054" s="28"/>
      <c r="J3054" s="28"/>
      <c r="K3054" s="28"/>
      <c r="L3054" s="28"/>
      <c r="M3054" s="28"/>
      <c r="N3054" s="28"/>
      <c r="O3054" s="28"/>
      <c r="P3054" s="28"/>
      <c r="Q3054" s="28"/>
      <c r="R3054" s="28"/>
      <c r="S3054" s="28"/>
    </row>
    <row r="3055" spans="1:19" x14ac:dyDescent="0.25">
      <c r="A3055" s="28"/>
      <c r="B3055" s="28"/>
      <c r="C3055" s="28"/>
      <c r="D3055" s="28"/>
      <c r="E3055" s="28"/>
      <c r="F3055" s="28"/>
      <c r="G3055" s="28"/>
      <c r="H3055" s="28"/>
      <c r="I3055" s="28"/>
      <c r="J3055" s="28"/>
      <c r="K3055" s="28"/>
      <c r="L3055" s="28"/>
      <c r="M3055" s="28"/>
      <c r="N3055" s="28"/>
      <c r="O3055" s="28"/>
      <c r="P3055" s="28"/>
      <c r="Q3055" s="28"/>
      <c r="R3055" s="28"/>
      <c r="S3055" s="28"/>
    </row>
    <row r="3056" spans="1:19" x14ac:dyDescent="0.25">
      <c r="A3056" s="28"/>
      <c r="B3056" s="28"/>
      <c r="C3056" s="28"/>
      <c r="D3056" s="28"/>
      <c r="E3056" s="28"/>
      <c r="F3056" s="28"/>
      <c r="G3056" s="28"/>
      <c r="H3056" s="28"/>
      <c r="I3056" s="28"/>
      <c r="J3056" s="28"/>
      <c r="K3056" s="28"/>
      <c r="L3056" s="28"/>
      <c r="M3056" s="28"/>
      <c r="N3056" s="28"/>
      <c r="O3056" s="28"/>
      <c r="P3056" s="28"/>
      <c r="Q3056" s="28"/>
      <c r="R3056" s="28"/>
      <c r="S3056" s="28"/>
    </row>
    <row r="3057" spans="1:19" x14ac:dyDescent="0.25">
      <c r="A3057" s="28"/>
      <c r="B3057" s="28"/>
      <c r="C3057" s="28"/>
      <c r="D3057" s="28"/>
      <c r="E3057" s="28"/>
      <c r="F3057" s="28"/>
      <c r="G3057" s="28"/>
      <c r="H3057" s="28"/>
      <c r="I3057" s="28"/>
      <c r="J3057" s="28"/>
      <c r="K3057" s="28"/>
      <c r="L3057" s="28"/>
      <c r="M3057" s="28"/>
      <c r="N3057" s="28"/>
      <c r="O3057" s="28"/>
      <c r="P3057" s="28"/>
      <c r="Q3057" s="28"/>
      <c r="R3057" s="28"/>
      <c r="S3057" s="28"/>
    </row>
    <row r="3058" spans="1:19" x14ac:dyDescent="0.25">
      <c r="A3058" s="28"/>
      <c r="B3058" s="28"/>
      <c r="C3058" s="28"/>
      <c r="D3058" s="28"/>
      <c r="E3058" s="28"/>
      <c r="F3058" s="28"/>
      <c r="G3058" s="28"/>
      <c r="H3058" s="28"/>
      <c r="I3058" s="28"/>
      <c r="J3058" s="28"/>
      <c r="K3058" s="28"/>
      <c r="L3058" s="28"/>
      <c r="M3058" s="28"/>
      <c r="N3058" s="28"/>
      <c r="O3058" s="28"/>
      <c r="P3058" s="28"/>
      <c r="Q3058" s="28"/>
      <c r="R3058" s="28"/>
      <c r="S3058" s="28"/>
    </row>
    <row r="3059" spans="1:19" x14ac:dyDescent="0.25">
      <c r="A3059" s="28"/>
      <c r="B3059" s="28"/>
      <c r="C3059" s="28"/>
      <c r="D3059" s="28"/>
      <c r="E3059" s="28"/>
      <c r="F3059" s="28"/>
      <c r="G3059" s="28"/>
      <c r="H3059" s="28"/>
      <c r="I3059" s="28"/>
      <c r="J3059" s="28"/>
      <c r="K3059" s="28"/>
      <c r="L3059" s="28"/>
      <c r="M3059" s="28"/>
      <c r="N3059" s="28"/>
      <c r="O3059" s="28"/>
      <c r="P3059" s="28"/>
      <c r="Q3059" s="28"/>
      <c r="R3059" s="28"/>
      <c r="S3059" s="28"/>
    </row>
    <row r="3060" spans="1:19" x14ac:dyDescent="0.25">
      <c r="A3060" s="28"/>
      <c r="B3060" s="28"/>
      <c r="C3060" s="28"/>
      <c r="D3060" s="28"/>
      <c r="E3060" s="28"/>
      <c r="F3060" s="28"/>
      <c r="G3060" s="28"/>
      <c r="H3060" s="28"/>
      <c r="I3060" s="28"/>
      <c r="J3060" s="28"/>
      <c r="K3060" s="28"/>
      <c r="L3060" s="28"/>
      <c r="M3060" s="28"/>
      <c r="N3060" s="28"/>
      <c r="O3060" s="28"/>
      <c r="P3060" s="28"/>
      <c r="Q3060" s="28"/>
      <c r="R3060" s="28"/>
      <c r="S3060" s="28"/>
    </row>
    <row r="3061" spans="1:19" x14ac:dyDescent="0.25">
      <c r="A3061" s="28"/>
      <c r="B3061" s="28"/>
      <c r="C3061" s="28"/>
      <c r="D3061" s="28"/>
      <c r="E3061" s="28"/>
      <c r="F3061" s="28"/>
      <c r="G3061" s="28"/>
      <c r="H3061" s="28"/>
      <c r="I3061" s="28"/>
      <c r="J3061" s="28"/>
      <c r="K3061" s="28"/>
      <c r="L3061" s="28"/>
      <c r="M3061" s="28"/>
      <c r="N3061" s="28"/>
      <c r="O3061" s="28"/>
      <c r="P3061" s="28"/>
      <c r="Q3061" s="28"/>
      <c r="R3061" s="28"/>
      <c r="S3061" s="28"/>
    </row>
    <row r="3062" spans="1:19" x14ac:dyDescent="0.25">
      <c r="A3062" s="28"/>
      <c r="B3062" s="28"/>
      <c r="C3062" s="28"/>
      <c r="D3062" s="28"/>
      <c r="E3062" s="28"/>
      <c r="F3062" s="28"/>
      <c r="G3062" s="28"/>
      <c r="H3062" s="28"/>
      <c r="I3062" s="28"/>
      <c r="J3062" s="28"/>
      <c r="K3062" s="28"/>
      <c r="L3062" s="28"/>
      <c r="M3062" s="28"/>
      <c r="N3062" s="28"/>
      <c r="O3062" s="28"/>
      <c r="P3062" s="28"/>
      <c r="Q3062" s="28"/>
      <c r="R3062" s="28"/>
      <c r="S3062" s="28"/>
    </row>
    <row r="3063" spans="1:19" x14ac:dyDescent="0.25">
      <c r="A3063" s="28"/>
      <c r="B3063" s="28"/>
      <c r="C3063" s="28"/>
      <c r="D3063" s="28"/>
      <c r="E3063" s="28"/>
      <c r="F3063" s="28"/>
      <c r="G3063" s="28"/>
      <c r="H3063" s="28"/>
      <c r="I3063" s="28"/>
      <c r="J3063" s="28"/>
      <c r="K3063" s="28"/>
      <c r="L3063" s="28"/>
      <c r="M3063" s="28"/>
      <c r="N3063" s="28"/>
      <c r="O3063" s="28"/>
      <c r="P3063" s="28"/>
      <c r="Q3063" s="28"/>
      <c r="R3063" s="28"/>
      <c r="S3063" s="28"/>
    </row>
    <row r="3064" spans="1:19" x14ac:dyDescent="0.25">
      <c r="A3064" s="28"/>
      <c r="B3064" s="28"/>
      <c r="C3064" s="28"/>
      <c r="D3064" s="28"/>
      <c r="E3064" s="28"/>
      <c r="F3064" s="28"/>
      <c r="G3064" s="28"/>
      <c r="H3064" s="28"/>
      <c r="I3064" s="28"/>
      <c r="J3064" s="28"/>
      <c r="K3064" s="28"/>
      <c r="L3064" s="28"/>
      <c r="M3064" s="28"/>
      <c r="N3064" s="28"/>
      <c r="O3064" s="28"/>
      <c r="P3064" s="28"/>
      <c r="Q3064" s="28"/>
      <c r="R3064" s="28"/>
      <c r="S3064" s="28"/>
    </row>
    <row r="3065" spans="1:19" x14ac:dyDescent="0.25">
      <c r="A3065" s="28"/>
      <c r="B3065" s="28"/>
      <c r="C3065" s="28"/>
      <c r="D3065" s="28"/>
      <c r="E3065" s="28"/>
      <c r="F3065" s="28"/>
      <c r="G3065" s="28"/>
      <c r="H3065" s="28"/>
      <c r="I3065" s="28"/>
      <c r="J3065" s="28"/>
      <c r="K3065" s="28"/>
      <c r="L3065" s="28"/>
      <c r="M3065" s="28"/>
      <c r="N3065" s="28"/>
      <c r="O3065" s="28"/>
      <c r="P3065" s="28"/>
      <c r="Q3065" s="28"/>
      <c r="R3065" s="28"/>
      <c r="S3065" s="28"/>
    </row>
    <row r="3066" spans="1:19" x14ac:dyDescent="0.25">
      <c r="A3066" s="28"/>
      <c r="B3066" s="28"/>
      <c r="C3066" s="28"/>
      <c r="D3066" s="28"/>
      <c r="E3066" s="28"/>
      <c r="F3066" s="28"/>
      <c r="G3066" s="28"/>
      <c r="H3066" s="28"/>
      <c r="I3066" s="28"/>
      <c r="J3066" s="28"/>
      <c r="K3066" s="28"/>
      <c r="L3066" s="28"/>
      <c r="M3066" s="28"/>
      <c r="N3066" s="28"/>
      <c r="O3066" s="28"/>
      <c r="P3066" s="28"/>
      <c r="Q3066" s="28"/>
      <c r="R3066" s="28"/>
      <c r="S3066" s="28"/>
    </row>
    <row r="3067" spans="1:19" x14ac:dyDescent="0.25">
      <c r="A3067" s="28"/>
      <c r="B3067" s="28"/>
      <c r="C3067" s="28"/>
      <c r="D3067" s="28"/>
      <c r="E3067" s="28"/>
      <c r="F3067" s="28"/>
      <c r="G3067" s="28"/>
      <c r="H3067" s="28"/>
      <c r="I3067" s="28"/>
      <c r="J3067" s="28"/>
      <c r="K3067" s="28"/>
      <c r="L3067" s="28"/>
      <c r="M3067" s="28"/>
      <c r="N3067" s="28"/>
      <c r="O3067" s="28"/>
      <c r="P3067" s="28"/>
      <c r="Q3067" s="28"/>
      <c r="R3067" s="28"/>
      <c r="S3067" s="28"/>
    </row>
    <row r="3068" spans="1:19" x14ac:dyDescent="0.25">
      <c r="A3068" s="28"/>
      <c r="B3068" s="28"/>
      <c r="C3068" s="28"/>
      <c r="D3068" s="28"/>
      <c r="E3068" s="28"/>
      <c r="F3068" s="28"/>
      <c r="G3068" s="28"/>
      <c r="H3068" s="28"/>
      <c r="I3068" s="28"/>
      <c r="J3068" s="28"/>
      <c r="K3068" s="28"/>
      <c r="L3068" s="28"/>
      <c r="M3068" s="28"/>
      <c r="N3068" s="28"/>
      <c r="O3068" s="28"/>
      <c r="P3068" s="28"/>
      <c r="Q3068" s="28"/>
      <c r="R3068" s="28"/>
      <c r="S3068" s="28"/>
    </row>
    <row r="3069" spans="1:19" x14ac:dyDescent="0.25">
      <c r="A3069" s="28"/>
      <c r="B3069" s="28"/>
      <c r="C3069" s="28"/>
      <c r="D3069" s="28"/>
      <c r="E3069" s="28"/>
      <c r="F3069" s="28"/>
      <c r="G3069" s="28"/>
      <c r="H3069" s="28"/>
      <c r="I3069" s="28"/>
      <c r="J3069" s="28"/>
      <c r="K3069" s="28"/>
      <c r="L3069" s="28"/>
      <c r="M3069" s="28"/>
      <c r="N3069" s="28"/>
      <c r="O3069" s="28"/>
      <c r="P3069" s="28"/>
      <c r="Q3069" s="28"/>
      <c r="R3069" s="28"/>
      <c r="S3069" s="28"/>
    </row>
    <row r="3070" spans="1:19" x14ac:dyDescent="0.25">
      <c r="A3070" s="28"/>
      <c r="B3070" s="28"/>
      <c r="C3070" s="28"/>
      <c r="D3070" s="28"/>
      <c r="E3070" s="28"/>
      <c r="F3070" s="28"/>
      <c r="G3070" s="28"/>
      <c r="H3070" s="28"/>
      <c r="I3070" s="28"/>
      <c r="J3070" s="28"/>
      <c r="K3070" s="28"/>
      <c r="L3070" s="28"/>
      <c r="M3070" s="28"/>
      <c r="N3070" s="28"/>
      <c r="O3070" s="28"/>
      <c r="P3070" s="28"/>
      <c r="Q3070" s="28"/>
      <c r="R3070" s="28"/>
      <c r="S3070" s="28"/>
    </row>
    <row r="3071" spans="1:19" x14ac:dyDescent="0.25">
      <c r="A3071" s="28"/>
      <c r="B3071" s="28"/>
      <c r="C3071" s="28"/>
      <c r="D3071" s="28"/>
      <c r="E3071" s="28"/>
      <c r="F3071" s="28"/>
      <c r="G3071" s="28"/>
      <c r="H3071" s="28"/>
      <c r="I3071" s="28"/>
      <c r="J3071" s="28"/>
      <c r="K3071" s="28"/>
      <c r="L3071" s="28"/>
      <c r="M3071" s="28"/>
      <c r="N3071" s="28"/>
      <c r="O3071" s="28"/>
      <c r="P3071" s="28"/>
      <c r="Q3071" s="28"/>
      <c r="R3071" s="28"/>
      <c r="S3071" s="28"/>
    </row>
    <row r="3072" spans="1:19" x14ac:dyDescent="0.25">
      <c r="A3072" s="28"/>
      <c r="B3072" s="28"/>
      <c r="C3072" s="28"/>
      <c r="D3072" s="28"/>
      <c r="E3072" s="28"/>
      <c r="F3072" s="28"/>
      <c r="G3072" s="28"/>
      <c r="H3072" s="28"/>
      <c r="I3072" s="28"/>
      <c r="J3072" s="28"/>
      <c r="K3072" s="28"/>
      <c r="L3072" s="28"/>
      <c r="M3072" s="28"/>
      <c r="N3072" s="28"/>
      <c r="O3072" s="28"/>
      <c r="P3072" s="28"/>
      <c r="Q3072" s="28"/>
      <c r="R3072" s="28"/>
      <c r="S3072" s="28"/>
    </row>
    <row r="3073" spans="1:19" x14ac:dyDescent="0.25">
      <c r="A3073" s="28"/>
      <c r="B3073" s="28"/>
      <c r="C3073" s="28"/>
      <c r="D3073" s="28"/>
      <c r="E3073" s="28"/>
      <c r="F3073" s="28"/>
      <c r="G3073" s="28"/>
      <c r="H3073" s="28"/>
      <c r="I3073" s="28"/>
      <c r="J3073" s="28"/>
      <c r="K3073" s="28"/>
      <c r="L3073" s="28"/>
      <c r="M3073" s="28"/>
      <c r="N3073" s="28"/>
      <c r="O3073" s="28"/>
      <c r="P3073" s="28"/>
      <c r="Q3073" s="28"/>
      <c r="R3073" s="28"/>
      <c r="S3073" s="28"/>
    </row>
    <row r="3074" spans="1:19" x14ac:dyDescent="0.25">
      <c r="A3074" s="28"/>
      <c r="B3074" s="28"/>
      <c r="C3074" s="28"/>
      <c r="D3074" s="28"/>
      <c r="E3074" s="28"/>
      <c r="F3074" s="28"/>
      <c r="G3074" s="28"/>
      <c r="H3074" s="28"/>
      <c r="I3074" s="28"/>
      <c r="J3074" s="28"/>
      <c r="K3074" s="28"/>
      <c r="L3074" s="28"/>
      <c r="M3074" s="28"/>
      <c r="N3074" s="28"/>
      <c r="O3074" s="28"/>
      <c r="P3074" s="28"/>
      <c r="Q3074" s="28"/>
      <c r="R3074" s="28"/>
      <c r="S3074" s="28"/>
    </row>
    <row r="3075" spans="1:19" x14ac:dyDescent="0.25">
      <c r="A3075" s="28"/>
      <c r="B3075" s="28"/>
      <c r="C3075" s="28"/>
      <c r="D3075" s="28"/>
      <c r="E3075" s="28"/>
      <c r="F3075" s="28"/>
      <c r="G3075" s="28"/>
      <c r="H3075" s="28"/>
      <c r="I3075" s="28"/>
      <c r="J3075" s="28"/>
      <c r="K3075" s="28"/>
      <c r="L3075" s="28"/>
      <c r="M3075" s="28"/>
      <c r="N3075" s="28"/>
      <c r="O3075" s="28"/>
      <c r="P3075" s="28"/>
      <c r="Q3075" s="28"/>
      <c r="R3075" s="28"/>
      <c r="S3075" s="28"/>
    </row>
    <row r="3076" spans="1:19" x14ac:dyDescent="0.25">
      <c r="A3076" s="28"/>
      <c r="B3076" s="28"/>
      <c r="C3076" s="28"/>
      <c r="D3076" s="28"/>
      <c r="E3076" s="28"/>
      <c r="F3076" s="28"/>
      <c r="G3076" s="28"/>
      <c r="H3076" s="28"/>
      <c r="I3076" s="28"/>
      <c r="J3076" s="28"/>
      <c r="K3076" s="28"/>
      <c r="L3076" s="28"/>
      <c r="M3076" s="28"/>
      <c r="N3076" s="28"/>
      <c r="O3076" s="28"/>
      <c r="P3076" s="28"/>
      <c r="Q3076" s="28"/>
      <c r="R3076" s="28"/>
      <c r="S3076" s="28"/>
    </row>
    <row r="3077" spans="1:19" x14ac:dyDescent="0.25">
      <c r="A3077" s="28"/>
      <c r="B3077" s="28"/>
      <c r="C3077" s="28"/>
      <c r="D3077" s="28"/>
      <c r="E3077" s="28"/>
      <c r="F3077" s="28"/>
      <c r="G3077" s="28"/>
      <c r="H3077" s="28"/>
      <c r="I3077" s="28"/>
      <c r="J3077" s="28"/>
      <c r="K3077" s="28"/>
      <c r="L3077" s="28"/>
      <c r="M3077" s="28"/>
      <c r="N3077" s="28"/>
      <c r="O3077" s="28"/>
      <c r="P3077" s="28"/>
      <c r="Q3077" s="28"/>
      <c r="R3077" s="28"/>
      <c r="S3077" s="28"/>
    </row>
    <row r="3078" spans="1:19" x14ac:dyDescent="0.25">
      <c r="A3078" s="28"/>
      <c r="B3078" s="28"/>
      <c r="C3078" s="28"/>
      <c r="D3078" s="28"/>
      <c r="E3078" s="28"/>
      <c r="F3078" s="28"/>
      <c r="G3078" s="28"/>
      <c r="H3078" s="28"/>
      <c r="I3078" s="28"/>
      <c r="J3078" s="28"/>
      <c r="K3078" s="28"/>
      <c r="L3078" s="28"/>
      <c r="M3078" s="28"/>
      <c r="N3078" s="28"/>
      <c r="O3078" s="28"/>
      <c r="P3078" s="28"/>
      <c r="Q3078" s="28"/>
      <c r="R3078" s="28"/>
      <c r="S3078" s="28"/>
    </row>
    <row r="3079" spans="1:19" x14ac:dyDescent="0.25">
      <c r="A3079" s="28"/>
      <c r="B3079" s="28"/>
      <c r="C3079" s="28"/>
      <c r="D3079" s="28"/>
      <c r="E3079" s="28"/>
      <c r="F3079" s="28"/>
      <c r="G3079" s="28"/>
      <c r="H3079" s="28"/>
      <c r="I3079" s="28"/>
      <c r="J3079" s="28"/>
      <c r="K3079" s="28"/>
      <c r="L3079" s="28"/>
      <c r="M3079" s="28"/>
      <c r="N3079" s="28"/>
      <c r="O3079" s="28"/>
      <c r="P3079" s="28"/>
      <c r="Q3079" s="28"/>
      <c r="R3079" s="28"/>
      <c r="S3079" s="28"/>
    </row>
    <row r="3080" spans="1:19" x14ac:dyDescent="0.25">
      <c r="A3080" s="28"/>
      <c r="B3080" s="28"/>
      <c r="C3080" s="28"/>
      <c r="D3080" s="28"/>
      <c r="E3080" s="28"/>
      <c r="F3080" s="28"/>
      <c r="G3080" s="28"/>
      <c r="H3080" s="28"/>
      <c r="I3080" s="28"/>
      <c r="J3080" s="28"/>
      <c r="K3080" s="28"/>
      <c r="L3080" s="28"/>
      <c r="M3080" s="28"/>
      <c r="N3080" s="28"/>
      <c r="O3080" s="28"/>
      <c r="P3080" s="28"/>
      <c r="Q3080" s="28"/>
      <c r="R3080" s="28"/>
      <c r="S3080" s="28"/>
    </row>
    <row r="3081" spans="1:19" x14ac:dyDescent="0.25">
      <c r="A3081" s="28"/>
      <c r="B3081" s="28"/>
      <c r="C3081" s="28"/>
      <c r="D3081" s="28"/>
      <c r="E3081" s="28"/>
      <c r="F3081" s="28"/>
      <c r="G3081" s="28"/>
      <c r="H3081" s="28"/>
      <c r="I3081" s="28"/>
      <c r="J3081" s="28"/>
      <c r="K3081" s="28"/>
      <c r="L3081" s="28"/>
      <c r="M3081" s="28"/>
      <c r="N3081" s="28"/>
      <c r="O3081" s="28"/>
      <c r="P3081" s="28"/>
      <c r="Q3081" s="28"/>
      <c r="R3081" s="28"/>
      <c r="S3081" s="28"/>
    </row>
    <row r="3082" spans="1:19" x14ac:dyDescent="0.25">
      <c r="A3082" s="28"/>
      <c r="B3082" s="28"/>
      <c r="C3082" s="28"/>
      <c r="D3082" s="28"/>
      <c r="E3082" s="28"/>
      <c r="F3082" s="28"/>
      <c r="G3082" s="28"/>
      <c r="H3082" s="28"/>
      <c r="I3082" s="28"/>
      <c r="J3082" s="28"/>
      <c r="K3082" s="28"/>
      <c r="L3082" s="28"/>
      <c r="M3082" s="28"/>
      <c r="N3082" s="28"/>
      <c r="O3082" s="28"/>
      <c r="P3082" s="28"/>
      <c r="Q3082" s="28"/>
      <c r="R3082" s="28"/>
      <c r="S3082" s="28"/>
    </row>
    <row r="3083" spans="1:19" x14ac:dyDescent="0.25">
      <c r="A3083" s="28"/>
      <c r="B3083" s="28"/>
      <c r="C3083" s="28"/>
      <c r="D3083" s="28"/>
      <c r="E3083" s="28"/>
      <c r="F3083" s="28"/>
      <c r="G3083" s="28"/>
      <c r="H3083" s="28"/>
      <c r="I3083" s="28"/>
      <c r="J3083" s="28"/>
      <c r="K3083" s="28"/>
      <c r="L3083" s="28"/>
      <c r="M3083" s="28"/>
      <c r="N3083" s="28"/>
      <c r="O3083" s="28"/>
      <c r="P3083" s="28"/>
      <c r="Q3083" s="28"/>
      <c r="R3083" s="28"/>
      <c r="S3083" s="28"/>
    </row>
    <row r="3084" spans="1:19" x14ac:dyDescent="0.25">
      <c r="A3084" s="28"/>
      <c r="B3084" s="28"/>
      <c r="C3084" s="28"/>
      <c r="D3084" s="28"/>
      <c r="E3084" s="28"/>
      <c r="F3084" s="28"/>
      <c r="G3084" s="28"/>
      <c r="H3084" s="28"/>
      <c r="I3084" s="28"/>
      <c r="J3084" s="28"/>
      <c r="K3084" s="28"/>
      <c r="L3084" s="28"/>
      <c r="M3084" s="28"/>
      <c r="N3084" s="28"/>
      <c r="O3084" s="28"/>
      <c r="P3084" s="28"/>
      <c r="Q3084" s="28"/>
      <c r="R3084" s="28"/>
      <c r="S3084" s="28"/>
    </row>
    <row r="3085" spans="1:19" x14ac:dyDescent="0.25">
      <c r="A3085" s="28"/>
      <c r="B3085" s="28"/>
      <c r="C3085" s="28"/>
      <c r="D3085" s="28"/>
      <c r="E3085" s="28"/>
      <c r="F3085" s="28"/>
      <c r="G3085" s="28"/>
      <c r="H3085" s="28"/>
      <c r="I3085" s="28"/>
      <c r="J3085" s="28"/>
      <c r="K3085" s="28"/>
      <c r="L3085" s="28"/>
      <c r="M3085" s="28"/>
      <c r="N3085" s="28"/>
      <c r="O3085" s="28"/>
      <c r="P3085" s="28"/>
      <c r="Q3085" s="28"/>
      <c r="R3085" s="28"/>
      <c r="S3085" s="28"/>
    </row>
    <row r="3086" spans="1:19" x14ac:dyDescent="0.25">
      <c r="A3086" s="28"/>
      <c r="B3086" s="28"/>
      <c r="C3086" s="28"/>
      <c r="D3086" s="28"/>
      <c r="E3086" s="28"/>
      <c r="F3086" s="28"/>
      <c r="G3086" s="28"/>
      <c r="H3086" s="28"/>
      <c r="I3086" s="28"/>
      <c r="J3086" s="28"/>
      <c r="K3086" s="28"/>
      <c r="L3086" s="28"/>
      <c r="M3086" s="28"/>
      <c r="N3086" s="28"/>
      <c r="O3086" s="28"/>
      <c r="P3086" s="28"/>
      <c r="Q3086" s="28"/>
      <c r="R3086" s="28"/>
      <c r="S3086" s="28"/>
    </row>
    <row r="3087" spans="1:19" x14ac:dyDescent="0.25">
      <c r="A3087" s="28"/>
      <c r="B3087" s="28"/>
      <c r="C3087" s="28"/>
      <c r="D3087" s="28"/>
      <c r="E3087" s="28"/>
      <c r="F3087" s="28"/>
      <c r="G3087" s="28"/>
      <c r="H3087" s="28"/>
      <c r="I3087" s="28"/>
      <c r="J3087" s="28"/>
      <c r="K3087" s="28"/>
      <c r="L3087" s="28"/>
      <c r="M3087" s="28"/>
      <c r="N3087" s="28"/>
      <c r="O3087" s="28"/>
      <c r="P3087" s="28"/>
      <c r="Q3087" s="28"/>
      <c r="R3087" s="28"/>
      <c r="S3087" s="28"/>
    </row>
    <row r="3088" spans="1:19" x14ac:dyDescent="0.25">
      <c r="A3088" s="28"/>
      <c r="B3088" s="28"/>
      <c r="C3088" s="28"/>
      <c r="D3088" s="28"/>
      <c r="E3088" s="28"/>
      <c r="F3088" s="28"/>
      <c r="G3088" s="28"/>
      <c r="H3088" s="28"/>
      <c r="I3088" s="28"/>
      <c r="J3088" s="28"/>
      <c r="K3088" s="28"/>
      <c r="L3088" s="28"/>
      <c r="M3088" s="28"/>
      <c r="N3088" s="28"/>
      <c r="O3088" s="28"/>
      <c r="P3088" s="28"/>
      <c r="Q3088" s="28"/>
      <c r="R3088" s="28"/>
      <c r="S3088" s="28"/>
    </row>
    <row r="3089" spans="1:19" x14ac:dyDescent="0.25">
      <c r="A3089" s="28"/>
      <c r="B3089" s="28"/>
      <c r="C3089" s="28"/>
      <c r="D3089" s="28"/>
      <c r="E3089" s="28"/>
      <c r="F3089" s="28"/>
      <c r="G3089" s="28"/>
      <c r="H3089" s="28"/>
      <c r="I3089" s="28"/>
      <c r="J3089" s="28"/>
      <c r="K3089" s="28"/>
      <c r="L3089" s="28"/>
      <c r="M3089" s="28"/>
      <c r="N3089" s="28"/>
      <c r="O3089" s="28"/>
      <c r="P3089" s="28"/>
      <c r="Q3089" s="28"/>
      <c r="R3089" s="28"/>
      <c r="S3089" s="28"/>
    </row>
    <row r="3090" spans="1:19" x14ac:dyDescent="0.25">
      <c r="A3090" s="28"/>
      <c r="B3090" s="28"/>
      <c r="C3090" s="28"/>
      <c r="D3090" s="28"/>
      <c r="E3090" s="28"/>
      <c r="F3090" s="28"/>
      <c r="G3090" s="28"/>
      <c r="H3090" s="28"/>
      <c r="I3090" s="28"/>
      <c r="J3090" s="28"/>
      <c r="K3090" s="28"/>
      <c r="L3090" s="28"/>
      <c r="M3090" s="28"/>
      <c r="N3090" s="28"/>
      <c r="O3090" s="28"/>
      <c r="P3090" s="28"/>
      <c r="Q3090" s="28"/>
      <c r="R3090" s="28"/>
      <c r="S3090" s="28"/>
    </row>
    <row r="3091" spans="1:19" x14ac:dyDescent="0.25">
      <c r="A3091" s="28"/>
      <c r="B3091" s="28"/>
      <c r="C3091" s="28"/>
      <c r="D3091" s="28"/>
      <c r="E3091" s="28"/>
      <c r="F3091" s="28"/>
      <c r="G3091" s="28"/>
      <c r="H3091" s="28"/>
      <c r="I3091" s="28"/>
      <c r="J3091" s="28"/>
      <c r="K3091" s="28"/>
      <c r="L3091" s="28"/>
      <c r="M3091" s="28"/>
      <c r="N3091" s="28"/>
      <c r="O3091" s="28"/>
      <c r="P3091" s="28"/>
      <c r="Q3091" s="28"/>
      <c r="R3091" s="28"/>
      <c r="S3091" s="28"/>
    </row>
    <row r="3092" spans="1:19" x14ac:dyDescent="0.25">
      <c r="A3092" s="28"/>
      <c r="B3092" s="28"/>
      <c r="C3092" s="28"/>
      <c r="D3092" s="28"/>
      <c r="E3092" s="28"/>
      <c r="F3092" s="28"/>
      <c r="G3092" s="28"/>
      <c r="H3092" s="28"/>
      <c r="I3092" s="28"/>
      <c r="J3092" s="28"/>
      <c r="K3092" s="28"/>
      <c r="L3092" s="28"/>
      <c r="M3092" s="28"/>
      <c r="N3092" s="28"/>
      <c r="O3092" s="28"/>
      <c r="P3092" s="28"/>
      <c r="Q3092" s="28"/>
      <c r="R3092" s="28"/>
      <c r="S3092" s="28"/>
    </row>
    <row r="3093" spans="1:19" x14ac:dyDescent="0.25">
      <c r="A3093" s="28"/>
      <c r="B3093" s="28"/>
      <c r="C3093" s="28"/>
      <c r="D3093" s="28"/>
      <c r="E3093" s="28"/>
      <c r="F3093" s="28"/>
      <c r="G3093" s="28"/>
      <c r="H3093" s="28"/>
      <c r="I3093" s="28"/>
      <c r="J3093" s="28"/>
      <c r="K3093" s="28"/>
      <c r="L3093" s="28"/>
      <c r="M3093" s="28"/>
      <c r="N3093" s="28"/>
      <c r="O3093" s="28"/>
      <c r="P3093" s="28"/>
      <c r="Q3093" s="28"/>
      <c r="R3093" s="28"/>
      <c r="S3093" s="28"/>
    </row>
    <row r="3094" spans="1:19" x14ac:dyDescent="0.25">
      <c r="A3094" s="28"/>
      <c r="B3094" s="28"/>
      <c r="C3094" s="28"/>
      <c r="D3094" s="28"/>
      <c r="E3094" s="28"/>
      <c r="F3094" s="28"/>
      <c r="G3094" s="28"/>
      <c r="H3094" s="28"/>
      <c r="I3094" s="28"/>
      <c r="J3094" s="28"/>
      <c r="K3094" s="28"/>
      <c r="L3094" s="28"/>
      <c r="M3094" s="28"/>
      <c r="N3094" s="28"/>
      <c r="O3094" s="28"/>
      <c r="P3094" s="28"/>
      <c r="Q3094" s="28"/>
      <c r="R3094" s="28"/>
      <c r="S3094" s="28"/>
    </row>
    <row r="3095" spans="1:19" x14ac:dyDescent="0.25">
      <c r="A3095" s="28"/>
      <c r="B3095" s="28"/>
      <c r="C3095" s="28"/>
      <c r="D3095" s="28"/>
      <c r="E3095" s="28"/>
      <c r="F3095" s="28"/>
      <c r="G3095" s="28"/>
      <c r="H3095" s="28"/>
      <c r="I3095" s="28"/>
      <c r="J3095" s="28"/>
      <c r="K3095" s="28"/>
      <c r="L3095" s="28"/>
      <c r="M3095" s="28"/>
      <c r="N3095" s="28"/>
      <c r="O3095" s="28"/>
      <c r="P3095" s="28"/>
      <c r="Q3095" s="28"/>
      <c r="R3095" s="28"/>
      <c r="S3095" s="28"/>
    </row>
    <row r="3096" spans="1:19" x14ac:dyDescent="0.25">
      <c r="A3096" s="28"/>
      <c r="B3096" s="28"/>
      <c r="C3096" s="28"/>
      <c r="D3096" s="28"/>
      <c r="E3096" s="28"/>
      <c r="F3096" s="28"/>
      <c r="G3096" s="28"/>
      <c r="H3096" s="28"/>
      <c r="I3096" s="28"/>
      <c r="J3096" s="28"/>
      <c r="K3096" s="28"/>
      <c r="L3096" s="28"/>
      <c r="M3096" s="28"/>
      <c r="N3096" s="28"/>
      <c r="O3096" s="28"/>
      <c r="P3096" s="28"/>
      <c r="Q3096" s="28"/>
      <c r="R3096" s="28"/>
      <c r="S3096" s="28"/>
    </row>
    <row r="3097" spans="1:19" x14ac:dyDescent="0.25">
      <c r="A3097" s="28"/>
      <c r="B3097" s="28"/>
      <c r="C3097" s="28"/>
      <c r="D3097" s="28"/>
      <c r="E3097" s="28"/>
      <c r="F3097" s="28"/>
      <c r="G3097" s="28"/>
      <c r="H3097" s="28"/>
      <c r="I3097" s="28"/>
      <c r="J3097" s="28"/>
      <c r="K3097" s="28"/>
      <c r="L3097" s="28"/>
      <c r="M3097" s="28"/>
      <c r="N3097" s="28"/>
      <c r="O3097" s="28"/>
      <c r="P3097" s="28"/>
      <c r="Q3097" s="28"/>
      <c r="R3097" s="28"/>
      <c r="S3097" s="28"/>
    </row>
    <row r="3098" spans="1:19" x14ac:dyDescent="0.25">
      <c r="A3098" s="28"/>
      <c r="B3098" s="28"/>
      <c r="C3098" s="28"/>
      <c r="D3098" s="28"/>
      <c r="E3098" s="28"/>
      <c r="F3098" s="28"/>
      <c r="G3098" s="28"/>
      <c r="H3098" s="28"/>
      <c r="I3098" s="28"/>
      <c r="J3098" s="28"/>
      <c r="K3098" s="28"/>
      <c r="L3098" s="28"/>
      <c r="M3098" s="28"/>
      <c r="N3098" s="28"/>
      <c r="O3098" s="28"/>
      <c r="P3098" s="28"/>
      <c r="Q3098" s="28"/>
      <c r="R3098" s="28"/>
      <c r="S3098" s="28"/>
    </row>
    <row r="3099" spans="1:19" x14ac:dyDescent="0.25">
      <c r="A3099" s="28"/>
      <c r="B3099" s="28"/>
      <c r="C3099" s="28"/>
      <c r="D3099" s="28"/>
      <c r="E3099" s="28"/>
      <c r="F3099" s="28"/>
      <c r="G3099" s="28"/>
      <c r="H3099" s="28"/>
      <c r="I3099" s="28"/>
      <c r="J3099" s="28"/>
      <c r="K3099" s="28"/>
      <c r="L3099" s="28"/>
      <c r="M3099" s="28"/>
      <c r="N3099" s="28"/>
      <c r="O3099" s="28"/>
      <c r="P3099" s="28"/>
      <c r="Q3099" s="28"/>
      <c r="R3099" s="28"/>
      <c r="S3099" s="28"/>
    </row>
    <row r="3100" spans="1:19" x14ac:dyDescent="0.25">
      <c r="A3100" s="28"/>
      <c r="B3100" s="28"/>
      <c r="C3100" s="28"/>
      <c r="D3100" s="28"/>
      <c r="E3100" s="28"/>
      <c r="F3100" s="28"/>
      <c r="G3100" s="28"/>
      <c r="H3100" s="28"/>
      <c r="I3100" s="28"/>
      <c r="J3100" s="28"/>
      <c r="K3100" s="28"/>
      <c r="L3100" s="28"/>
      <c r="M3100" s="28"/>
      <c r="N3100" s="28"/>
      <c r="O3100" s="28"/>
      <c r="P3100" s="28"/>
      <c r="Q3100" s="28"/>
      <c r="R3100" s="28"/>
      <c r="S3100" s="28"/>
    </row>
    <row r="3101" spans="1:19" x14ac:dyDescent="0.25">
      <c r="A3101" s="28"/>
      <c r="B3101" s="28"/>
      <c r="C3101" s="28"/>
      <c r="D3101" s="28"/>
      <c r="E3101" s="28"/>
      <c r="F3101" s="28"/>
      <c r="G3101" s="28"/>
      <c r="H3101" s="28"/>
      <c r="I3101" s="28"/>
      <c r="J3101" s="28"/>
      <c r="K3101" s="28"/>
      <c r="L3101" s="28"/>
      <c r="M3101" s="28"/>
      <c r="N3101" s="28"/>
      <c r="O3101" s="28"/>
      <c r="P3101" s="28"/>
      <c r="Q3101" s="28"/>
      <c r="R3101" s="28"/>
      <c r="S3101" s="28"/>
    </row>
    <row r="3102" spans="1:19" x14ac:dyDescent="0.25">
      <c r="A3102" s="28"/>
      <c r="B3102" s="28"/>
      <c r="C3102" s="28"/>
      <c r="D3102" s="28"/>
      <c r="E3102" s="28"/>
      <c r="F3102" s="28"/>
      <c r="G3102" s="28"/>
      <c r="H3102" s="28"/>
      <c r="I3102" s="28"/>
      <c r="J3102" s="28"/>
      <c r="K3102" s="28"/>
      <c r="L3102" s="28"/>
      <c r="M3102" s="28"/>
      <c r="N3102" s="28"/>
      <c r="O3102" s="28"/>
      <c r="P3102" s="28"/>
      <c r="Q3102" s="28"/>
      <c r="R3102" s="28"/>
      <c r="S3102" s="28"/>
    </row>
    <row r="3103" spans="1:19" x14ac:dyDescent="0.25">
      <c r="A3103" s="28"/>
      <c r="B3103" s="28"/>
      <c r="C3103" s="28"/>
      <c r="D3103" s="28"/>
      <c r="E3103" s="28"/>
      <c r="F3103" s="28"/>
      <c r="G3103" s="28"/>
      <c r="H3103" s="28"/>
      <c r="I3103" s="28"/>
      <c r="J3103" s="28"/>
      <c r="K3103" s="28"/>
      <c r="L3103" s="28"/>
      <c r="M3103" s="28"/>
      <c r="N3103" s="28"/>
      <c r="O3103" s="28"/>
      <c r="P3103" s="28"/>
      <c r="Q3103" s="28"/>
      <c r="R3103" s="28"/>
      <c r="S3103" s="28"/>
    </row>
    <row r="3104" spans="1:19" x14ac:dyDescent="0.25">
      <c r="A3104" s="28"/>
      <c r="B3104" s="28"/>
      <c r="C3104" s="28"/>
      <c r="D3104" s="28"/>
      <c r="E3104" s="28"/>
      <c r="F3104" s="28"/>
      <c r="G3104" s="28"/>
      <c r="H3104" s="28"/>
      <c r="I3104" s="28"/>
      <c r="J3104" s="28"/>
      <c r="K3104" s="28"/>
      <c r="L3104" s="28"/>
      <c r="M3104" s="28"/>
      <c r="N3104" s="28"/>
      <c r="O3104" s="28"/>
      <c r="P3104" s="28"/>
      <c r="Q3104" s="28"/>
      <c r="R3104" s="28"/>
      <c r="S3104" s="28"/>
    </row>
    <row r="3105" spans="1:19" x14ac:dyDescent="0.25">
      <c r="A3105" s="28"/>
      <c r="B3105" s="28"/>
      <c r="C3105" s="28"/>
      <c r="D3105" s="28"/>
      <c r="E3105" s="28"/>
      <c r="F3105" s="28"/>
      <c r="G3105" s="28"/>
      <c r="H3105" s="28"/>
      <c r="I3105" s="28"/>
      <c r="J3105" s="28"/>
      <c r="K3105" s="28"/>
      <c r="L3105" s="28"/>
      <c r="M3105" s="28"/>
      <c r="N3105" s="28"/>
      <c r="O3105" s="28"/>
      <c r="P3105" s="28"/>
      <c r="Q3105" s="28"/>
      <c r="R3105" s="28"/>
      <c r="S3105" s="28"/>
    </row>
    <row r="3106" spans="1:19" x14ac:dyDescent="0.25">
      <c r="A3106" s="28"/>
      <c r="B3106" s="28"/>
      <c r="C3106" s="28"/>
      <c r="D3106" s="28"/>
      <c r="E3106" s="28"/>
      <c r="F3106" s="28"/>
      <c r="G3106" s="28"/>
      <c r="H3106" s="28"/>
      <c r="I3106" s="28"/>
      <c r="J3106" s="28"/>
      <c r="K3106" s="28"/>
      <c r="L3106" s="28"/>
      <c r="M3106" s="28"/>
      <c r="N3106" s="28"/>
      <c r="O3106" s="28"/>
      <c r="P3106" s="28"/>
      <c r="Q3106" s="28"/>
      <c r="R3106" s="28"/>
      <c r="S3106" s="28"/>
    </row>
    <row r="3107" spans="1:19" x14ac:dyDescent="0.25">
      <c r="A3107" s="28"/>
      <c r="B3107" s="28"/>
      <c r="C3107" s="28"/>
      <c r="D3107" s="28"/>
      <c r="E3107" s="28"/>
      <c r="F3107" s="28"/>
      <c r="G3107" s="28"/>
      <c r="H3107" s="28"/>
      <c r="I3107" s="28"/>
      <c r="J3107" s="28"/>
      <c r="K3107" s="28"/>
      <c r="L3107" s="28"/>
      <c r="M3107" s="28"/>
      <c r="N3107" s="28"/>
      <c r="O3107" s="28"/>
      <c r="P3107" s="28"/>
      <c r="Q3107" s="28"/>
      <c r="R3107" s="28"/>
      <c r="S3107" s="28"/>
    </row>
    <row r="3108" spans="1:19" x14ac:dyDescent="0.25">
      <c r="A3108" s="28"/>
      <c r="B3108" s="28"/>
      <c r="C3108" s="28"/>
      <c r="D3108" s="28"/>
      <c r="E3108" s="28"/>
      <c r="F3108" s="28"/>
      <c r="G3108" s="28"/>
      <c r="H3108" s="28"/>
      <c r="I3108" s="28"/>
      <c r="J3108" s="28"/>
      <c r="K3108" s="28"/>
      <c r="L3108" s="28"/>
      <c r="M3108" s="28"/>
      <c r="N3108" s="28"/>
      <c r="O3108" s="28"/>
      <c r="P3108" s="28"/>
      <c r="Q3108" s="28"/>
      <c r="R3108" s="28"/>
      <c r="S3108" s="28"/>
    </row>
    <row r="3109" spans="1:19" x14ac:dyDescent="0.25">
      <c r="A3109" s="28"/>
      <c r="B3109" s="28"/>
      <c r="C3109" s="28"/>
      <c r="D3109" s="28"/>
      <c r="E3109" s="28"/>
      <c r="F3109" s="28"/>
      <c r="G3109" s="28"/>
      <c r="H3109" s="28"/>
      <c r="I3109" s="28"/>
      <c r="J3109" s="28"/>
      <c r="K3109" s="28"/>
      <c r="L3109" s="28"/>
      <c r="M3109" s="28"/>
      <c r="N3109" s="28"/>
      <c r="O3109" s="28"/>
      <c r="P3109" s="28"/>
      <c r="Q3109" s="28"/>
      <c r="R3109" s="28"/>
      <c r="S3109" s="28"/>
    </row>
    <row r="3110" spans="1:19" x14ac:dyDescent="0.25">
      <c r="A3110" s="28"/>
      <c r="B3110" s="28"/>
      <c r="C3110" s="28"/>
      <c r="D3110" s="28"/>
      <c r="E3110" s="28"/>
      <c r="F3110" s="28"/>
      <c r="G3110" s="28"/>
      <c r="H3110" s="28"/>
      <c r="I3110" s="28"/>
      <c r="J3110" s="28"/>
      <c r="K3110" s="28"/>
      <c r="L3110" s="28"/>
      <c r="M3110" s="28"/>
      <c r="N3110" s="28"/>
      <c r="O3110" s="28"/>
      <c r="P3110" s="28"/>
      <c r="Q3110" s="28"/>
      <c r="R3110" s="28"/>
      <c r="S3110" s="28"/>
    </row>
    <row r="3111" spans="1:19" x14ac:dyDescent="0.25">
      <c r="A3111" s="28"/>
      <c r="B3111" s="28"/>
      <c r="C3111" s="28"/>
      <c r="D3111" s="28"/>
      <c r="E3111" s="28"/>
      <c r="F3111" s="28"/>
      <c r="G3111" s="28"/>
      <c r="H3111" s="28"/>
      <c r="I3111" s="28"/>
      <c r="J3111" s="28"/>
      <c r="K3111" s="28"/>
      <c r="L3111" s="28"/>
      <c r="M3111" s="28"/>
      <c r="N3111" s="28"/>
      <c r="O3111" s="28"/>
      <c r="P3111" s="28"/>
      <c r="Q3111" s="28"/>
      <c r="R3111" s="28"/>
      <c r="S3111" s="28"/>
    </row>
    <row r="3112" spans="1:19" x14ac:dyDescent="0.25">
      <c r="A3112" s="28"/>
      <c r="B3112" s="28"/>
      <c r="C3112" s="28"/>
      <c r="D3112" s="28"/>
      <c r="E3112" s="28"/>
      <c r="F3112" s="28"/>
      <c r="G3112" s="28"/>
      <c r="H3112" s="28"/>
      <c r="I3112" s="28"/>
      <c r="J3112" s="28"/>
      <c r="K3112" s="28"/>
      <c r="L3112" s="28"/>
      <c r="M3112" s="28"/>
      <c r="N3112" s="28"/>
      <c r="O3112" s="28"/>
      <c r="P3112" s="28"/>
      <c r="Q3112" s="28"/>
      <c r="R3112" s="28"/>
      <c r="S3112" s="28"/>
    </row>
    <row r="3113" spans="1:19" x14ac:dyDescent="0.25">
      <c r="A3113" s="28"/>
      <c r="B3113" s="28"/>
      <c r="C3113" s="28"/>
      <c r="D3113" s="28"/>
      <c r="E3113" s="28"/>
      <c r="F3113" s="28"/>
      <c r="G3113" s="28"/>
      <c r="H3113" s="28"/>
      <c r="I3113" s="28"/>
      <c r="J3113" s="28"/>
      <c r="K3113" s="28"/>
      <c r="L3113" s="28"/>
      <c r="M3113" s="28"/>
      <c r="N3113" s="28"/>
      <c r="O3113" s="28"/>
      <c r="P3113" s="28"/>
      <c r="Q3113" s="28"/>
      <c r="R3113" s="28"/>
      <c r="S3113" s="28"/>
    </row>
    <row r="3114" spans="1:19" x14ac:dyDescent="0.25">
      <c r="A3114" s="28"/>
      <c r="B3114" s="28"/>
      <c r="C3114" s="28"/>
      <c r="D3114" s="28"/>
      <c r="E3114" s="28"/>
      <c r="F3114" s="28"/>
      <c r="G3114" s="28"/>
      <c r="H3114" s="28"/>
      <c r="I3114" s="28"/>
      <c r="J3114" s="28"/>
      <c r="K3114" s="28"/>
      <c r="L3114" s="28"/>
      <c r="M3114" s="28"/>
      <c r="N3114" s="28"/>
      <c r="O3114" s="28"/>
      <c r="P3114" s="28"/>
      <c r="Q3114" s="28"/>
      <c r="R3114" s="28"/>
      <c r="S3114" s="28"/>
    </row>
    <row r="3115" spans="1:19" x14ac:dyDescent="0.25">
      <c r="A3115" s="28"/>
      <c r="B3115" s="28"/>
      <c r="C3115" s="28"/>
      <c r="D3115" s="28"/>
      <c r="E3115" s="28"/>
      <c r="F3115" s="28"/>
      <c r="G3115" s="28"/>
      <c r="H3115" s="28"/>
      <c r="I3115" s="28"/>
      <c r="J3115" s="28"/>
      <c r="K3115" s="28"/>
      <c r="L3115" s="28"/>
      <c r="M3115" s="28"/>
      <c r="N3115" s="28"/>
      <c r="O3115" s="28"/>
      <c r="P3115" s="28"/>
      <c r="Q3115" s="28"/>
      <c r="R3115" s="28"/>
      <c r="S3115" s="28"/>
    </row>
    <row r="3116" spans="1:19" x14ac:dyDescent="0.25">
      <c r="A3116" s="28"/>
      <c r="B3116" s="28"/>
      <c r="C3116" s="28"/>
      <c r="D3116" s="28"/>
      <c r="E3116" s="28"/>
      <c r="F3116" s="28"/>
      <c r="G3116" s="28"/>
      <c r="H3116" s="28"/>
      <c r="I3116" s="28"/>
      <c r="J3116" s="28"/>
      <c r="K3116" s="28"/>
      <c r="L3116" s="28"/>
      <c r="M3116" s="28"/>
      <c r="N3116" s="28"/>
      <c r="O3116" s="28"/>
      <c r="P3116" s="28"/>
      <c r="Q3116" s="28"/>
      <c r="R3116" s="28"/>
      <c r="S3116" s="28"/>
    </row>
    <row r="3117" spans="1:19" x14ac:dyDescent="0.25">
      <c r="A3117" s="28"/>
      <c r="B3117" s="28"/>
      <c r="C3117" s="28"/>
      <c r="D3117" s="28"/>
      <c r="E3117" s="28"/>
      <c r="F3117" s="28"/>
      <c r="G3117" s="28"/>
      <c r="H3117" s="28"/>
      <c r="I3117" s="28"/>
      <c r="J3117" s="28"/>
      <c r="K3117" s="28"/>
      <c r="L3117" s="28"/>
      <c r="M3117" s="28"/>
      <c r="N3117" s="28"/>
      <c r="O3117" s="28"/>
      <c r="P3117" s="28"/>
      <c r="Q3117" s="28"/>
      <c r="R3117" s="28"/>
      <c r="S3117" s="28"/>
    </row>
    <row r="3118" spans="1:19" x14ac:dyDescent="0.25">
      <c r="A3118" s="28"/>
      <c r="B3118" s="28"/>
      <c r="C3118" s="28"/>
      <c r="D3118" s="28"/>
      <c r="E3118" s="28"/>
      <c r="F3118" s="28"/>
      <c r="G3118" s="28"/>
      <c r="H3118" s="28"/>
      <c r="I3118" s="28"/>
      <c r="J3118" s="28"/>
      <c r="K3118" s="28"/>
      <c r="L3118" s="28"/>
      <c r="M3118" s="28"/>
      <c r="N3118" s="28"/>
      <c r="O3118" s="28"/>
      <c r="P3118" s="28"/>
      <c r="Q3118" s="28"/>
      <c r="R3118" s="28"/>
      <c r="S3118" s="28"/>
    </row>
    <row r="3119" spans="1:19" x14ac:dyDescent="0.25">
      <c r="A3119" s="28"/>
      <c r="B3119" s="28"/>
      <c r="C3119" s="28"/>
      <c r="D3119" s="28"/>
      <c r="E3119" s="28"/>
      <c r="F3119" s="28"/>
      <c r="G3119" s="28"/>
      <c r="H3119" s="28"/>
      <c r="I3119" s="28"/>
      <c r="J3119" s="28"/>
      <c r="K3119" s="28"/>
      <c r="L3119" s="28"/>
      <c r="M3119" s="28"/>
      <c r="N3119" s="28"/>
      <c r="O3119" s="28"/>
      <c r="P3119" s="28"/>
      <c r="Q3119" s="28"/>
      <c r="R3119" s="28"/>
      <c r="S3119" s="28"/>
    </row>
    <row r="3120" spans="1:19" x14ac:dyDescent="0.25">
      <c r="A3120" s="28"/>
      <c r="B3120" s="28"/>
      <c r="C3120" s="28"/>
      <c r="D3120" s="28"/>
      <c r="E3120" s="28"/>
      <c r="F3120" s="28"/>
      <c r="G3120" s="28"/>
      <c r="H3120" s="28"/>
      <c r="I3120" s="28"/>
      <c r="J3120" s="28"/>
      <c r="K3120" s="28"/>
      <c r="L3120" s="28"/>
      <c r="M3120" s="28"/>
      <c r="N3120" s="28"/>
      <c r="O3120" s="28"/>
      <c r="P3120" s="28"/>
      <c r="Q3120" s="28"/>
      <c r="R3120" s="28"/>
      <c r="S3120" s="28"/>
    </row>
    <row r="3121" spans="1:19" x14ac:dyDescent="0.25">
      <c r="A3121" s="28"/>
      <c r="B3121" s="28"/>
      <c r="C3121" s="28"/>
      <c r="D3121" s="28"/>
      <c r="E3121" s="28"/>
      <c r="F3121" s="28"/>
      <c r="G3121" s="28"/>
      <c r="H3121" s="28"/>
      <c r="I3121" s="28"/>
      <c r="J3121" s="28"/>
      <c r="K3121" s="28"/>
      <c r="L3121" s="28"/>
      <c r="M3121" s="28"/>
      <c r="N3121" s="28"/>
      <c r="O3121" s="28"/>
      <c r="P3121" s="28"/>
      <c r="Q3121" s="28"/>
      <c r="R3121" s="28"/>
      <c r="S3121" s="28"/>
    </row>
    <row r="3122" spans="1:19" x14ac:dyDescent="0.25">
      <c r="A3122" s="28"/>
      <c r="B3122" s="28"/>
      <c r="C3122" s="28"/>
      <c r="D3122" s="28"/>
      <c r="E3122" s="28"/>
      <c r="F3122" s="28"/>
      <c r="G3122" s="28"/>
      <c r="H3122" s="28"/>
      <c r="I3122" s="28"/>
      <c r="J3122" s="28"/>
      <c r="K3122" s="28"/>
      <c r="L3122" s="28"/>
      <c r="M3122" s="28"/>
      <c r="N3122" s="28"/>
      <c r="O3122" s="28"/>
      <c r="P3122" s="28"/>
      <c r="Q3122" s="28"/>
      <c r="R3122" s="28"/>
      <c r="S3122" s="28"/>
    </row>
    <row r="3123" spans="1:19" x14ac:dyDescent="0.25">
      <c r="A3123" s="28"/>
      <c r="B3123" s="28"/>
      <c r="C3123" s="28"/>
      <c r="D3123" s="28"/>
      <c r="E3123" s="28"/>
      <c r="F3123" s="28"/>
      <c r="G3123" s="28"/>
      <c r="H3123" s="28"/>
      <c r="I3123" s="28"/>
      <c r="J3123" s="28"/>
      <c r="K3123" s="28"/>
      <c r="L3123" s="28"/>
      <c r="M3123" s="28"/>
      <c r="N3123" s="28"/>
      <c r="O3123" s="28"/>
      <c r="P3123" s="28"/>
      <c r="Q3123" s="28"/>
      <c r="R3123" s="28"/>
      <c r="S3123" s="28"/>
    </row>
    <row r="3124" spans="1:19" x14ac:dyDescent="0.25">
      <c r="A3124" s="28"/>
      <c r="B3124" s="28"/>
      <c r="C3124" s="28"/>
      <c r="D3124" s="28"/>
      <c r="E3124" s="28"/>
      <c r="F3124" s="28"/>
      <c r="G3124" s="28"/>
      <c r="H3124" s="28"/>
      <c r="I3124" s="28"/>
      <c r="J3124" s="28"/>
      <c r="K3124" s="28"/>
      <c r="L3124" s="28"/>
      <c r="M3124" s="28"/>
      <c r="N3124" s="28"/>
      <c r="O3124" s="28"/>
      <c r="P3124" s="28"/>
      <c r="Q3124" s="28"/>
      <c r="R3124" s="28"/>
      <c r="S3124" s="28"/>
    </row>
    <row r="3125" spans="1:19" x14ac:dyDescent="0.25">
      <c r="A3125" s="28"/>
      <c r="B3125" s="28"/>
      <c r="C3125" s="28"/>
      <c r="D3125" s="28"/>
      <c r="E3125" s="28"/>
      <c r="F3125" s="28"/>
      <c r="G3125" s="28"/>
      <c r="H3125" s="28"/>
      <c r="I3125" s="28"/>
      <c r="J3125" s="28"/>
      <c r="K3125" s="28"/>
      <c r="L3125" s="28"/>
      <c r="M3125" s="28"/>
      <c r="N3125" s="28"/>
      <c r="O3125" s="28"/>
      <c r="P3125" s="28"/>
      <c r="Q3125" s="28"/>
      <c r="R3125" s="28"/>
      <c r="S3125" s="28"/>
    </row>
    <row r="3126" spans="1:19" x14ac:dyDescent="0.25">
      <c r="A3126" s="28"/>
      <c r="B3126" s="28"/>
      <c r="C3126" s="28"/>
      <c r="D3126" s="28"/>
      <c r="E3126" s="28"/>
      <c r="F3126" s="28"/>
      <c r="G3126" s="28"/>
      <c r="H3126" s="28"/>
      <c r="I3126" s="28"/>
      <c r="J3126" s="28"/>
      <c r="K3126" s="28"/>
      <c r="L3126" s="28"/>
      <c r="M3126" s="28"/>
      <c r="N3126" s="28"/>
      <c r="O3126" s="28"/>
      <c r="P3126" s="28"/>
      <c r="Q3126" s="28"/>
      <c r="R3126" s="28"/>
      <c r="S3126" s="28"/>
    </row>
    <row r="3127" spans="1:19" x14ac:dyDescent="0.25">
      <c r="A3127" s="28"/>
      <c r="B3127" s="28"/>
      <c r="C3127" s="28"/>
      <c r="D3127" s="28"/>
      <c r="E3127" s="28"/>
      <c r="F3127" s="28"/>
      <c r="G3127" s="28"/>
      <c r="H3127" s="28"/>
      <c r="I3127" s="28"/>
      <c r="J3127" s="28"/>
      <c r="K3127" s="28"/>
      <c r="L3127" s="28"/>
      <c r="M3127" s="28"/>
      <c r="N3127" s="28"/>
      <c r="O3127" s="28"/>
      <c r="P3127" s="28"/>
      <c r="Q3127" s="28"/>
      <c r="R3127" s="28"/>
      <c r="S3127" s="28"/>
    </row>
    <row r="3128" spans="1:19" x14ac:dyDescent="0.25">
      <c r="A3128" s="28"/>
      <c r="B3128" s="28"/>
      <c r="C3128" s="28"/>
      <c r="D3128" s="28"/>
      <c r="E3128" s="28"/>
      <c r="F3128" s="28"/>
      <c r="G3128" s="28"/>
      <c r="H3128" s="28"/>
      <c r="I3128" s="28"/>
      <c r="J3128" s="28"/>
      <c r="K3128" s="28"/>
      <c r="L3128" s="28"/>
      <c r="M3128" s="28"/>
      <c r="N3128" s="28"/>
      <c r="O3128" s="28"/>
      <c r="P3128" s="28"/>
      <c r="Q3128" s="28"/>
      <c r="R3128" s="28"/>
      <c r="S3128" s="28"/>
    </row>
    <row r="3129" spans="1:19" x14ac:dyDescent="0.25">
      <c r="A3129" s="28"/>
      <c r="B3129" s="28"/>
      <c r="C3129" s="28"/>
      <c r="D3129" s="28"/>
      <c r="E3129" s="28"/>
      <c r="F3129" s="28"/>
      <c r="G3129" s="28"/>
      <c r="H3129" s="28"/>
      <c r="I3129" s="28"/>
      <c r="J3129" s="28"/>
      <c r="K3129" s="28"/>
      <c r="L3129" s="28"/>
      <c r="M3129" s="28"/>
      <c r="N3129" s="28"/>
      <c r="O3129" s="28"/>
      <c r="P3129" s="28"/>
      <c r="Q3129" s="28"/>
      <c r="R3129" s="28"/>
      <c r="S3129" s="28"/>
    </row>
    <row r="3130" spans="1:19" x14ac:dyDescent="0.25">
      <c r="A3130" s="28"/>
      <c r="B3130" s="28"/>
      <c r="C3130" s="28"/>
      <c r="D3130" s="28"/>
      <c r="E3130" s="28"/>
      <c r="F3130" s="28"/>
      <c r="G3130" s="28"/>
      <c r="H3130" s="28"/>
      <c r="I3130" s="28"/>
      <c r="J3130" s="28"/>
      <c r="K3130" s="28"/>
      <c r="L3130" s="28"/>
      <c r="M3130" s="28"/>
      <c r="N3130" s="28"/>
      <c r="O3130" s="28"/>
      <c r="P3130" s="28"/>
      <c r="Q3130" s="28"/>
      <c r="R3130" s="28"/>
      <c r="S3130" s="28"/>
    </row>
    <row r="3131" spans="1:19" x14ac:dyDescent="0.25">
      <c r="A3131" s="28"/>
      <c r="B3131" s="28"/>
      <c r="C3131" s="28"/>
      <c r="D3131" s="28"/>
      <c r="E3131" s="28"/>
      <c r="F3131" s="28"/>
      <c r="G3131" s="28"/>
      <c r="H3131" s="28"/>
      <c r="I3131" s="28"/>
      <c r="J3131" s="28"/>
      <c r="K3131" s="28"/>
      <c r="L3131" s="28"/>
      <c r="M3131" s="28"/>
      <c r="N3131" s="28"/>
      <c r="O3131" s="28"/>
      <c r="P3131" s="28"/>
      <c r="Q3131" s="28"/>
      <c r="R3131" s="28"/>
      <c r="S3131" s="28"/>
    </row>
    <row r="3132" spans="1:19" x14ac:dyDescent="0.25">
      <c r="A3132" s="28"/>
      <c r="B3132" s="28"/>
      <c r="C3132" s="28"/>
      <c r="D3132" s="28"/>
      <c r="E3132" s="28"/>
      <c r="F3132" s="28"/>
      <c r="G3132" s="28"/>
      <c r="H3132" s="28"/>
      <c r="I3132" s="28"/>
      <c r="J3132" s="28"/>
      <c r="K3132" s="28"/>
      <c r="L3132" s="28"/>
      <c r="M3132" s="28"/>
      <c r="N3132" s="28"/>
      <c r="O3132" s="28"/>
      <c r="P3132" s="28"/>
      <c r="Q3132" s="28"/>
      <c r="R3132" s="28"/>
      <c r="S3132" s="28"/>
    </row>
    <row r="3133" spans="1:19" x14ac:dyDescent="0.25">
      <c r="A3133" s="28"/>
      <c r="B3133" s="28"/>
      <c r="C3133" s="28"/>
      <c r="D3133" s="28"/>
      <c r="E3133" s="28"/>
      <c r="F3133" s="28"/>
      <c r="G3133" s="28"/>
      <c r="H3133" s="28"/>
      <c r="I3133" s="28"/>
      <c r="J3133" s="28"/>
      <c r="K3133" s="28"/>
      <c r="L3133" s="28"/>
      <c r="M3133" s="28"/>
      <c r="N3133" s="28"/>
      <c r="O3133" s="28"/>
      <c r="P3133" s="28"/>
      <c r="Q3133" s="28"/>
      <c r="R3133" s="28"/>
      <c r="S3133" s="28"/>
    </row>
    <row r="3134" spans="1:19" x14ac:dyDescent="0.25">
      <c r="A3134" s="28"/>
      <c r="B3134" s="28"/>
      <c r="C3134" s="28"/>
      <c r="D3134" s="28"/>
      <c r="E3134" s="28"/>
      <c r="F3134" s="28"/>
      <c r="G3134" s="28"/>
      <c r="H3134" s="28"/>
      <c r="I3134" s="28"/>
      <c r="J3134" s="28"/>
      <c r="K3134" s="28"/>
      <c r="L3134" s="28"/>
      <c r="M3134" s="28"/>
      <c r="N3134" s="28"/>
      <c r="O3134" s="28"/>
      <c r="P3134" s="28"/>
      <c r="Q3134" s="28"/>
      <c r="R3134" s="28"/>
      <c r="S3134" s="28"/>
    </row>
    <row r="3135" spans="1:19" x14ac:dyDescent="0.25">
      <c r="A3135" s="28"/>
      <c r="B3135" s="28"/>
      <c r="C3135" s="28"/>
      <c r="D3135" s="28"/>
      <c r="E3135" s="28"/>
      <c r="F3135" s="28"/>
      <c r="G3135" s="28"/>
      <c r="H3135" s="28"/>
      <c r="I3135" s="28"/>
      <c r="J3135" s="28"/>
      <c r="K3135" s="28"/>
      <c r="L3135" s="28"/>
      <c r="M3135" s="28"/>
      <c r="N3135" s="28"/>
      <c r="O3135" s="28"/>
      <c r="P3135" s="28"/>
      <c r="Q3135" s="28"/>
      <c r="R3135" s="28"/>
      <c r="S3135" s="28"/>
    </row>
    <row r="3136" spans="1:19" x14ac:dyDescent="0.25">
      <c r="A3136" s="28"/>
      <c r="B3136" s="28"/>
      <c r="C3136" s="28"/>
      <c r="D3136" s="28"/>
      <c r="E3136" s="28"/>
      <c r="F3136" s="28"/>
      <c r="G3136" s="28"/>
      <c r="H3136" s="28"/>
      <c r="I3136" s="28"/>
      <c r="J3136" s="28"/>
      <c r="K3136" s="28"/>
      <c r="L3136" s="28"/>
      <c r="M3136" s="28"/>
      <c r="N3136" s="28"/>
      <c r="O3136" s="28"/>
      <c r="P3136" s="28"/>
      <c r="Q3136" s="28"/>
      <c r="R3136" s="28"/>
      <c r="S3136" s="28"/>
    </row>
    <row r="3137" spans="1:19" x14ac:dyDescent="0.25">
      <c r="A3137" s="28"/>
      <c r="B3137" s="28"/>
      <c r="C3137" s="28"/>
      <c r="D3137" s="28"/>
      <c r="E3137" s="28"/>
      <c r="F3137" s="28"/>
      <c r="G3137" s="28"/>
      <c r="H3137" s="28"/>
      <c r="I3137" s="28"/>
      <c r="J3137" s="28"/>
      <c r="K3137" s="28"/>
      <c r="L3137" s="28"/>
      <c r="M3137" s="28"/>
      <c r="N3137" s="28"/>
      <c r="O3137" s="28"/>
      <c r="P3137" s="28"/>
      <c r="Q3137" s="28"/>
      <c r="R3137" s="28"/>
      <c r="S3137" s="28"/>
    </row>
    <row r="3138" spans="1:19" x14ac:dyDescent="0.25">
      <c r="A3138" s="28"/>
      <c r="B3138" s="28"/>
      <c r="C3138" s="28"/>
      <c r="D3138" s="28"/>
      <c r="E3138" s="28"/>
      <c r="F3138" s="28"/>
      <c r="G3138" s="28"/>
      <c r="H3138" s="28"/>
      <c r="I3138" s="28"/>
      <c r="J3138" s="28"/>
      <c r="K3138" s="28"/>
      <c r="L3138" s="28"/>
      <c r="M3138" s="28"/>
      <c r="N3138" s="28"/>
      <c r="O3138" s="28"/>
      <c r="P3138" s="28"/>
      <c r="Q3138" s="28"/>
      <c r="R3138" s="28"/>
      <c r="S3138" s="28"/>
    </row>
    <row r="3139" spans="1:19" x14ac:dyDescent="0.25">
      <c r="A3139" s="28"/>
      <c r="B3139" s="28"/>
      <c r="C3139" s="28"/>
      <c r="D3139" s="28"/>
      <c r="E3139" s="28"/>
      <c r="F3139" s="28"/>
      <c r="G3139" s="28"/>
      <c r="H3139" s="28"/>
      <c r="I3139" s="28"/>
      <c r="J3139" s="28"/>
      <c r="K3139" s="28"/>
      <c r="L3139" s="28"/>
      <c r="M3139" s="28"/>
      <c r="N3139" s="28"/>
      <c r="O3139" s="28"/>
      <c r="P3139" s="28"/>
      <c r="Q3139" s="28"/>
      <c r="R3139" s="28"/>
      <c r="S3139" s="28"/>
    </row>
    <row r="3140" spans="1:19" x14ac:dyDescent="0.25">
      <c r="A3140" s="28"/>
      <c r="B3140" s="28"/>
      <c r="C3140" s="28"/>
      <c r="D3140" s="28"/>
      <c r="E3140" s="28"/>
      <c r="F3140" s="28"/>
      <c r="G3140" s="28"/>
      <c r="H3140" s="28"/>
      <c r="I3140" s="28"/>
      <c r="J3140" s="28"/>
      <c r="K3140" s="28"/>
      <c r="L3140" s="28"/>
      <c r="M3140" s="28"/>
      <c r="N3140" s="28"/>
      <c r="O3140" s="28"/>
      <c r="P3140" s="28"/>
      <c r="Q3140" s="28"/>
      <c r="R3140" s="28"/>
      <c r="S3140" s="28"/>
    </row>
    <row r="3141" spans="1:19" x14ac:dyDescent="0.25">
      <c r="A3141" s="28"/>
      <c r="B3141" s="28"/>
      <c r="C3141" s="28"/>
      <c r="D3141" s="28"/>
      <c r="E3141" s="28"/>
      <c r="F3141" s="28"/>
      <c r="G3141" s="28"/>
      <c r="H3141" s="28"/>
      <c r="I3141" s="28"/>
      <c r="J3141" s="28"/>
      <c r="K3141" s="28"/>
      <c r="L3141" s="28"/>
      <c r="M3141" s="28"/>
      <c r="N3141" s="28"/>
      <c r="O3141" s="28"/>
      <c r="P3141" s="28"/>
      <c r="Q3141" s="28"/>
      <c r="R3141" s="28"/>
      <c r="S3141" s="28"/>
    </row>
    <row r="3142" spans="1:19" x14ac:dyDescent="0.25">
      <c r="A3142" s="28"/>
      <c r="B3142" s="28"/>
      <c r="C3142" s="28"/>
      <c r="D3142" s="28"/>
      <c r="E3142" s="28"/>
      <c r="F3142" s="28"/>
      <c r="G3142" s="28"/>
      <c r="H3142" s="28"/>
      <c r="I3142" s="28"/>
      <c r="J3142" s="28"/>
      <c r="K3142" s="28"/>
      <c r="L3142" s="28"/>
      <c r="M3142" s="28"/>
      <c r="N3142" s="28"/>
      <c r="O3142" s="28"/>
      <c r="P3142" s="28"/>
      <c r="Q3142" s="28"/>
      <c r="R3142" s="28"/>
      <c r="S3142" s="28"/>
    </row>
    <row r="3143" spans="1:19" x14ac:dyDescent="0.25">
      <c r="A3143" s="28"/>
      <c r="B3143" s="28"/>
      <c r="C3143" s="28"/>
      <c r="D3143" s="28"/>
      <c r="E3143" s="28"/>
      <c r="F3143" s="28"/>
      <c r="G3143" s="28"/>
      <c r="H3143" s="28"/>
      <c r="I3143" s="28"/>
      <c r="J3143" s="28"/>
      <c r="K3143" s="28"/>
      <c r="L3143" s="28"/>
      <c r="M3143" s="28"/>
      <c r="N3143" s="28"/>
      <c r="O3143" s="28"/>
      <c r="P3143" s="28"/>
      <c r="Q3143" s="28"/>
      <c r="R3143" s="28"/>
      <c r="S3143" s="28"/>
    </row>
    <row r="3144" spans="1:19" x14ac:dyDescent="0.25">
      <c r="A3144" s="28"/>
      <c r="B3144" s="28"/>
      <c r="C3144" s="28"/>
      <c r="D3144" s="28"/>
      <c r="E3144" s="28"/>
      <c r="F3144" s="28"/>
      <c r="G3144" s="28"/>
      <c r="H3144" s="28"/>
      <c r="I3144" s="28"/>
      <c r="J3144" s="28"/>
      <c r="K3144" s="28"/>
      <c r="L3144" s="28"/>
      <c r="M3144" s="28"/>
      <c r="N3144" s="28"/>
      <c r="O3144" s="28"/>
      <c r="P3144" s="28"/>
      <c r="Q3144" s="28"/>
      <c r="R3144" s="28"/>
      <c r="S3144" s="28"/>
    </row>
    <row r="3145" spans="1:19" x14ac:dyDescent="0.25">
      <c r="A3145" s="28"/>
      <c r="B3145" s="28"/>
      <c r="C3145" s="28"/>
      <c r="D3145" s="28"/>
      <c r="E3145" s="28"/>
      <c r="F3145" s="28"/>
      <c r="G3145" s="28"/>
      <c r="H3145" s="28"/>
      <c r="I3145" s="28"/>
      <c r="J3145" s="28"/>
      <c r="K3145" s="28"/>
      <c r="L3145" s="28"/>
      <c r="M3145" s="28"/>
      <c r="N3145" s="28"/>
      <c r="O3145" s="28"/>
      <c r="P3145" s="28"/>
      <c r="Q3145" s="28"/>
      <c r="R3145" s="28"/>
      <c r="S3145" s="28"/>
    </row>
    <row r="3146" spans="1:19" x14ac:dyDescent="0.25">
      <c r="A3146" s="28"/>
      <c r="B3146" s="28"/>
      <c r="C3146" s="28"/>
      <c r="D3146" s="28"/>
      <c r="E3146" s="28"/>
      <c r="F3146" s="28"/>
      <c r="G3146" s="28"/>
      <c r="H3146" s="28"/>
      <c r="I3146" s="28"/>
      <c r="J3146" s="28"/>
      <c r="K3146" s="28"/>
      <c r="L3146" s="28"/>
      <c r="M3146" s="28"/>
      <c r="N3146" s="28"/>
      <c r="O3146" s="28"/>
      <c r="P3146" s="28"/>
      <c r="Q3146" s="28"/>
      <c r="R3146" s="28"/>
      <c r="S3146" s="28"/>
    </row>
    <row r="3147" spans="1:19" x14ac:dyDescent="0.25">
      <c r="A3147" s="28"/>
      <c r="B3147" s="28"/>
      <c r="C3147" s="28"/>
      <c r="D3147" s="28"/>
      <c r="E3147" s="28"/>
      <c r="F3147" s="28"/>
      <c r="G3147" s="28"/>
      <c r="H3147" s="28"/>
      <c r="I3147" s="28"/>
      <c r="J3147" s="28"/>
      <c r="K3147" s="28"/>
      <c r="L3147" s="28"/>
      <c r="M3147" s="28"/>
      <c r="N3147" s="28"/>
      <c r="O3147" s="28"/>
      <c r="P3147" s="28"/>
      <c r="Q3147" s="28"/>
      <c r="R3147" s="28"/>
      <c r="S3147" s="28"/>
    </row>
    <row r="3148" spans="1:19" x14ac:dyDescent="0.25">
      <c r="A3148" s="28"/>
      <c r="B3148" s="28"/>
      <c r="C3148" s="28"/>
      <c r="D3148" s="28"/>
      <c r="E3148" s="28"/>
      <c r="F3148" s="28"/>
      <c r="G3148" s="28"/>
      <c r="H3148" s="28"/>
      <c r="I3148" s="28"/>
      <c r="J3148" s="28"/>
      <c r="K3148" s="28"/>
      <c r="L3148" s="28"/>
      <c r="M3148" s="28"/>
      <c r="N3148" s="28"/>
      <c r="O3148" s="28"/>
      <c r="P3148" s="28"/>
      <c r="Q3148" s="28"/>
      <c r="R3148" s="28"/>
      <c r="S3148" s="28"/>
    </row>
    <row r="3149" spans="1:19" x14ac:dyDescent="0.25">
      <c r="A3149" s="28"/>
      <c r="B3149" s="28"/>
      <c r="C3149" s="28"/>
      <c r="D3149" s="28"/>
      <c r="E3149" s="28"/>
      <c r="F3149" s="28"/>
      <c r="G3149" s="28"/>
      <c r="H3149" s="28"/>
      <c r="I3149" s="28"/>
      <c r="J3149" s="28"/>
      <c r="K3149" s="28"/>
      <c r="L3149" s="28"/>
      <c r="M3149" s="28"/>
      <c r="N3149" s="28"/>
      <c r="O3149" s="28"/>
      <c r="P3149" s="28"/>
      <c r="Q3149" s="28"/>
      <c r="R3149" s="28"/>
      <c r="S3149" s="28"/>
    </row>
    <row r="3150" spans="1:19" x14ac:dyDescent="0.25">
      <c r="A3150" s="28"/>
      <c r="B3150" s="28"/>
      <c r="C3150" s="28"/>
      <c r="D3150" s="28"/>
      <c r="E3150" s="28"/>
      <c r="F3150" s="28"/>
      <c r="G3150" s="28"/>
      <c r="H3150" s="28"/>
      <c r="I3150" s="28"/>
      <c r="J3150" s="28"/>
      <c r="K3150" s="28"/>
      <c r="L3150" s="28"/>
      <c r="M3150" s="28"/>
      <c r="N3150" s="28"/>
      <c r="O3150" s="28"/>
      <c r="P3150" s="28"/>
      <c r="Q3150" s="28"/>
      <c r="R3150" s="28"/>
      <c r="S3150" s="28"/>
    </row>
    <row r="3151" spans="1:19" x14ac:dyDescent="0.25">
      <c r="A3151" s="28"/>
      <c r="B3151" s="28"/>
      <c r="C3151" s="28"/>
      <c r="D3151" s="28"/>
      <c r="E3151" s="28"/>
      <c r="F3151" s="28"/>
      <c r="G3151" s="28"/>
      <c r="H3151" s="28"/>
      <c r="I3151" s="28"/>
      <c r="J3151" s="28"/>
      <c r="K3151" s="28"/>
      <c r="L3151" s="28"/>
      <c r="M3151" s="28"/>
      <c r="N3151" s="28"/>
      <c r="O3151" s="28"/>
      <c r="P3151" s="28"/>
      <c r="Q3151" s="28"/>
      <c r="R3151" s="28"/>
      <c r="S3151" s="28"/>
    </row>
    <row r="3152" spans="1:19" x14ac:dyDescent="0.25">
      <c r="A3152" s="28"/>
      <c r="B3152" s="28"/>
      <c r="C3152" s="28"/>
      <c r="D3152" s="28"/>
      <c r="E3152" s="28"/>
      <c r="F3152" s="28"/>
      <c r="G3152" s="28"/>
      <c r="H3152" s="28"/>
      <c r="I3152" s="28"/>
      <c r="J3152" s="28"/>
      <c r="K3152" s="28"/>
      <c r="L3152" s="28"/>
      <c r="M3152" s="28"/>
      <c r="N3152" s="28"/>
      <c r="O3152" s="28"/>
      <c r="P3152" s="28"/>
      <c r="Q3152" s="28"/>
      <c r="R3152" s="28"/>
      <c r="S3152" s="28"/>
    </row>
    <row r="3153" spans="1:19" x14ac:dyDescent="0.25">
      <c r="A3153" s="28"/>
      <c r="B3153" s="28"/>
      <c r="C3153" s="28"/>
      <c r="D3153" s="28"/>
      <c r="E3153" s="28"/>
      <c r="F3153" s="28"/>
      <c r="G3153" s="28"/>
      <c r="H3153" s="28"/>
      <c r="I3153" s="28"/>
      <c r="J3153" s="28"/>
      <c r="K3153" s="28"/>
      <c r="L3153" s="28"/>
      <c r="M3153" s="28"/>
      <c r="N3153" s="28"/>
      <c r="O3153" s="28"/>
      <c r="P3153" s="28"/>
      <c r="Q3153" s="28"/>
      <c r="R3153" s="28"/>
      <c r="S3153" s="28"/>
    </row>
    <row r="3154" spans="1:19" x14ac:dyDescent="0.25">
      <c r="A3154" s="28"/>
      <c r="B3154" s="28"/>
      <c r="C3154" s="28"/>
      <c r="D3154" s="28"/>
      <c r="E3154" s="28"/>
      <c r="F3154" s="28"/>
      <c r="G3154" s="28"/>
      <c r="H3154" s="28"/>
      <c r="I3154" s="28"/>
      <c r="J3154" s="28"/>
      <c r="K3154" s="28"/>
      <c r="L3154" s="28"/>
      <c r="M3154" s="28"/>
      <c r="N3154" s="28"/>
      <c r="O3154" s="28"/>
      <c r="P3154" s="28"/>
      <c r="Q3154" s="28"/>
      <c r="R3154" s="28"/>
      <c r="S3154" s="28"/>
    </row>
    <row r="3155" spans="1:19" x14ac:dyDescent="0.25">
      <c r="A3155" s="28"/>
      <c r="B3155" s="28"/>
      <c r="C3155" s="28"/>
      <c r="D3155" s="28"/>
      <c r="E3155" s="28"/>
      <c r="F3155" s="28"/>
      <c r="G3155" s="28"/>
      <c r="H3155" s="28"/>
      <c r="I3155" s="28"/>
      <c r="J3155" s="28"/>
      <c r="K3155" s="28"/>
      <c r="L3155" s="28"/>
      <c r="M3155" s="28"/>
      <c r="N3155" s="28"/>
      <c r="O3155" s="28"/>
      <c r="P3155" s="28"/>
      <c r="Q3155" s="28"/>
      <c r="R3155" s="28"/>
      <c r="S3155" s="28"/>
    </row>
    <row r="3156" spans="1:19" x14ac:dyDescent="0.25">
      <c r="A3156" s="28"/>
      <c r="B3156" s="28"/>
      <c r="C3156" s="28"/>
      <c r="D3156" s="28"/>
      <c r="E3156" s="28"/>
      <c r="F3156" s="28"/>
      <c r="G3156" s="28"/>
      <c r="H3156" s="28"/>
      <c r="I3156" s="28"/>
      <c r="J3156" s="28"/>
      <c r="K3156" s="28"/>
      <c r="L3156" s="28"/>
      <c r="M3156" s="28"/>
      <c r="N3156" s="28"/>
      <c r="O3156" s="28"/>
      <c r="P3156" s="28"/>
      <c r="Q3156" s="28"/>
      <c r="R3156" s="28"/>
      <c r="S3156" s="28"/>
    </row>
    <row r="3157" spans="1:19" x14ac:dyDescent="0.25">
      <c r="A3157" s="28"/>
      <c r="B3157" s="28"/>
      <c r="C3157" s="28"/>
      <c r="D3157" s="28"/>
      <c r="E3157" s="28"/>
      <c r="F3157" s="28"/>
      <c r="G3157" s="28"/>
      <c r="H3157" s="28"/>
      <c r="I3157" s="28"/>
      <c r="J3157" s="28"/>
      <c r="K3157" s="28"/>
      <c r="L3157" s="28"/>
      <c r="M3157" s="28"/>
      <c r="N3157" s="28"/>
      <c r="O3157" s="28"/>
      <c r="P3157" s="28"/>
      <c r="Q3157" s="28"/>
      <c r="R3157" s="28"/>
      <c r="S3157" s="28"/>
    </row>
    <row r="3158" spans="1:19" x14ac:dyDescent="0.25">
      <c r="A3158" s="28"/>
      <c r="B3158" s="28"/>
      <c r="C3158" s="28"/>
      <c r="D3158" s="28"/>
      <c r="E3158" s="28"/>
      <c r="F3158" s="28"/>
      <c r="G3158" s="28"/>
      <c r="H3158" s="28"/>
      <c r="I3158" s="28"/>
      <c r="J3158" s="28"/>
      <c r="K3158" s="28"/>
      <c r="L3158" s="28"/>
      <c r="M3158" s="28"/>
      <c r="N3158" s="28"/>
      <c r="O3158" s="28"/>
      <c r="P3158" s="28"/>
      <c r="Q3158" s="28"/>
      <c r="R3158" s="28"/>
      <c r="S3158" s="28"/>
    </row>
    <row r="3159" spans="1:19" x14ac:dyDescent="0.25">
      <c r="A3159" s="28"/>
      <c r="B3159" s="28"/>
      <c r="C3159" s="28"/>
      <c r="D3159" s="28"/>
      <c r="E3159" s="28"/>
      <c r="F3159" s="28"/>
      <c r="G3159" s="28"/>
      <c r="H3159" s="28"/>
      <c r="I3159" s="28"/>
      <c r="J3159" s="28"/>
      <c r="K3159" s="28"/>
      <c r="L3159" s="28"/>
      <c r="M3159" s="28"/>
      <c r="N3159" s="28"/>
      <c r="O3159" s="28"/>
      <c r="P3159" s="28"/>
      <c r="Q3159" s="28"/>
      <c r="R3159" s="28"/>
      <c r="S3159" s="28"/>
    </row>
    <row r="3160" spans="1:19" x14ac:dyDescent="0.25">
      <c r="A3160" s="28"/>
      <c r="B3160" s="28"/>
      <c r="C3160" s="28"/>
      <c r="D3160" s="28"/>
      <c r="E3160" s="28"/>
      <c r="F3160" s="28"/>
      <c r="G3160" s="28"/>
      <c r="H3160" s="28"/>
      <c r="I3160" s="28"/>
      <c r="J3160" s="28"/>
      <c r="K3160" s="28"/>
      <c r="L3160" s="28"/>
      <c r="M3160" s="28"/>
      <c r="N3160" s="28"/>
      <c r="O3160" s="28"/>
      <c r="P3160" s="28"/>
      <c r="Q3160" s="28"/>
      <c r="R3160" s="28"/>
      <c r="S3160" s="28"/>
    </row>
    <row r="3161" spans="1:19" x14ac:dyDescent="0.25">
      <c r="A3161" s="28"/>
      <c r="B3161" s="28"/>
      <c r="C3161" s="28"/>
      <c r="D3161" s="28"/>
      <c r="E3161" s="28"/>
      <c r="F3161" s="28"/>
      <c r="G3161" s="28"/>
      <c r="H3161" s="28"/>
      <c r="I3161" s="28"/>
      <c r="J3161" s="28"/>
      <c r="K3161" s="28"/>
      <c r="L3161" s="28"/>
      <c r="M3161" s="28"/>
      <c r="N3161" s="28"/>
      <c r="O3161" s="28"/>
      <c r="P3161" s="28"/>
      <c r="Q3161" s="28"/>
      <c r="R3161" s="28"/>
      <c r="S3161" s="28"/>
    </row>
    <row r="3162" spans="1:19" x14ac:dyDescent="0.25">
      <c r="A3162" s="28"/>
      <c r="B3162" s="28"/>
      <c r="C3162" s="28"/>
      <c r="D3162" s="28"/>
      <c r="E3162" s="28"/>
      <c r="F3162" s="28"/>
      <c r="G3162" s="28"/>
      <c r="H3162" s="28"/>
      <c r="I3162" s="28"/>
      <c r="J3162" s="28"/>
      <c r="K3162" s="28"/>
      <c r="L3162" s="28"/>
      <c r="M3162" s="28"/>
      <c r="N3162" s="28"/>
      <c r="O3162" s="28"/>
      <c r="P3162" s="28"/>
      <c r="Q3162" s="28"/>
      <c r="R3162" s="28"/>
      <c r="S3162" s="28"/>
    </row>
    <row r="3163" spans="1:19" x14ac:dyDescent="0.25">
      <c r="A3163" s="28"/>
      <c r="B3163" s="28"/>
      <c r="C3163" s="28"/>
      <c r="D3163" s="28"/>
      <c r="E3163" s="28"/>
      <c r="F3163" s="28"/>
      <c r="G3163" s="28"/>
      <c r="H3163" s="28"/>
      <c r="I3163" s="28"/>
      <c r="J3163" s="28"/>
      <c r="K3163" s="28"/>
      <c r="L3163" s="28"/>
      <c r="M3163" s="28"/>
      <c r="N3163" s="28"/>
      <c r="O3163" s="28"/>
      <c r="P3163" s="28"/>
      <c r="Q3163" s="28"/>
      <c r="R3163" s="28"/>
      <c r="S3163" s="28"/>
    </row>
    <row r="3164" spans="1:19" x14ac:dyDescent="0.25">
      <c r="A3164" s="28"/>
      <c r="B3164" s="28"/>
      <c r="C3164" s="28"/>
      <c r="D3164" s="28"/>
      <c r="E3164" s="28"/>
      <c r="F3164" s="28"/>
      <c r="G3164" s="28"/>
      <c r="H3164" s="28"/>
      <c r="I3164" s="28"/>
      <c r="J3164" s="28"/>
      <c r="K3164" s="28"/>
      <c r="L3164" s="28"/>
      <c r="M3164" s="28"/>
      <c r="N3164" s="28"/>
      <c r="O3164" s="28"/>
      <c r="P3164" s="28"/>
      <c r="Q3164" s="28"/>
      <c r="R3164" s="28"/>
      <c r="S3164" s="28"/>
    </row>
    <row r="3165" spans="1:19" x14ac:dyDescent="0.25">
      <c r="A3165" s="28"/>
      <c r="B3165" s="28"/>
      <c r="C3165" s="28"/>
      <c r="D3165" s="28"/>
      <c r="E3165" s="28"/>
      <c r="F3165" s="28"/>
      <c r="G3165" s="28"/>
      <c r="H3165" s="28"/>
      <c r="I3165" s="28"/>
      <c r="J3165" s="28"/>
      <c r="K3165" s="28"/>
      <c r="L3165" s="28"/>
      <c r="M3165" s="28"/>
      <c r="N3165" s="28"/>
      <c r="O3165" s="28"/>
      <c r="P3165" s="28"/>
      <c r="Q3165" s="28"/>
      <c r="R3165" s="28"/>
      <c r="S3165" s="28"/>
    </row>
    <row r="3166" spans="1:19" x14ac:dyDescent="0.25">
      <c r="A3166" s="28"/>
      <c r="B3166" s="28"/>
      <c r="C3166" s="28"/>
      <c r="D3166" s="28"/>
      <c r="E3166" s="28"/>
      <c r="F3166" s="28"/>
      <c r="G3166" s="28"/>
      <c r="H3166" s="28"/>
      <c r="I3166" s="28"/>
      <c r="J3166" s="28"/>
      <c r="K3166" s="28"/>
      <c r="L3166" s="28"/>
      <c r="M3166" s="28"/>
      <c r="N3166" s="28"/>
      <c r="O3166" s="28"/>
      <c r="P3166" s="28"/>
      <c r="Q3166" s="28"/>
      <c r="R3166" s="28"/>
      <c r="S3166" s="28"/>
    </row>
    <row r="3167" spans="1:19" x14ac:dyDescent="0.25">
      <c r="A3167" s="28"/>
      <c r="B3167" s="28"/>
      <c r="C3167" s="28"/>
      <c r="D3167" s="28"/>
      <c r="E3167" s="28"/>
      <c r="F3167" s="28"/>
      <c r="G3167" s="28"/>
      <c r="H3167" s="28"/>
      <c r="I3167" s="28"/>
      <c r="J3167" s="28"/>
      <c r="K3167" s="28"/>
      <c r="L3167" s="28"/>
      <c r="M3167" s="28"/>
      <c r="N3167" s="28"/>
      <c r="O3167" s="28"/>
      <c r="P3167" s="28"/>
      <c r="Q3167" s="28"/>
      <c r="R3167" s="28"/>
      <c r="S3167" s="28"/>
    </row>
    <row r="3168" spans="1:19" x14ac:dyDescent="0.25">
      <c r="A3168" s="28"/>
      <c r="B3168" s="28"/>
      <c r="C3168" s="28"/>
      <c r="D3168" s="28"/>
      <c r="E3168" s="28"/>
      <c r="F3168" s="28"/>
      <c r="G3168" s="28"/>
      <c r="H3168" s="28"/>
      <c r="I3168" s="28"/>
      <c r="J3168" s="28"/>
      <c r="K3168" s="28"/>
      <c r="L3168" s="28"/>
      <c r="M3168" s="28"/>
      <c r="N3168" s="28"/>
      <c r="O3168" s="28"/>
      <c r="P3168" s="28"/>
      <c r="Q3168" s="28"/>
      <c r="R3168" s="28"/>
      <c r="S3168" s="28"/>
    </row>
    <row r="3169" spans="1:19" x14ac:dyDescent="0.25">
      <c r="A3169" s="28"/>
      <c r="B3169" s="28"/>
      <c r="C3169" s="28"/>
      <c r="D3169" s="28"/>
      <c r="E3169" s="28"/>
      <c r="F3169" s="28"/>
      <c r="G3169" s="28"/>
      <c r="H3169" s="28"/>
      <c r="I3169" s="28"/>
      <c r="J3169" s="28"/>
      <c r="K3169" s="28"/>
      <c r="L3169" s="28"/>
      <c r="M3169" s="28"/>
      <c r="N3169" s="28"/>
      <c r="O3169" s="28"/>
      <c r="P3169" s="28"/>
      <c r="Q3169" s="28"/>
      <c r="R3169" s="28"/>
      <c r="S3169" s="28"/>
    </row>
    <row r="3170" spans="1:19" x14ac:dyDescent="0.25">
      <c r="A3170" s="28"/>
      <c r="B3170" s="28"/>
      <c r="C3170" s="28"/>
      <c r="D3170" s="28"/>
      <c r="E3170" s="28"/>
      <c r="F3170" s="28"/>
      <c r="G3170" s="28"/>
      <c r="H3170" s="28"/>
      <c r="I3170" s="28"/>
      <c r="J3170" s="28"/>
      <c r="K3170" s="28"/>
      <c r="L3170" s="28"/>
      <c r="M3170" s="28"/>
      <c r="N3170" s="28"/>
      <c r="O3170" s="28"/>
      <c r="P3170" s="28"/>
      <c r="Q3170" s="28"/>
      <c r="R3170" s="28"/>
      <c r="S3170" s="28"/>
    </row>
    <row r="3171" spans="1:19" x14ac:dyDescent="0.25">
      <c r="A3171" s="28"/>
      <c r="B3171" s="28"/>
      <c r="C3171" s="28"/>
      <c r="D3171" s="28"/>
      <c r="E3171" s="28"/>
      <c r="F3171" s="28"/>
      <c r="G3171" s="28"/>
      <c r="H3171" s="28"/>
      <c r="I3171" s="28"/>
      <c r="J3171" s="28"/>
      <c r="K3171" s="28"/>
      <c r="L3171" s="28"/>
      <c r="M3171" s="28"/>
      <c r="N3171" s="28"/>
      <c r="O3171" s="28"/>
      <c r="P3171" s="28"/>
      <c r="Q3171" s="28"/>
      <c r="R3171" s="28"/>
      <c r="S3171" s="28"/>
    </row>
    <row r="3172" spans="1:19" x14ac:dyDescent="0.25">
      <c r="A3172" s="28"/>
      <c r="B3172" s="28"/>
      <c r="C3172" s="28"/>
      <c r="D3172" s="28"/>
      <c r="E3172" s="28"/>
      <c r="F3172" s="28"/>
      <c r="G3172" s="28"/>
      <c r="H3172" s="28"/>
      <c r="I3172" s="28"/>
      <c r="J3172" s="28"/>
      <c r="K3172" s="28"/>
      <c r="L3172" s="28"/>
      <c r="M3172" s="28"/>
      <c r="N3172" s="28"/>
      <c r="O3172" s="28"/>
      <c r="P3172" s="28"/>
      <c r="Q3172" s="28"/>
      <c r="R3172" s="28"/>
      <c r="S3172" s="28"/>
    </row>
    <row r="3173" spans="1:19" x14ac:dyDescent="0.25">
      <c r="A3173" s="28"/>
      <c r="B3173" s="28"/>
      <c r="C3173" s="28"/>
      <c r="D3173" s="28"/>
      <c r="E3173" s="28"/>
      <c r="F3173" s="28"/>
      <c r="G3173" s="28"/>
      <c r="H3173" s="28"/>
      <c r="I3173" s="28"/>
      <c r="J3173" s="28"/>
      <c r="K3173" s="28"/>
      <c r="L3173" s="28"/>
      <c r="M3173" s="28"/>
      <c r="N3173" s="28"/>
      <c r="O3173" s="28"/>
      <c r="P3173" s="28"/>
      <c r="Q3173" s="28"/>
      <c r="R3173" s="28"/>
      <c r="S3173" s="28"/>
    </row>
    <row r="3174" spans="1:19" x14ac:dyDescent="0.25">
      <c r="A3174" s="28"/>
      <c r="B3174" s="28"/>
      <c r="C3174" s="28"/>
      <c r="D3174" s="28"/>
      <c r="E3174" s="28"/>
      <c r="F3174" s="28"/>
      <c r="G3174" s="28"/>
      <c r="H3174" s="28"/>
      <c r="I3174" s="28"/>
      <c r="J3174" s="28"/>
      <c r="K3174" s="28"/>
      <c r="L3174" s="28"/>
      <c r="M3174" s="28"/>
      <c r="N3174" s="28"/>
      <c r="O3174" s="28"/>
      <c r="P3174" s="28"/>
      <c r="Q3174" s="28"/>
      <c r="R3174" s="28"/>
      <c r="S3174" s="28"/>
    </row>
    <row r="3175" spans="1:19" x14ac:dyDescent="0.25">
      <c r="A3175" s="28"/>
      <c r="B3175" s="28"/>
      <c r="C3175" s="28"/>
      <c r="D3175" s="28"/>
      <c r="E3175" s="28"/>
      <c r="F3175" s="28"/>
      <c r="G3175" s="28"/>
      <c r="H3175" s="28"/>
      <c r="I3175" s="28"/>
      <c r="J3175" s="28"/>
      <c r="K3175" s="28"/>
      <c r="L3175" s="28"/>
      <c r="M3175" s="28"/>
      <c r="N3175" s="28"/>
      <c r="O3175" s="28"/>
      <c r="P3175" s="28"/>
      <c r="Q3175" s="28"/>
      <c r="R3175" s="28"/>
      <c r="S3175" s="28"/>
    </row>
    <row r="3176" spans="1:19" x14ac:dyDescent="0.25">
      <c r="A3176" s="28"/>
      <c r="B3176" s="28"/>
      <c r="C3176" s="28"/>
      <c r="D3176" s="28"/>
      <c r="E3176" s="28"/>
      <c r="F3176" s="28"/>
      <c r="G3176" s="28"/>
      <c r="H3176" s="28"/>
      <c r="I3176" s="28"/>
      <c r="J3176" s="28"/>
      <c r="K3176" s="28"/>
      <c r="L3176" s="28"/>
      <c r="M3176" s="28"/>
      <c r="N3176" s="28"/>
      <c r="O3176" s="28"/>
      <c r="P3176" s="28"/>
      <c r="Q3176" s="28"/>
      <c r="R3176" s="28"/>
      <c r="S3176" s="28"/>
    </row>
    <row r="3177" spans="1:19" x14ac:dyDescent="0.25">
      <c r="A3177" s="28"/>
      <c r="B3177" s="28"/>
      <c r="C3177" s="28"/>
      <c r="D3177" s="28"/>
      <c r="E3177" s="28"/>
      <c r="F3177" s="28"/>
      <c r="G3177" s="28"/>
      <c r="H3177" s="28"/>
      <c r="I3177" s="28"/>
      <c r="J3177" s="28"/>
      <c r="K3177" s="28"/>
      <c r="L3177" s="28"/>
      <c r="M3177" s="28"/>
      <c r="N3177" s="28"/>
      <c r="O3177" s="28"/>
      <c r="P3177" s="28"/>
      <c r="Q3177" s="28"/>
      <c r="R3177" s="28"/>
      <c r="S3177" s="28"/>
    </row>
    <row r="3178" spans="1:19" x14ac:dyDescent="0.25">
      <c r="A3178" s="28"/>
      <c r="B3178" s="28"/>
      <c r="C3178" s="28"/>
      <c r="D3178" s="28"/>
      <c r="E3178" s="28"/>
      <c r="F3178" s="28"/>
      <c r="G3178" s="28"/>
      <c r="H3178" s="28"/>
      <c r="I3178" s="28"/>
      <c r="J3178" s="28"/>
      <c r="K3178" s="28"/>
      <c r="L3178" s="28"/>
      <c r="M3178" s="28"/>
      <c r="N3178" s="28"/>
      <c r="O3178" s="28"/>
      <c r="P3178" s="28"/>
      <c r="Q3178" s="28"/>
      <c r="R3178" s="28"/>
      <c r="S3178" s="28"/>
    </row>
    <row r="3179" spans="1:19" x14ac:dyDescent="0.25">
      <c r="A3179" s="28"/>
      <c r="B3179" s="28"/>
      <c r="C3179" s="28"/>
      <c r="D3179" s="28"/>
      <c r="E3179" s="28"/>
      <c r="F3179" s="28"/>
      <c r="G3179" s="28"/>
      <c r="H3179" s="28"/>
      <c r="I3179" s="28"/>
      <c r="J3179" s="28"/>
      <c r="K3179" s="28"/>
      <c r="L3179" s="28"/>
      <c r="M3179" s="28"/>
      <c r="N3179" s="28"/>
      <c r="O3179" s="28"/>
      <c r="P3179" s="28"/>
      <c r="Q3179" s="28"/>
      <c r="R3179" s="28"/>
      <c r="S3179" s="28"/>
    </row>
    <row r="3180" spans="1:19" x14ac:dyDescent="0.25">
      <c r="A3180" s="28"/>
      <c r="B3180" s="28"/>
      <c r="C3180" s="28"/>
      <c r="D3180" s="28"/>
      <c r="E3180" s="28"/>
      <c r="F3180" s="28"/>
      <c r="G3180" s="28"/>
      <c r="H3180" s="28"/>
      <c r="I3180" s="28"/>
      <c r="J3180" s="28"/>
      <c r="K3180" s="28"/>
      <c r="L3180" s="28"/>
      <c r="M3180" s="28"/>
      <c r="N3180" s="28"/>
      <c r="O3180" s="28"/>
      <c r="P3180" s="28"/>
      <c r="Q3180" s="28"/>
      <c r="R3180" s="28"/>
      <c r="S3180" s="28"/>
    </row>
    <row r="3181" spans="1:19" x14ac:dyDescent="0.25">
      <c r="A3181" s="28"/>
      <c r="B3181" s="28"/>
      <c r="C3181" s="28"/>
      <c r="D3181" s="28"/>
      <c r="E3181" s="28"/>
      <c r="F3181" s="28"/>
      <c r="G3181" s="28"/>
      <c r="H3181" s="28"/>
      <c r="I3181" s="28"/>
      <c r="J3181" s="28"/>
      <c r="K3181" s="28"/>
      <c r="L3181" s="28"/>
      <c r="M3181" s="28"/>
      <c r="N3181" s="28"/>
      <c r="O3181" s="28"/>
      <c r="P3181" s="28"/>
      <c r="Q3181" s="28"/>
      <c r="R3181" s="28"/>
      <c r="S3181" s="28"/>
    </row>
    <row r="3182" spans="1:19" x14ac:dyDescent="0.25">
      <c r="A3182" s="28"/>
      <c r="B3182" s="28"/>
      <c r="C3182" s="28"/>
      <c r="D3182" s="28"/>
      <c r="E3182" s="28"/>
      <c r="F3182" s="28"/>
      <c r="G3182" s="28"/>
      <c r="H3182" s="28"/>
      <c r="I3182" s="28"/>
      <c r="J3182" s="28"/>
      <c r="K3182" s="28"/>
      <c r="L3182" s="28"/>
      <c r="M3182" s="28"/>
      <c r="N3182" s="28"/>
      <c r="O3182" s="28"/>
      <c r="P3182" s="28"/>
      <c r="Q3182" s="28"/>
      <c r="R3182" s="28"/>
      <c r="S3182" s="28"/>
    </row>
    <row r="3183" spans="1:19" x14ac:dyDescent="0.25">
      <c r="A3183" s="28"/>
      <c r="B3183" s="28"/>
      <c r="C3183" s="28"/>
      <c r="D3183" s="28"/>
      <c r="E3183" s="28"/>
      <c r="F3183" s="28"/>
      <c r="G3183" s="28"/>
      <c r="H3183" s="28"/>
      <c r="I3183" s="28"/>
      <c r="J3183" s="28"/>
      <c r="K3183" s="28"/>
      <c r="L3183" s="28"/>
      <c r="M3183" s="28"/>
      <c r="N3183" s="28"/>
      <c r="O3183" s="28"/>
      <c r="P3183" s="28"/>
      <c r="Q3183" s="28"/>
      <c r="R3183" s="28"/>
      <c r="S3183" s="28"/>
    </row>
    <row r="3184" spans="1:19" x14ac:dyDescent="0.25">
      <c r="A3184" s="28"/>
      <c r="B3184" s="28"/>
      <c r="C3184" s="28"/>
      <c r="D3184" s="28"/>
      <c r="E3184" s="28"/>
      <c r="F3184" s="28"/>
      <c r="G3184" s="28"/>
      <c r="H3184" s="28"/>
      <c r="I3184" s="28"/>
      <c r="J3184" s="28"/>
      <c r="K3184" s="28"/>
      <c r="L3184" s="28"/>
      <c r="M3184" s="28"/>
      <c r="N3184" s="28"/>
      <c r="O3184" s="28"/>
      <c r="P3184" s="28"/>
      <c r="Q3184" s="28"/>
      <c r="R3184" s="28"/>
      <c r="S3184" s="28"/>
    </row>
    <row r="3185" spans="1:19" x14ac:dyDescent="0.25">
      <c r="A3185" s="28"/>
      <c r="B3185" s="28"/>
      <c r="C3185" s="28"/>
      <c r="D3185" s="28"/>
      <c r="E3185" s="28"/>
      <c r="F3185" s="28"/>
      <c r="G3185" s="28"/>
      <c r="H3185" s="28"/>
      <c r="I3185" s="28"/>
      <c r="J3185" s="28"/>
      <c r="K3185" s="28"/>
      <c r="L3185" s="28"/>
      <c r="M3185" s="28"/>
      <c r="N3185" s="28"/>
      <c r="O3185" s="28"/>
      <c r="P3185" s="28"/>
      <c r="Q3185" s="28"/>
      <c r="R3185" s="28"/>
      <c r="S3185" s="28"/>
    </row>
    <row r="3186" spans="1:19" x14ac:dyDescent="0.25">
      <c r="A3186" s="28"/>
      <c r="B3186" s="28"/>
      <c r="C3186" s="28"/>
      <c r="D3186" s="28"/>
      <c r="E3186" s="28"/>
      <c r="F3186" s="28"/>
      <c r="G3186" s="28"/>
      <c r="H3186" s="28"/>
      <c r="I3186" s="28"/>
      <c r="J3186" s="28"/>
      <c r="K3186" s="28"/>
      <c r="L3186" s="28"/>
      <c r="M3186" s="28"/>
      <c r="N3186" s="28"/>
      <c r="O3186" s="28"/>
      <c r="P3186" s="28"/>
      <c r="Q3186" s="28"/>
      <c r="R3186" s="28"/>
      <c r="S3186" s="28"/>
    </row>
    <row r="3187" spans="1:19" x14ac:dyDescent="0.25">
      <c r="A3187" s="28"/>
      <c r="B3187" s="28"/>
      <c r="C3187" s="28"/>
      <c r="D3187" s="28"/>
      <c r="E3187" s="28"/>
      <c r="F3187" s="28"/>
      <c r="G3187" s="28"/>
      <c r="H3187" s="28"/>
      <c r="I3187" s="28"/>
      <c r="J3187" s="28"/>
      <c r="K3187" s="28"/>
      <c r="L3187" s="28"/>
      <c r="M3187" s="28"/>
      <c r="N3187" s="28"/>
      <c r="O3187" s="28"/>
      <c r="P3187" s="28"/>
      <c r="Q3187" s="28"/>
      <c r="R3187" s="28"/>
      <c r="S3187" s="28"/>
    </row>
    <row r="3188" spans="1:19" x14ac:dyDescent="0.25">
      <c r="A3188" s="28"/>
      <c r="B3188" s="28"/>
      <c r="C3188" s="28"/>
      <c r="D3188" s="28"/>
      <c r="E3188" s="28"/>
      <c r="F3188" s="28"/>
      <c r="G3188" s="28"/>
      <c r="H3188" s="28"/>
      <c r="I3188" s="28"/>
      <c r="J3188" s="28"/>
      <c r="K3188" s="28"/>
      <c r="L3188" s="28"/>
      <c r="M3188" s="28"/>
      <c r="N3188" s="28"/>
      <c r="O3188" s="28"/>
      <c r="P3188" s="28"/>
      <c r="Q3188" s="28"/>
      <c r="R3188" s="28"/>
      <c r="S3188" s="28"/>
    </row>
    <row r="3189" spans="1:19" x14ac:dyDescent="0.25">
      <c r="A3189" s="28"/>
      <c r="B3189" s="28"/>
      <c r="C3189" s="28"/>
      <c r="D3189" s="28"/>
      <c r="E3189" s="28"/>
      <c r="F3189" s="28"/>
      <c r="G3189" s="28"/>
      <c r="H3189" s="28"/>
      <c r="I3189" s="28"/>
      <c r="J3189" s="28"/>
      <c r="K3189" s="28"/>
      <c r="L3189" s="28"/>
      <c r="M3189" s="28"/>
      <c r="N3189" s="28"/>
      <c r="O3189" s="28"/>
      <c r="P3189" s="28"/>
      <c r="Q3189" s="28"/>
      <c r="R3189" s="28"/>
      <c r="S3189" s="28"/>
    </row>
    <row r="3190" spans="1:19" x14ac:dyDescent="0.25">
      <c r="A3190" s="28"/>
      <c r="B3190" s="28"/>
      <c r="C3190" s="28"/>
      <c r="D3190" s="28"/>
      <c r="E3190" s="28"/>
      <c r="F3190" s="28"/>
      <c r="G3190" s="28"/>
      <c r="H3190" s="28"/>
      <c r="I3190" s="28"/>
      <c r="J3190" s="28"/>
      <c r="K3190" s="28"/>
      <c r="L3190" s="28"/>
      <c r="M3190" s="28"/>
      <c r="N3190" s="28"/>
      <c r="O3190" s="28"/>
      <c r="P3190" s="28"/>
      <c r="Q3190" s="28"/>
      <c r="R3190" s="28"/>
      <c r="S3190" s="28"/>
    </row>
    <row r="3191" spans="1:19" x14ac:dyDescent="0.25">
      <c r="A3191" s="28"/>
      <c r="B3191" s="28"/>
      <c r="C3191" s="28"/>
      <c r="D3191" s="28"/>
      <c r="E3191" s="28"/>
      <c r="F3191" s="28"/>
      <c r="G3191" s="28"/>
      <c r="H3191" s="28"/>
      <c r="I3191" s="28"/>
      <c r="J3191" s="28"/>
      <c r="K3191" s="28"/>
      <c r="L3191" s="28"/>
      <c r="M3191" s="28"/>
      <c r="N3191" s="28"/>
      <c r="O3191" s="28"/>
      <c r="P3191" s="28"/>
      <c r="Q3191" s="28"/>
      <c r="R3191" s="28"/>
      <c r="S3191" s="28"/>
    </row>
    <row r="3192" spans="1:19" x14ac:dyDescent="0.25">
      <c r="A3192" s="28"/>
      <c r="B3192" s="28"/>
      <c r="C3192" s="28"/>
      <c r="D3192" s="28"/>
      <c r="E3192" s="28"/>
      <c r="F3192" s="28"/>
      <c r="G3192" s="28"/>
      <c r="H3192" s="28"/>
      <c r="I3192" s="28"/>
      <c r="J3192" s="28"/>
      <c r="K3192" s="28"/>
      <c r="L3192" s="28"/>
      <c r="M3192" s="28"/>
      <c r="N3192" s="28"/>
      <c r="O3192" s="28"/>
      <c r="P3192" s="28"/>
      <c r="Q3192" s="28"/>
      <c r="R3192" s="28"/>
      <c r="S3192" s="28"/>
    </row>
    <row r="3193" spans="1:19" x14ac:dyDescent="0.25">
      <c r="A3193" s="28"/>
      <c r="B3193" s="28"/>
      <c r="C3193" s="28"/>
      <c r="D3193" s="28"/>
      <c r="E3193" s="28"/>
      <c r="F3193" s="28"/>
      <c r="G3193" s="28"/>
      <c r="H3193" s="28"/>
      <c r="I3193" s="28"/>
      <c r="J3193" s="28"/>
      <c r="K3193" s="28"/>
      <c r="L3193" s="28"/>
      <c r="M3193" s="28"/>
      <c r="N3193" s="28"/>
      <c r="O3193" s="28"/>
      <c r="P3193" s="28"/>
      <c r="Q3193" s="28"/>
      <c r="R3193" s="28"/>
      <c r="S3193" s="28"/>
    </row>
    <row r="3194" spans="1:19" x14ac:dyDescent="0.25">
      <c r="A3194" s="28"/>
      <c r="B3194" s="28"/>
      <c r="C3194" s="28"/>
      <c r="D3194" s="28"/>
      <c r="E3194" s="28"/>
      <c r="F3194" s="28"/>
      <c r="G3194" s="28"/>
      <c r="H3194" s="28"/>
      <c r="I3194" s="28"/>
      <c r="J3194" s="28"/>
      <c r="K3194" s="28"/>
      <c r="L3194" s="28"/>
      <c r="M3194" s="28"/>
      <c r="N3194" s="28"/>
      <c r="O3194" s="28"/>
      <c r="P3194" s="28"/>
      <c r="Q3194" s="28"/>
      <c r="R3194" s="28"/>
      <c r="S3194" s="28"/>
    </row>
    <row r="3195" spans="1:19" x14ac:dyDescent="0.25">
      <c r="A3195" s="28"/>
      <c r="B3195" s="28"/>
      <c r="C3195" s="28"/>
      <c r="D3195" s="28"/>
      <c r="E3195" s="28"/>
      <c r="F3195" s="28"/>
      <c r="G3195" s="28"/>
      <c r="H3195" s="28"/>
      <c r="I3195" s="28"/>
      <c r="J3195" s="28"/>
      <c r="K3195" s="28"/>
      <c r="L3195" s="28"/>
      <c r="M3195" s="28"/>
      <c r="N3195" s="28"/>
      <c r="O3195" s="28"/>
      <c r="P3195" s="28"/>
      <c r="Q3195" s="28"/>
      <c r="R3195" s="28"/>
      <c r="S3195" s="28"/>
    </row>
    <row r="3196" spans="1:19" x14ac:dyDescent="0.25">
      <c r="A3196" s="28"/>
      <c r="B3196" s="28"/>
      <c r="C3196" s="28"/>
      <c r="D3196" s="28"/>
      <c r="E3196" s="28"/>
      <c r="F3196" s="28"/>
      <c r="G3196" s="28"/>
      <c r="H3196" s="28"/>
      <c r="I3196" s="28"/>
      <c r="J3196" s="28"/>
      <c r="K3196" s="28"/>
      <c r="L3196" s="28"/>
      <c r="M3196" s="28"/>
      <c r="N3196" s="28"/>
      <c r="O3196" s="28"/>
      <c r="P3196" s="28"/>
      <c r="Q3196" s="28"/>
      <c r="R3196" s="28"/>
      <c r="S3196" s="28"/>
    </row>
    <row r="3197" spans="1:19" x14ac:dyDescent="0.25">
      <c r="A3197" s="28"/>
      <c r="B3197" s="28"/>
      <c r="C3197" s="28"/>
      <c r="D3197" s="28"/>
      <c r="E3197" s="28"/>
      <c r="F3197" s="28"/>
      <c r="G3197" s="28"/>
      <c r="H3197" s="28"/>
      <c r="I3197" s="28"/>
      <c r="J3197" s="28"/>
      <c r="K3197" s="28"/>
      <c r="L3197" s="28"/>
      <c r="M3197" s="28"/>
      <c r="N3197" s="28"/>
      <c r="O3197" s="28"/>
      <c r="P3197" s="28"/>
      <c r="Q3197" s="28"/>
      <c r="R3197" s="28"/>
      <c r="S3197" s="28"/>
    </row>
    <row r="3198" spans="1:19" x14ac:dyDescent="0.25">
      <c r="A3198" s="28"/>
      <c r="B3198" s="28"/>
      <c r="C3198" s="28"/>
      <c r="D3198" s="28"/>
      <c r="E3198" s="28"/>
      <c r="F3198" s="28"/>
      <c r="G3198" s="28"/>
      <c r="H3198" s="28"/>
      <c r="I3198" s="28"/>
      <c r="J3198" s="28"/>
      <c r="K3198" s="28"/>
      <c r="L3198" s="28"/>
      <c r="M3198" s="28"/>
      <c r="N3198" s="28"/>
      <c r="O3198" s="28"/>
      <c r="P3198" s="28"/>
      <c r="Q3198" s="28"/>
      <c r="R3198" s="28"/>
      <c r="S3198" s="28"/>
    </row>
    <row r="3199" spans="1:19" x14ac:dyDescent="0.25">
      <c r="A3199" s="28"/>
      <c r="B3199" s="28"/>
      <c r="C3199" s="28"/>
      <c r="D3199" s="28"/>
      <c r="E3199" s="28"/>
      <c r="F3199" s="28"/>
      <c r="G3199" s="28"/>
      <c r="H3199" s="28"/>
      <c r="I3199" s="28"/>
      <c r="J3199" s="28"/>
      <c r="K3199" s="28"/>
      <c r="L3199" s="28"/>
      <c r="M3199" s="28"/>
      <c r="N3199" s="28"/>
      <c r="O3199" s="28"/>
      <c r="P3199" s="28"/>
      <c r="Q3199" s="28"/>
      <c r="R3199" s="28"/>
      <c r="S3199" s="28"/>
    </row>
    <row r="3200" spans="1:19" x14ac:dyDescent="0.25">
      <c r="A3200" s="28"/>
      <c r="B3200" s="28"/>
      <c r="C3200" s="28"/>
      <c r="D3200" s="28"/>
      <c r="E3200" s="28"/>
      <c r="F3200" s="28"/>
      <c r="G3200" s="28"/>
      <c r="H3200" s="28"/>
      <c r="I3200" s="28"/>
      <c r="J3200" s="28"/>
      <c r="K3200" s="28"/>
      <c r="L3200" s="28"/>
      <c r="M3200" s="28"/>
      <c r="N3200" s="28"/>
      <c r="O3200" s="28"/>
      <c r="P3200" s="28"/>
      <c r="Q3200" s="28"/>
      <c r="R3200" s="28"/>
      <c r="S3200" s="28"/>
    </row>
    <row r="3201" spans="1:19" x14ac:dyDescent="0.25">
      <c r="A3201" s="28"/>
      <c r="B3201" s="28"/>
      <c r="C3201" s="28"/>
      <c r="D3201" s="28"/>
      <c r="E3201" s="28"/>
      <c r="F3201" s="28"/>
      <c r="G3201" s="28"/>
      <c r="H3201" s="28"/>
      <c r="I3201" s="28"/>
      <c r="J3201" s="28"/>
      <c r="K3201" s="28"/>
      <c r="L3201" s="28"/>
      <c r="M3201" s="28"/>
      <c r="N3201" s="28"/>
      <c r="O3201" s="28"/>
      <c r="P3201" s="28"/>
      <c r="Q3201" s="28"/>
      <c r="R3201" s="28"/>
      <c r="S3201" s="28"/>
    </row>
    <row r="3202" spans="1:19" x14ac:dyDescent="0.25">
      <c r="A3202" s="28"/>
      <c r="B3202" s="28"/>
      <c r="C3202" s="28"/>
      <c r="D3202" s="28"/>
      <c r="E3202" s="28"/>
      <c r="F3202" s="28"/>
      <c r="G3202" s="28"/>
      <c r="H3202" s="28"/>
      <c r="I3202" s="28"/>
      <c r="J3202" s="28"/>
      <c r="K3202" s="28"/>
      <c r="L3202" s="28"/>
      <c r="M3202" s="28"/>
      <c r="N3202" s="28"/>
      <c r="O3202" s="28"/>
      <c r="P3202" s="28"/>
      <c r="Q3202" s="28"/>
      <c r="R3202" s="28"/>
      <c r="S3202" s="28"/>
    </row>
    <row r="3203" spans="1:19" x14ac:dyDescent="0.25">
      <c r="A3203" s="28"/>
      <c r="B3203" s="28"/>
      <c r="C3203" s="28"/>
      <c r="D3203" s="28"/>
      <c r="E3203" s="28"/>
      <c r="F3203" s="28"/>
      <c r="G3203" s="28"/>
      <c r="H3203" s="28"/>
      <c r="I3203" s="28"/>
      <c r="J3203" s="28"/>
      <c r="K3203" s="28"/>
      <c r="L3203" s="28"/>
      <c r="M3203" s="28"/>
      <c r="N3203" s="28"/>
      <c r="O3203" s="28"/>
      <c r="P3203" s="28"/>
      <c r="Q3203" s="28"/>
      <c r="R3203" s="28"/>
      <c r="S3203" s="28"/>
    </row>
    <row r="3204" spans="1:19" x14ac:dyDescent="0.25">
      <c r="A3204" s="28"/>
      <c r="B3204" s="28"/>
      <c r="C3204" s="28"/>
      <c r="D3204" s="28"/>
      <c r="E3204" s="28"/>
      <c r="F3204" s="28"/>
      <c r="G3204" s="28"/>
      <c r="H3204" s="28"/>
      <c r="I3204" s="28"/>
      <c r="J3204" s="28"/>
      <c r="K3204" s="28"/>
      <c r="L3204" s="28"/>
      <c r="M3204" s="28"/>
      <c r="N3204" s="28"/>
      <c r="O3204" s="28"/>
      <c r="P3204" s="28"/>
      <c r="Q3204" s="28"/>
      <c r="R3204" s="28"/>
      <c r="S3204" s="28"/>
    </row>
    <row r="3205" spans="1:19" x14ac:dyDescent="0.25">
      <c r="A3205" s="28"/>
      <c r="B3205" s="28"/>
      <c r="C3205" s="28"/>
      <c r="D3205" s="28"/>
      <c r="E3205" s="28"/>
      <c r="F3205" s="28"/>
      <c r="G3205" s="28"/>
      <c r="H3205" s="28"/>
      <c r="I3205" s="28"/>
      <c r="J3205" s="28"/>
      <c r="K3205" s="28"/>
      <c r="L3205" s="28"/>
      <c r="M3205" s="28"/>
      <c r="N3205" s="28"/>
      <c r="O3205" s="28"/>
      <c r="P3205" s="28"/>
      <c r="Q3205" s="28"/>
      <c r="R3205" s="28"/>
      <c r="S3205" s="28"/>
    </row>
    <row r="3206" spans="1:19" x14ac:dyDescent="0.25">
      <c r="A3206" s="28"/>
      <c r="B3206" s="28"/>
      <c r="C3206" s="28"/>
      <c r="D3206" s="28"/>
      <c r="E3206" s="28"/>
      <c r="F3206" s="28"/>
      <c r="G3206" s="28"/>
      <c r="H3206" s="28"/>
      <c r="I3206" s="28"/>
      <c r="J3206" s="28"/>
      <c r="K3206" s="28"/>
      <c r="L3206" s="28"/>
      <c r="M3206" s="28"/>
      <c r="N3206" s="28"/>
      <c r="O3206" s="28"/>
      <c r="P3206" s="28"/>
      <c r="Q3206" s="28"/>
      <c r="R3206" s="28"/>
      <c r="S3206" s="28"/>
    </row>
    <row r="3207" spans="1:19" x14ac:dyDescent="0.25">
      <c r="A3207" s="28"/>
      <c r="B3207" s="28"/>
      <c r="C3207" s="28"/>
      <c r="D3207" s="28"/>
      <c r="E3207" s="28"/>
      <c r="F3207" s="28"/>
      <c r="G3207" s="28"/>
      <c r="H3207" s="28"/>
      <c r="I3207" s="28"/>
      <c r="J3207" s="28"/>
      <c r="K3207" s="28"/>
      <c r="L3207" s="28"/>
      <c r="M3207" s="28"/>
      <c r="N3207" s="28"/>
      <c r="O3207" s="28"/>
      <c r="P3207" s="28"/>
      <c r="Q3207" s="28"/>
      <c r="R3207" s="28"/>
      <c r="S3207" s="28"/>
    </row>
    <row r="3208" spans="1:19" x14ac:dyDescent="0.25">
      <c r="A3208" s="28"/>
      <c r="B3208" s="28"/>
      <c r="C3208" s="28"/>
      <c r="D3208" s="28"/>
      <c r="E3208" s="28"/>
      <c r="F3208" s="28"/>
      <c r="G3208" s="28"/>
      <c r="H3208" s="28"/>
      <c r="I3208" s="28"/>
      <c r="J3208" s="28"/>
      <c r="K3208" s="28"/>
      <c r="L3208" s="28"/>
      <c r="M3208" s="28"/>
      <c r="N3208" s="28"/>
      <c r="O3208" s="28"/>
      <c r="P3208" s="28"/>
      <c r="Q3208" s="28"/>
      <c r="R3208" s="28"/>
      <c r="S3208" s="28"/>
    </row>
    <row r="3209" spans="1:19" x14ac:dyDescent="0.25">
      <c r="A3209" s="28"/>
      <c r="B3209" s="28"/>
      <c r="C3209" s="28"/>
      <c r="D3209" s="28"/>
      <c r="E3209" s="28"/>
      <c r="F3209" s="28"/>
      <c r="G3209" s="28"/>
      <c r="H3209" s="28"/>
      <c r="I3209" s="28"/>
      <c r="J3209" s="28"/>
      <c r="K3209" s="28"/>
      <c r="L3209" s="28"/>
      <c r="M3209" s="28"/>
      <c r="N3209" s="28"/>
      <c r="O3209" s="28"/>
      <c r="P3209" s="28"/>
      <c r="Q3209" s="28"/>
      <c r="R3209" s="28"/>
      <c r="S3209" s="28"/>
    </row>
    <row r="3210" spans="1:19" x14ac:dyDescent="0.25">
      <c r="A3210" s="28"/>
      <c r="B3210" s="28"/>
      <c r="C3210" s="28"/>
      <c r="D3210" s="28"/>
      <c r="E3210" s="28"/>
      <c r="F3210" s="28"/>
      <c r="G3210" s="28"/>
      <c r="H3210" s="28"/>
      <c r="I3210" s="28"/>
      <c r="J3210" s="28"/>
      <c r="K3210" s="28"/>
      <c r="L3210" s="28"/>
      <c r="M3210" s="28"/>
      <c r="N3210" s="28"/>
      <c r="O3210" s="28"/>
      <c r="P3210" s="28"/>
      <c r="Q3210" s="28"/>
      <c r="R3210" s="28"/>
      <c r="S3210" s="28"/>
    </row>
    <row r="3211" spans="1:19" x14ac:dyDescent="0.25">
      <c r="A3211" s="28"/>
      <c r="B3211" s="28"/>
      <c r="C3211" s="28"/>
      <c r="D3211" s="28"/>
      <c r="E3211" s="28"/>
      <c r="F3211" s="28"/>
      <c r="G3211" s="28"/>
      <c r="H3211" s="28"/>
      <c r="I3211" s="28"/>
      <c r="J3211" s="28"/>
      <c r="K3211" s="28"/>
      <c r="L3211" s="28"/>
      <c r="M3211" s="28"/>
      <c r="N3211" s="28"/>
      <c r="O3211" s="28"/>
      <c r="P3211" s="28"/>
      <c r="Q3211" s="28"/>
      <c r="R3211" s="28"/>
      <c r="S3211" s="28"/>
    </row>
    <row r="3212" spans="1:19" x14ac:dyDescent="0.25">
      <c r="A3212" s="28"/>
      <c r="B3212" s="28"/>
      <c r="C3212" s="28"/>
      <c r="D3212" s="28"/>
      <c r="E3212" s="28"/>
      <c r="F3212" s="28"/>
      <c r="G3212" s="28"/>
      <c r="H3212" s="28"/>
      <c r="I3212" s="28"/>
      <c r="J3212" s="28"/>
      <c r="K3212" s="28"/>
      <c r="L3212" s="28"/>
      <c r="M3212" s="28"/>
      <c r="N3212" s="28"/>
      <c r="O3212" s="28"/>
      <c r="P3212" s="28"/>
      <c r="Q3212" s="28"/>
      <c r="R3212" s="28"/>
      <c r="S3212" s="28"/>
    </row>
    <row r="3213" spans="1:19" x14ac:dyDescent="0.25">
      <c r="A3213" s="28"/>
      <c r="B3213" s="28"/>
      <c r="C3213" s="28"/>
      <c r="D3213" s="28"/>
      <c r="E3213" s="28"/>
      <c r="F3213" s="28"/>
      <c r="G3213" s="28"/>
      <c r="H3213" s="28"/>
      <c r="I3213" s="28"/>
      <c r="J3213" s="28"/>
      <c r="K3213" s="28"/>
      <c r="L3213" s="28"/>
      <c r="M3213" s="28"/>
      <c r="N3213" s="28"/>
      <c r="O3213" s="28"/>
      <c r="P3213" s="28"/>
      <c r="Q3213" s="28"/>
      <c r="R3213" s="28"/>
      <c r="S3213" s="28"/>
    </row>
    <row r="3214" spans="1:19" x14ac:dyDescent="0.25">
      <c r="A3214" s="28"/>
      <c r="B3214" s="28"/>
      <c r="C3214" s="28"/>
      <c r="D3214" s="28"/>
      <c r="E3214" s="28"/>
      <c r="F3214" s="28"/>
      <c r="G3214" s="28"/>
      <c r="H3214" s="28"/>
      <c r="I3214" s="28"/>
      <c r="J3214" s="28"/>
      <c r="K3214" s="28"/>
      <c r="L3214" s="28"/>
      <c r="M3214" s="28"/>
      <c r="N3214" s="28"/>
      <c r="O3214" s="28"/>
      <c r="P3214" s="28"/>
      <c r="Q3214" s="28"/>
      <c r="R3214" s="28"/>
      <c r="S3214" s="28"/>
    </row>
    <row r="3215" spans="1:19" x14ac:dyDescent="0.25">
      <c r="A3215" s="28"/>
      <c r="B3215" s="28"/>
      <c r="C3215" s="28"/>
      <c r="D3215" s="28"/>
      <c r="E3215" s="28"/>
      <c r="F3215" s="28"/>
      <c r="G3215" s="28"/>
      <c r="H3215" s="28"/>
      <c r="I3215" s="28"/>
      <c r="J3215" s="28"/>
      <c r="K3215" s="28"/>
      <c r="L3215" s="28"/>
      <c r="M3215" s="28"/>
      <c r="N3215" s="28"/>
      <c r="O3215" s="28"/>
      <c r="P3215" s="28"/>
      <c r="Q3215" s="28"/>
      <c r="R3215" s="28"/>
      <c r="S3215" s="28"/>
    </row>
    <row r="3216" spans="1:19" x14ac:dyDescent="0.25">
      <c r="A3216" s="28"/>
      <c r="B3216" s="28"/>
      <c r="C3216" s="28"/>
      <c r="D3216" s="28"/>
      <c r="E3216" s="28"/>
      <c r="F3216" s="28"/>
      <c r="G3216" s="28"/>
      <c r="H3216" s="28"/>
      <c r="I3216" s="28"/>
      <c r="J3216" s="28"/>
      <c r="K3216" s="28"/>
      <c r="L3216" s="28"/>
      <c r="M3216" s="28"/>
      <c r="N3216" s="28"/>
      <c r="O3216" s="28"/>
      <c r="P3216" s="28"/>
      <c r="Q3216" s="28"/>
      <c r="R3216" s="28"/>
      <c r="S3216" s="28"/>
    </row>
    <row r="3217" spans="1:19" x14ac:dyDescent="0.25">
      <c r="A3217" s="28"/>
      <c r="B3217" s="28"/>
      <c r="C3217" s="28"/>
      <c r="D3217" s="28"/>
      <c r="E3217" s="28"/>
      <c r="F3217" s="28"/>
      <c r="G3217" s="28"/>
      <c r="H3217" s="28"/>
      <c r="I3217" s="28"/>
      <c r="J3217" s="28"/>
      <c r="K3217" s="28"/>
      <c r="L3217" s="28"/>
      <c r="M3217" s="28"/>
      <c r="N3217" s="28"/>
      <c r="O3217" s="28"/>
      <c r="P3217" s="28"/>
      <c r="Q3217" s="28"/>
      <c r="R3217" s="28"/>
      <c r="S3217" s="28"/>
    </row>
    <row r="3218" spans="1:19" x14ac:dyDescent="0.25">
      <c r="A3218" s="28"/>
      <c r="B3218" s="28"/>
      <c r="C3218" s="28"/>
      <c r="D3218" s="28"/>
      <c r="E3218" s="28"/>
      <c r="F3218" s="28"/>
      <c r="G3218" s="28"/>
      <c r="H3218" s="28"/>
      <c r="I3218" s="28"/>
      <c r="J3218" s="28"/>
      <c r="K3218" s="28"/>
      <c r="L3218" s="28"/>
      <c r="M3218" s="28"/>
      <c r="N3218" s="28"/>
      <c r="O3218" s="28"/>
      <c r="P3218" s="28"/>
      <c r="Q3218" s="28"/>
      <c r="R3218" s="28"/>
      <c r="S3218" s="28"/>
    </row>
    <row r="3219" spans="1:19" x14ac:dyDescent="0.25">
      <c r="A3219" s="28"/>
      <c r="B3219" s="28"/>
      <c r="C3219" s="28"/>
      <c r="D3219" s="28"/>
      <c r="E3219" s="28"/>
      <c r="F3219" s="28"/>
      <c r="G3219" s="28"/>
      <c r="H3219" s="28"/>
      <c r="I3219" s="28"/>
      <c r="J3219" s="28"/>
      <c r="K3219" s="28"/>
      <c r="L3219" s="28"/>
      <c r="M3219" s="28"/>
      <c r="N3219" s="28"/>
      <c r="O3219" s="28"/>
      <c r="P3219" s="28"/>
      <c r="Q3219" s="28"/>
      <c r="R3219" s="28"/>
      <c r="S3219" s="28"/>
    </row>
    <row r="3220" spans="1:19" x14ac:dyDescent="0.25">
      <c r="A3220" s="28"/>
      <c r="B3220" s="28"/>
      <c r="C3220" s="28"/>
      <c r="D3220" s="28"/>
      <c r="E3220" s="28"/>
      <c r="F3220" s="28"/>
      <c r="G3220" s="28"/>
      <c r="H3220" s="28"/>
      <c r="I3220" s="28"/>
      <c r="J3220" s="28"/>
      <c r="K3220" s="28"/>
      <c r="L3220" s="28"/>
      <c r="M3220" s="28"/>
      <c r="N3220" s="28"/>
      <c r="O3220" s="28"/>
      <c r="P3220" s="28"/>
      <c r="Q3220" s="28"/>
      <c r="R3220" s="28"/>
      <c r="S3220" s="28"/>
    </row>
    <row r="3221" spans="1:19" x14ac:dyDescent="0.25">
      <c r="A3221" s="28"/>
      <c r="B3221" s="28"/>
      <c r="C3221" s="28"/>
      <c r="D3221" s="28"/>
      <c r="E3221" s="28"/>
      <c r="F3221" s="28"/>
      <c r="G3221" s="28"/>
      <c r="H3221" s="28"/>
      <c r="I3221" s="28"/>
      <c r="J3221" s="28"/>
      <c r="K3221" s="28"/>
      <c r="L3221" s="28"/>
      <c r="M3221" s="28"/>
      <c r="N3221" s="28"/>
      <c r="O3221" s="28"/>
      <c r="P3221" s="28"/>
      <c r="Q3221" s="28"/>
      <c r="R3221" s="28"/>
      <c r="S3221" s="28"/>
    </row>
    <row r="3222" spans="1:19" x14ac:dyDescent="0.25">
      <c r="A3222" s="28"/>
      <c r="B3222" s="28"/>
      <c r="C3222" s="28"/>
      <c r="D3222" s="28"/>
      <c r="E3222" s="28"/>
      <c r="F3222" s="28"/>
      <c r="G3222" s="28"/>
      <c r="H3222" s="28"/>
      <c r="I3222" s="28"/>
      <c r="J3222" s="28"/>
      <c r="K3222" s="28"/>
      <c r="L3222" s="28"/>
      <c r="M3222" s="28"/>
      <c r="N3222" s="28"/>
      <c r="O3222" s="28"/>
      <c r="P3222" s="28"/>
      <c r="Q3222" s="28"/>
      <c r="R3222" s="28"/>
      <c r="S3222" s="28"/>
    </row>
    <row r="3223" spans="1:19" x14ac:dyDescent="0.25">
      <c r="A3223" s="28"/>
      <c r="B3223" s="28"/>
      <c r="C3223" s="28"/>
      <c r="D3223" s="28"/>
      <c r="E3223" s="28"/>
      <c r="F3223" s="28"/>
      <c r="G3223" s="28"/>
      <c r="H3223" s="28"/>
      <c r="I3223" s="28"/>
      <c r="J3223" s="28"/>
      <c r="K3223" s="28"/>
      <c r="L3223" s="28"/>
      <c r="M3223" s="28"/>
      <c r="N3223" s="28"/>
      <c r="O3223" s="28"/>
      <c r="P3223" s="28"/>
      <c r="Q3223" s="28"/>
      <c r="R3223" s="28"/>
      <c r="S3223" s="28"/>
    </row>
    <row r="3224" spans="1:19" x14ac:dyDescent="0.25">
      <c r="A3224" s="28"/>
      <c r="B3224" s="28"/>
      <c r="C3224" s="28"/>
      <c r="D3224" s="28"/>
      <c r="E3224" s="28"/>
      <c r="F3224" s="28"/>
      <c r="G3224" s="28"/>
      <c r="H3224" s="28"/>
      <c r="I3224" s="28"/>
      <c r="J3224" s="28"/>
      <c r="K3224" s="28"/>
      <c r="L3224" s="28"/>
      <c r="M3224" s="28"/>
      <c r="N3224" s="28"/>
      <c r="O3224" s="28"/>
      <c r="P3224" s="28"/>
      <c r="Q3224" s="28"/>
      <c r="R3224" s="28"/>
      <c r="S3224" s="28"/>
    </row>
    <row r="3225" spans="1:19" x14ac:dyDescent="0.25">
      <c r="A3225" s="28"/>
      <c r="B3225" s="28"/>
      <c r="C3225" s="28"/>
      <c r="D3225" s="28"/>
      <c r="E3225" s="28"/>
      <c r="F3225" s="28"/>
      <c r="G3225" s="28"/>
      <c r="H3225" s="28"/>
      <c r="I3225" s="28"/>
      <c r="J3225" s="28"/>
      <c r="K3225" s="28"/>
      <c r="L3225" s="28"/>
      <c r="M3225" s="28"/>
      <c r="N3225" s="28"/>
      <c r="O3225" s="28"/>
      <c r="P3225" s="28"/>
      <c r="Q3225" s="28"/>
      <c r="R3225" s="28"/>
      <c r="S3225" s="28"/>
    </row>
    <row r="3226" spans="1:19" x14ac:dyDescent="0.25">
      <c r="A3226" s="28"/>
      <c r="B3226" s="28"/>
      <c r="C3226" s="28"/>
      <c r="D3226" s="28"/>
      <c r="E3226" s="28"/>
      <c r="F3226" s="28"/>
      <c r="G3226" s="28"/>
      <c r="H3226" s="28"/>
      <c r="I3226" s="28"/>
      <c r="J3226" s="28"/>
      <c r="K3226" s="28"/>
      <c r="L3226" s="28"/>
      <c r="M3226" s="28"/>
      <c r="N3226" s="28"/>
      <c r="O3226" s="28"/>
      <c r="P3226" s="28"/>
      <c r="Q3226" s="28"/>
      <c r="R3226" s="28"/>
      <c r="S3226" s="28"/>
    </row>
    <row r="3227" spans="1:19" x14ac:dyDescent="0.25">
      <c r="A3227" s="28"/>
      <c r="B3227" s="28"/>
      <c r="C3227" s="28"/>
      <c r="D3227" s="28"/>
      <c r="E3227" s="28"/>
      <c r="F3227" s="28"/>
      <c r="G3227" s="28"/>
      <c r="H3227" s="28"/>
      <c r="I3227" s="28"/>
      <c r="J3227" s="28"/>
      <c r="K3227" s="28"/>
      <c r="L3227" s="28"/>
      <c r="M3227" s="28"/>
      <c r="N3227" s="28"/>
      <c r="O3227" s="28"/>
      <c r="P3227" s="28"/>
      <c r="Q3227" s="28"/>
      <c r="R3227" s="28"/>
      <c r="S3227" s="28"/>
    </row>
    <row r="3228" spans="1:19" x14ac:dyDescent="0.25">
      <c r="A3228" s="28"/>
      <c r="B3228" s="28"/>
      <c r="C3228" s="28"/>
      <c r="D3228" s="28"/>
      <c r="E3228" s="28"/>
      <c r="F3228" s="28"/>
      <c r="G3228" s="28"/>
      <c r="H3228" s="28"/>
      <c r="I3228" s="28"/>
      <c r="J3228" s="28"/>
      <c r="K3228" s="28"/>
      <c r="L3228" s="28"/>
      <c r="M3228" s="28"/>
      <c r="N3228" s="28"/>
      <c r="O3228" s="28"/>
      <c r="P3228" s="28"/>
      <c r="Q3228" s="28"/>
      <c r="R3228" s="28"/>
      <c r="S3228" s="28"/>
    </row>
    <row r="3229" spans="1:19" x14ac:dyDescent="0.25">
      <c r="A3229" s="28"/>
      <c r="B3229" s="28"/>
      <c r="C3229" s="28"/>
      <c r="D3229" s="28"/>
      <c r="E3229" s="28"/>
      <c r="F3229" s="28"/>
      <c r="G3229" s="28"/>
      <c r="H3229" s="28"/>
      <c r="I3229" s="28"/>
      <c r="J3229" s="28"/>
      <c r="K3229" s="28"/>
      <c r="L3229" s="28"/>
      <c r="M3229" s="28"/>
      <c r="N3229" s="28"/>
      <c r="O3229" s="28"/>
      <c r="P3229" s="28"/>
      <c r="Q3229" s="28"/>
      <c r="R3229" s="28"/>
      <c r="S3229" s="28"/>
    </row>
    <row r="3230" spans="1:19" x14ac:dyDescent="0.25">
      <c r="A3230" s="28"/>
      <c r="B3230" s="28"/>
      <c r="C3230" s="28"/>
      <c r="D3230" s="28"/>
      <c r="E3230" s="28"/>
      <c r="F3230" s="28"/>
      <c r="G3230" s="28"/>
      <c r="H3230" s="28"/>
      <c r="I3230" s="28"/>
      <c r="J3230" s="28"/>
      <c r="K3230" s="28"/>
      <c r="L3230" s="28"/>
      <c r="M3230" s="28"/>
      <c r="N3230" s="28"/>
      <c r="O3230" s="28"/>
      <c r="P3230" s="28"/>
      <c r="Q3230" s="28"/>
      <c r="R3230" s="28"/>
      <c r="S3230" s="28"/>
    </row>
    <row r="3231" spans="1:19" x14ac:dyDescent="0.25">
      <c r="A3231" s="28"/>
      <c r="B3231" s="28"/>
      <c r="C3231" s="28"/>
      <c r="D3231" s="28"/>
      <c r="E3231" s="28"/>
      <c r="F3231" s="28"/>
      <c r="G3231" s="28"/>
      <c r="H3231" s="28"/>
      <c r="I3231" s="28"/>
      <c r="J3231" s="28"/>
      <c r="K3231" s="28"/>
      <c r="L3231" s="28"/>
      <c r="M3231" s="28"/>
      <c r="N3231" s="28"/>
      <c r="O3231" s="28"/>
      <c r="P3231" s="28"/>
      <c r="Q3231" s="28"/>
      <c r="R3231" s="28"/>
      <c r="S3231" s="28"/>
    </row>
    <row r="3232" spans="1:19" x14ac:dyDescent="0.25">
      <c r="A3232" s="28"/>
      <c r="B3232" s="28"/>
      <c r="C3232" s="28"/>
      <c r="D3232" s="28"/>
      <c r="E3232" s="28"/>
      <c r="F3232" s="28"/>
      <c r="G3232" s="28"/>
      <c r="H3232" s="28"/>
      <c r="I3232" s="28"/>
      <c r="J3232" s="28"/>
      <c r="K3232" s="28"/>
      <c r="L3232" s="28"/>
      <c r="M3232" s="28"/>
      <c r="N3232" s="28"/>
      <c r="O3232" s="28"/>
      <c r="P3232" s="28"/>
      <c r="Q3232" s="28"/>
      <c r="R3232" s="28"/>
      <c r="S3232" s="28"/>
    </row>
    <row r="3233" spans="1:19" x14ac:dyDescent="0.25">
      <c r="A3233" s="28"/>
      <c r="B3233" s="28"/>
      <c r="C3233" s="28"/>
      <c r="D3233" s="28"/>
      <c r="E3233" s="28"/>
      <c r="F3233" s="28"/>
      <c r="G3233" s="28"/>
      <c r="H3233" s="28"/>
      <c r="I3233" s="28"/>
      <c r="J3233" s="28"/>
      <c r="K3233" s="28"/>
      <c r="L3233" s="28"/>
      <c r="M3233" s="28"/>
      <c r="N3233" s="28"/>
      <c r="O3233" s="28"/>
      <c r="P3233" s="28"/>
      <c r="Q3233" s="28"/>
      <c r="R3233" s="28"/>
      <c r="S3233" s="28"/>
    </row>
    <row r="3234" spans="1:19" x14ac:dyDescent="0.25">
      <c r="A3234" s="28"/>
      <c r="B3234" s="28"/>
      <c r="C3234" s="28"/>
      <c r="D3234" s="28"/>
      <c r="E3234" s="28"/>
      <c r="F3234" s="28"/>
      <c r="G3234" s="28"/>
      <c r="H3234" s="28"/>
      <c r="I3234" s="28"/>
      <c r="J3234" s="28"/>
      <c r="K3234" s="28"/>
      <c r="L3234" s="28"/>
      <c r="M3234" s="28"/>
      <c r="N3234" s="28"/>
      <c r="O3234" s="28"/>
      <c r="P3234" s="28"/>
      <c r="Q3234" s="28"/>
      <c r="R3234" s="28"/>
      <c r="S3234" s="28"/>
    </row>
    <row r="3235" spans="1:19" x14ac:dyDescent="0.25">
      <c r="A3235" s="28"/>
      <c r="B3235" s="28"/>
      <c r="C3235" s="28"/>
      <c r="D3235" s="28"/>
      <c r="E3235" s="28"/>
      <c r="F3235" s="28"/>
      <c r="G3235" s="28"/>
      <c r="H3235" s="28"/>
      <c r="I3235" s="28"/>
      <c r="J3235" s="28"/>
      <c r="K3235" s="28"/>
      <c r="L3235" s="28"/>
      <c r="M3235" s="28"/>
      <c r="N3235" s="28"/>
      <c r="O3235" s="28"/>
      <c r="P3235" s="28"/>
      <c r="Q3235" s="28"/>
      <c r="R3235" s="28"/>
      <c r="S3235" s="28"/>
    </row>
    <row r="3236" spans="1:19" x14ac:dyDescent="0.25">
      <c r="A3236" s="28"/>
      <c r="B3236" s="28"/>
      <c r="C3236" s="28"/>
      <c r="D3236" s="28"/>
      <c r="E3236" s="28"/>
      <c r="F3236" s="28"/>
      <c r="G3236" s="28"/>
      <c r="H3236" s="28"/>
      <c r="I3236" s="28"/>
      <c r="J3236" s="28"/>
      <c r="K3236" s="28"/>
      <c r="L3236" s="28"/>
      <c r="M3236" s="28"/>
      <c r="N3236" s="28"/>
      <c r="O3236" s="28"/>
      <c r="P3236" s="28"/>
      <c r="Q3236" s="28"/>
      <c r="R3236" s="28"/>
      <c r="S3236" s="28"/>
    </row>
    <row r="3237" spans="1:19" x14ac:dyDescent="0.25">
      <c r="A3237" s="28"/>
      <c r="B3237" s="28"/>
      <c r="C3237" s="28"/>
      <c r="D3237" s="28"/>
      <c r="E3237" s="28"/>
      <c r="F3237" s="28"/>
      <c r="G3237" s="28"/>
      <c r="H3237" s="28"/>
      <c r="I3237" s="28"/>
      <c r="J3237" s="28"/>
      <c r="K3237" s="28"/>
      <c r="L3237" s="28"/>
      <c r="M3237" s="28"/>
      <c r="N3237" s="28"/>
      <c r="O3237" s="28"/>
      <c r="P3237" s="28"/>
      <c r="Q3237" s="28"/>
      <c r="R3237" s="28"/>
      <c r="S3237" s="28"/>
    </row>
    <row r="3238" spans="1:19" x14ac:dyDescent="0.25">
      <c r="A3238" s="28"/>
      <c r="B3238" s="28"/>
      <c r="C3238" s="28"/>
      <c r="D3238" s="28"/>
      <c r="E3238" s="28"/>
      <c r="F3238" s="28"/>
      <c r="G3238" s="28"/>
      <c r="H3238" s="28"/>
      <c r="I3238" s="28"/>
      <c r="J3238" s="28"/>
      <c r="K3238" s="28"/>
      <c r="L3238" s="28"/>
      <c r="M3238" s="28"/>
      <c r="N3238" s="28"/>
      <c r="O3238" s="28"/>
      <c r="P3238" s="28"/>
      <c r="Q3238" s="28"/>
      <c r="R3238" s="28"/>
      <c r="S3238" s="28"/>
    </row>
    <row r="3239" spans="1:19" x14ac:dyDescent="0.25">
      <c r="A3239" s="28"/>
      <c r="B3239" s="28"/>
      <c r="C3239" s="28"/>
      <c r="D3239" s="28"/>
      <c r="E3239" s="28"/>
      <c r="F3239" s="28"/>
      <c r="G3239" s="28"/>
      <c r="H3239" s="28"/>
      <c r="I3239" s="28"/>
      <c r="J3239" s="28"/>
      <c r="K3239" s="28"/>
      <c r="L3239" s="28"/>
      <c r="M3239" s="28"/>
      <c r="N3239" s="28"/>
      <c r="O3239" s="28"/>
      <c r="P3239" s="28"/>
      <c r="Q3239" s="28"/>
      <c r="R3239" s="28"/>
      <c r="S3239" s="28"/>
    </row>
    <row r="3240" spans="1:19" x14ac:dyDescent="0.25">
      <c r="A3240" s="28"/>
      <c r="B3240" s="28"/>
      <c r="C3240" s="28"/>
      <c r="D3240" s="28"/>
      <c r="E3240" s="28"/>
      <c r="F3240" s="28"/>
      <c r="G3240" s="28"/>
      <c r="H3240" s="28"/>
      <c r="I3240" s="28"/>
      <c r="J3240" s="28"/>
      <c r="K3240" s="28"/>
      <c r="L3240" s="28"/>
      <c r="M3240" s="28"/>
      <c r="N3240" s="28"/>
      <c r="O3240" s="28"/>
      <c r="P3240" s="28"/>
      <c r="Q3240" s="28"/>
      <c r="R3240" s="28"/>
      <c r="S3240" s="28"/>
    </row>
    <row r="3241" spans="1:19" x14ac:dyDescent="0.25">
      <c r="A3241" s="28"/>
      <c r="B3241" s="28"/>
      <c r="C3241" s="28"/>
      <c r="D3241" s="28"/>
      <c r="E3241" s="28"/>
      <c r="F3241" s="28"/>
      <c r="G3241" s="28"/>
      <c r="H3241" s="28"/>
      <c r="I3241" s="28"/>
      <c r="J3241" s="28"/>
      <c r="K3241" s="28"/>
      <c r="L3241" s="28"/>
      <c r="M3241" s="28"/>
      <c r="N3241" s="28"/>
      <c r="O3241" s="28"/>
      <c r="P3241" s="28"/>
      <c r="Q3241" s="28"/>
      <c r="R3241" s="28"/>
      <c r="S3241" s="28"/>
    </row>
    <row r="3242" spans="1:19" x14ac:dyDescent="0.25">
      <c r="A3242" s="28"/>
      <c r="B3242" s="28"/>
      <c r="C3242" s="28"/>
      <c r="D3242" s="28"/>
      <c r="E3242" s="28"/>
      <c r="F3242" s="28"/>
      <c r="G3242" s="28"/>
      <c r="H3242" s="28"/>
      <c r="I3242" s="28"/>
      <c r="J3242" s="28"/>
      <c r="K3242" s="28"/>
      <c r="L3242" s="28"/>
      <c r="M3242" s="28"/>
      <c r="N3242" s="28"/>
      <c r="O3242" s="28"/>
      <c r="P3242" s="28"/>
      <c r="Q3242" s="28"/>
      <c r="R3242" s="28"/>
      <c r="S3242" s="28"/>
    </row>
    <row r="3243" spans="1:19" x14ac:dyDescent="0.25">
      <c r="A3243" s="28"/>
      <c r="B3243" s="28"/>
      <c r="C3243" s="28"/>
      <c r="D3243" s="28"/>
      <c r="E3243" s="28"/>
      <c r="F3243" s="28"/>
      <c r="G3243" s="28"/>
      <c r="H3243" s="28"/>
      <c r="I3243" s="28"/>
      <c r="J3243" s="28"/>
      <c r="K3243" s="28"/>
      <c r="L3243" s="28"/>
      <c r="M3243" s="28"/>
      <c r="N3243" s="28"/>
      <c r="O3243" s="28"/>
      <c r="P3243" s="28"/>
      <c r="Q3243" s="28"/>
      <c r="R3243" s="28"/>
      <c r="S3243" s="28"/>
    </row>
    <row r="3244" spans="1:19" x14ac:dyDescent="0.25">
      <c r="A3244" s="28"/>
      <c r="B3244" s="28"/>
      <c r="C3244" s="28"/>
      <c r="D3244" s="28"/>
      <c r="E3244" s="28"/>
      <c r="F3244" s="28"/>
      <c r="G3244" s="28"/>
      <c r="H3244" s="28"/>
      <c r="I3244" s="28"/>
      <c r="J3244" s="28"/>
      <c r="K3244" s="28"/>
      <c r="L3244" s="28"/>
      <c r="M3244" s="28"/>
      <c r="N3244" s="28"/>
      <c r="O3244" s="28"/>
      <c r="P3244" s="28"/>
      <c r="Q3244" s="28"/>
      <c r="R3244" s="28"/>
      <c r="S3244" s="28"/>
    </row>
    <row r="3245" spans="1:19" x14ac:dyDescent="0.25">
      <c r="A3245" s="28"/>
      <c r="B3245" s="28"/>
      <c r="C3245" s="28"/>
      <c r="D3245" s="28"/>
      <c r="E3245" s="28"/>
      <c r="F3245" s="28"/>
      <c r="G3245" s="28"/>
      <c r="H3245" s="28"/>
      <c r="I3245" s="28"/>
      <c r="J3245" s="28"/>
      <c r="K3245" s="28"/>
      <c r="L3245" s="28"/>
      <c r="M3245" s="28"/>
      <c r="N3245" s="28"/>
      <c r="O3245" s="28"/>
      <c r="P3245" s="28"/>
      <c r="Q3245" s="28"/>
      <c r="R3245" s="28"/>
      <c r="S3245" s="28"/>
    </row>
    <row r="3246" spans="1:19" x14ac:dyDescent="0.25">
      <c r="A3246" s="28"/>
      <c r="B3246" s="28"/>
      <c r="C3246" s="28"/>
      <c r="D3246" s="28"/>
      <c r="E3246" s="28"/>
      <c r="F3246" s="28"/>
      <c r="G3246" s="28"/>
      <c r="H3246" s="28"/>
      <c r="I3246" s="28"/>
      <c r="J3246" s="28"/>
      <c r="K3246" s="28"/>
      <c r="L3246" s="28"/>
      <c r="M3246" s="28"/>
      <c r="N3246" s="28"/>
      <c r="O3246" s="28"/>
      <c r="P3246" s="28"/>
      <c r="Q3246" s="28"/>
      <c r="R3246" s="28"/>
      <c r="S3246" s="28"/>
    </row>
    <row r="3247" spans="1:19" x14ac:dyDescent="0.25">
      <c r="A3247" s="28"/>
      <c r="B3247" s="28"/>
      <c r="C3247" s="28"/>
      <c r="D3247" s="28"/>
      <c r="E3247" s="28"/>
      <c r="F3247" s="28"/>
      <c r="G3247" s="28"/>
      <c r="H3247" s="28"/>
      <c r="I3247" s="28"/>
      <c r="J3247" s="28"/>
      <c r="K3247" s="28"/>
      <c r="L3247" s="28"/>
      <c r="M3247" s="28"/>
      <c r="N3247" s="28"/>
      <c r="O3247" s="28"/>
      <c r="P3247" s="28"/>
      <c r="Q3247" s="28"/>
      <c r="R3247" s="28"/>
      <c r="S3247" s="28"/>
    </row>
    <row r="3248" spans="1:19" x14ac:dyDescent="0.25">
      <c r="A3248" s="28"/>
      <c r="B3248" s="28"/>
      <c r="C3248" s="28"/>
      <c r="D3248" s="28"/>
      <c r="E3248" s="28"/>
      <c r="F3248" s="28"/>
      <c r="G3248" s="28"/>
      <c r="H3248" s="28"/>
      <c r="I3248" s="28"/>
      <c r="J3248" s="28"/>
      <c r="K3248" s="28"/>
      <c r="L3248" s="28"/>
      <c r="M3248" s="28"/>
      <c r="N3248" s="28"/>
      <c r="O3248" s="28"/>
      <c r="P3248" s="28"/>
      <c r="Q3248" s="28"/>
      <c r="R3248" s="28"/>
      <c r="S3248" s="28"/>
    </row>
    <row r="3249" spans="1:19" x14ac:dyDescent="0.25">
      <c r="A3249" s="28"/>
      <c r="B3249" s="28"/>
      <c r="C3249" s="28"/>
      <c r="D3249" s="28"/>
      <c r="E3249" s="28"/>
      <c r="F3249" s="28"/>
      <c r="G3249" s="28"/>
      <c r="H3249" s="28"/>
      <c r="I3249" s="28"/>
      <c r="J3249" s="28"/>
      <c r="K3249" s="28"/>
      <c r="L3249" s="28"/>
      <c r="M3249" s="28"/>
      <c r="N3249" s="28"/>
      <c r="O3249" s="28"/>
      <c r="P3249" s="28"/>
      <c r="Q3249" s="28"/>
      <c r="R3249" s="28"/>
      <c r="S3249" s="28"/>
    </row>
    <row r="3250" spans="1:19" x14ac:dyDescent="0.25">
      <c r="A3250" s="28"/>
      <c r="B3250" s="28"/>
      <c r="C3250" s="28"/>
      <c r="D3250" s="28"/>
      <c r="E3250" s="28"/>
      <c r="F3250" s="28"/>
      <c r="G3250" s="28"/>
      <c r="H3250" s="28"/>
      <c r="I3250" s="28"/>
      <c r="J3250" s="28"/>
      <c r="K3250" s="28"/>
      <c r="L3250" s="28"/>
      <c r="M3250" s="28"/>
      <c r="N3250" s="28"/>
      <c r="O3250" s="28"/>
      <c r="P3250" s="28"/>
      <c r="Q3250" s="28"/>
      <c r="R3250" s="28"/>
      <c r="S3250" s="28"/>
    </row>
    <row r="3251" spans="1:19" x14ac:dyDescent="0.25">
      <c r="A3251" s="28"/>
      <c r="B3251" s="28"/>
      <c r="C3251" s="28"/>
      <c r="D3251" s="28"/>
      <c r="E3251" s="28"/>
      <c r="F3251" s="28"/>
      <c r="G3251" s="28"/>
      <c r="H3251" s="28"/>
      <c r="I3251" s="28"/>
      <c r="J3251" s="28"/>
      <c r="K3251" s="28"/>
      <c r="L3251" s="28"/>
      <c r="M3251" s="28"/>
      <c r="N3251" s="28"/>
      <c r="O3251" s="28"/>
      <c r="P3251" s="28"/>
      <c r="Q3251" s="28"/>
      <c r="R3251" s="28"/>
      <c r="S3251" s="28"/>
    </row>
    <row r="3252" spans="1:19" x14ac:dyDescent="0.25">
      <c r="A3252" s="28"/>
      <c r="B3252" s="28"/>
      <c r="C3252" s="28"/>
      <c r="D3252" s="28"/>
      <c r="E3252" s="28"/>
      <c r="F3252" s="28"/>
      <c r="G3252" s="28"/>
      <c r="H3252" s="28"/>
      <c r="I3252" s="28"/>
      <c r="J3252" s="28"/>
      <c r="K3252" s="28"/>
      <c r="L3252" s="28"/>
      <c r="M3252" s="28"/>
      <c r="N3252" s="28"/>
      <c r="O3252" s="28"/>
      <c r="P3252" s="28"/>
      <c r="Q3252" s="28"/>
      <c r="R3252" s="28"/>
      <c r="S3252" s="28"/>
    </row>
    <row r="3253" spans="1:19" x14ac:dyDescent="0.25">
      <c r="A3253" s="28"/>
      <c r="B3253" s="28"/>
      <c r="C3253" s="28"/>
      <c r="D3253" s="28"/>
      <c r="E3253" s="28"/>
      <c r="F3253" s="28"/>
      <c r="G3253" s="28"/>
      <c r="H3253" s="28"/>
      <c r="I3253" s="28"/>
      <c r="J3253" s="28"/>
      <c r="K3253" s="28"/>
      <c r="L3253" s="28"/>
      <c r="M3253" s="28"/>
      <c r="N3253" s="28"/>
      <c r="O3253" s="28"/>
      <c r="P3253" s="28"/>
      <c r="Q3253" s="28"/>
      <c r="R3253" s="28"/>
      <c r="S3253" s="28"/>
    </row>
    <row r="3254" spans="1:19" x14ac:dyDescent="0.25">
      <c r="A3254" s="28"/>
      <c r="B3254" s="28"/>
      <c r="C3254" s="28"/>
      <c r="D3254" s="28"/>
      <c r="E3254" s="28"/>
      <c r="F3254" s="28"/>
      <c r="G3254" s="28"/>
      <c r="H3254" s="28"/>
      <c r="I3254" s="28"/>
      <c r="J3254" s="28"/>
      <c r="K3254" s="28"/>
      <c r="L3254" s="28"/>
      <c r="M3254" s="28"/>
      <c r="N3254" s="28"/>
      <c r="O3254" s="28"/>
      <c r="P3254" s="28"/>
      <c r="Q3254" s="28"/>
      <c r="R3254" s="28"/>
      <c r="S3254" s="28"/>
    </row>
    <row r="3255" spans="1:19" x14ac:dyDescent="0.25">
      <c r="A3255" s="28"/>
      <c r="B3255" s="28"/>
      <c r="C3255" s="28"/>
      <c r="D3255" s="28"/>
      <c r="E3255" s="28"/>
      <c r="F3255" s="28"/>
      <c r="G3255" s="28"/>
      <c r="H3255" s="28"/>
      <c r="I3255" s="28"/>
      <c r="J3255" s="28"/>
      <c r="K3255" s="28"/>
      <c r="L3255" s="28"/>
      <c r="M3255" s="28"/>
      <c r="N3255" s="28"/>
      <c r="O3255" s="28"/>
      <c r="P3255" s="28"/>
      <c r="Q3255" s="28"/>
      <c r="R3255" s="28"/>
      <c r="S3255" s="28"/>
    </row>
    <row r="3256" spans="1:19" x14ac:dyDescent="0.25">
      <c r="A3256" s="28"/>
      <c r="B3256" s="28"/>
      <c r="C3256" s="28"/>
      <c r="D3256" s="28"/>
      <c r="E3256" s="28"/>
      <c r="F3256" s="28"/>
      <c r="G3256" s="28"/>
      <c r="H3256" s="28"/>
      <c r="I3256" s="28"/>
      <c r="J3256" s="28"/>
      <c r="K3256" s="28"/>
      <c r="L3256" s="28"/>
      <c r="M3256" s="28"/>
      <c r="N3256" s="28"/>
      <c r="O3256" s="28"/>
      <c r="P3256" s="28"/>
      <c r="Q3256" s="28"/>
      <c r="R3256" s="28"/>
      <c r="S3256" s="28"/>
    </row>
    <row r="3257" spans="1:19" x14ac:dyDescent="0.25">
      <c r="A3257" s="28"/>
      <c r="B3257" s="28"/>
      <c r="C3257" s="28"/>
      <c r="D3257" s="28"/>
      <c r="E3257" s="28"/>
      <c r="F3257" s="28"/>
      <c r="G3257" s="28"/>
      <c r="H3257" s="28"/>
      <c r="I3257" s="28"/>
      <c r="J3257" s="28"/>
      <c r="K3257" s="28"/>
      <c r="L3257" s="28"/>
      <c r="M3257" s="28"/>
      <c r="N3257" s="28"/>
      <c r="O3257" s="28"/>
      <c r="P3257" s="28"/>
      <c r="Q3257" s="28"/>
      <c r="R3257" s="28"/>
      <c r="S3257" s="28"/>
    </row>
    <row r="3258" spans="1:19" x14ac:dyDescent="0.25">
      <c r="A3258" s="28"/>
      <c r="B3258" s="28"/>
      <c r="C3258" s="28"/>
      <c r="D3258" s="28"/>
      <c r="E3258" s="28"/>
      <c r="F3258" s="28"/>
      <c r="G3258" s="28"/>
      <c r="H3258" s="28"/>
      <c r="I3258" s="28"/>
      <c r="J3258" s="28"/>
      <c r="K3258" s="28"/>
      <c r="L3258" s="28"/>
      <c r="M3258" s="28"/>
      <c r="N3258" s="28"/>
      <c r="O3258" s="28"/>
      <c r="P3258" s="28"/>
      <c r="Q3258" s="28"/>
      <c r="R3258" s="28"/>
      <c r="S3258" s="28"/>
    </row>
    <row r="3259" spans="1:19" x14ac:dyDescent="0.25">
      <c r="A3259" s="28"/>
      <c r="B3259" s="28"/>
      <c r="C3259" s="28"/>
      <c r="D3259" s="28"/>
      <c r="E3259" s="28"/>
      <c r="F3259" s="28"/>
      <c r="G3259" s="28"/>
      <c r="H3259" s="28"/>
      <c r="I3259" s="28"/>
      <c r="J3259" s="28"/>
      <c r="K3259" s="28"/>
      <c r="L3259" s="28"/>
      <c r="M3259" s="28"/>
      <c r="N3259" s="28"/>
      <c r="O3259" s="28"/>
      <c r="P3259" s="28"/>
      <c r="Q3259" s="28"/>
      <c r="R3259" s="28"/>
      <c r="S3259" s="28"/>
    </row>
    <row r="3260" spans="1:19" x14ac:dyDescent="0.25">
      <c r="A3260" s="28"/>
      <c r="B3260" s="28"/>
      <c r="C3260" s="28"/>
      <c r="D3260" s="28"/>
      <c r="E3260" s="28"/>
      <c r="F3260" s="28"/>
      <c r="G3260" s="28"/>
      <c r="H3260" s="28"/>
      <c r="I3260" s="28"/>
      <c r="J3260" s="28"/>
      <c r="K3260" s="28"/>
      <c r="L3260" s="28"/>
      <c r="M3260" s="28"/>
      <c r="N3260" s="28"/>
      <c r="O3260" s="28"/>
      <c r="P3260" s="28"/>
      <c r="Q3260" s="28"/>
      <c r="R3260" s="28"/>
      <c r="S3260" s="28"/>
    </row>
    <row r="3261" spans="1:19" x14ac:dyDescent="0.25">
      <c r="A3261" s="28"/>
      <c r="B3261" s="28"/>
      <c r="C3261" s="28"/>
      <c r="D3261" s="28"/>
      <c r="E3261" s="28"/>
      <c r="F3261" s="28"/>
      <c r="G3261" s="28"/>
      <c r="H3261" s="28"/>
      <c r="I3261" s="28"/>
      <c r="J3261" s="28"/>
      <c r="K3261" s="28"/>
      <c r="L3261" s="28"/>
      <c r="M3261" s="28"/>
      <c r="N3261" s="28"/>
      <c r="O3261" s="28"/>
      <c r="P3261" s="28"/>
      <c r="Q3261" s="28"/>
      <c r="R3261" s="28"/>
      <c r="S3261" s="28"/>
    </row>
    <row r="3262" spans="1:19" x14ac:dyDescent="0.25">
      <c r="A3262" s="28"/>
      <c r="B3262" s="28"/>
      <c r="C3262" s="28"/>
      <c r="D3262" s="28"/>
      <c r="E3262" s="28"/>
      <c r="F3262" s="28"/>
      <c r="G3262" s="28"/>
      <c r="H3262" s="28"/>
      <c r="I3262" s="28"/>
      <c r="J3262" s="28"/>
      <c r="K3262" s="28"/>
      <c r="L3262" s="28"/>
      <c r="M3262" s="28"/>
      <c r="N3262" s="28"/>
      <c r="O3262" s="28"/>
      <c r="P3262" s="28"/>
      <c r="Q3262" s="28"/>
      <c r="R3262" s="28"/>
      <c r="S3262" s="28"/>
    </row>
    <row r="3263" spans="1:19" x14ac:dyDescent="0.25">
      <c r="A3263" s="28"/>
      <c r="B3263" s="28"/>
      <c r="C3263" s="28"/>
      <c r="D3263" s="28"/>
      <c r="E3263" s="28"/>
      <c r="F3263" s="28"/>
      <c r="G3263" s="28"/>
      <c r="H3263" s="28"/>
      <c r="I3263" s="28"/>
      <c r="J3263" s="28"/>
      <c r="K3263" s="28"/>
      <c r="L3263" s="28"/>
      <c r="M3263" s="28"/>
      <c r="N3263" s="28"/>
      <c r="O3263" s="28"/>
      <c r="P3263" s="28"/>
      <c r="Q3263" s="28"/>
      <c r="R3263" s="28"/>
      <c r="S3263" s="28"/>
    </row>
    <row r="3264" spans="1:19" x14ac:dyDescent="0.25">
      <c r="A3264" s="28"/>
      <c r="B3264" s="28"/>
      <c r="C3264" s="28"/>
      <c r="D3264" s="28"/>
      <c r="E3264" s="28"/>
      <c r="F3264" s="28"/>
      <c r="G3264" s="28"/>
      <c r="H3264" s="28"/>
      <c r="I3264" s="28"/>
      <c r="J3264" s="28"/>
      <c r="K3264" s="28"/>
      <c r="L3264" s="28"/>
      <c r="M3264" s="28"/>
      <c r="N3264" s="28"/>
      <c r="O3264" s="28"/>
      <c r="P3264" s="28"/>
      <c r="Q3264" s="28"/>
      <c r="R3264" s="28"/>
      <c r="S3264" s="28"/>
    </row>
    <row r="3265" spans="1:19" x14ac:dyDescent="0.25">
      <c r="A3265" s="28"/>
      <c r="B3265" s="28"/>
      <c r="C3265" s="28"/>
      <c r="D3265" s="28"/>
      <c r="E3265" s="28"/>
      <c r="F3265" s="28"/>
      <c r="G3265" s="28"/>
      <c r="H3265" s="28"/>
      <c r="I3265" s="28"/>
      <c r="J3265" s="28"/>
      <c r="K3265" s="28"/>
      <c r="L3265" s="28"/>
      <c r="M3265" s="28"/>
      <c r="N3265" s="28"/>
      <c r="O3265" s="28"/>
      <c r="P3265" s="28"/>
      <c r="Q3265" s="28"/>
      <c r="R3265" s="28"/>
      <c r="S3265" s="28"/>
    </row>
    <row r="3266" spans="1:19" x14ac:dyDescent="0.25">
      <c r="A3266" s="28"/>
      <c r="B3266" s="28"/>
      <c r="C3266" s="28"/>
      <c r="D3266" s="28"/>
      <c r="E3266" s="28"/>
      <c r="F3266" s="28"/>
      <c r="G3266" s="28"/>
      <c r="H3266" s="28"/>
      <c r="I3266" s="28"/>
      <c r="J3266" s="28"/>
      <c r="K3266" s="28"/>
      <c r="L3266" s="28"/>
      <c r="M3266" s="28"/>
      <c r="N3266" s="28"/>
      <c r="O3266" s="28"/>
      <c r="P3266" s="28"/>
      <c r="Q3266" s="28"/>
      <c r="R3266" s="28"/>
      <c r="S3266" s="28"/>
    </row>
    <row r="3267" spans="1:19" x14ac:dyDescent="0.25">
      <c r="A3267" s="28"/>
      <c r="B3267" s="28"/>
      <c r="C3267" s="28"/>
      <c r="D3267" s="28"/>
      <c r="E3267" s="28"/>
      <c r="F3267" s="28"/>
      <c r="G3267" s="28"/>
      <c r="H3267" s="28"/>
      <c r="I3267" s="28"/>
      <c r="J3267" s="28"/>
      <c r="K3267" s="28"/>
      <c r="L3267" s="28"/>
      <c r="M3267" s="28"/>
      <c r="N3267" s="28"/>
      <c r="O3267" s="28"/>
      <c r="P3267" s="28"/>
      <c r="Q3267" s="28"/>
      <c r="R3267" s="28"/>
      <c r="S3267" s="28"/>
    </row>
    <row r="3268" spans="1:19" x14ac:dyDescent="0.25">
      <c r="A3268" s="28"/>
      <c r="B3268" s="28"/>
      <c r="C3268" s="28"/>
      <c r="D3268" s="28"/>
      <c r="E3268" s="28"/>
      <c r="F3268" s="28"/>
      <c r="G3268" s="28"/>
      <c r="H3268" s="28"/>
      <c r="I3268" s="28"/>
      <c r="J3268" s="28"/>
      <c r="K3268" s="28"/>
      <c r="L3268" s="28"/>
      <c r="M3268" s="28"/>
      <c r="N3268" s="28"/>
      <c r="O3268" s="28"/>
      <c r="P3268" s="28"/>
      <c r="Q3268" s="28"/>
      <c r="R3268" s="28"/>
      <c r="S3268" s="28"/>
    </row>
    <row r="3269" spans="1:19" x14ac:dyDescent="0.25">
      <c r="A3269" s="28"/>
      <c r="B3269" s="28"/>
      <c r="C3269" s="28"/>
      <c r="D3269" s="28"/>
      <c r="E3269" s="28"/>
      <c r="F3269" s="28"/>
      <c r="G3269" s="28"/>
      <c r="H3269" s="28"/>
      <c r="I3269" s="28"/>
      <c r="J3269" s="28"/>
      <c r="K3269" s="28"/>
      <c r="L3269" s="28"/>
      <c r="M3269" s="28"/>
      <c r="N3269" s="28"/>
      <c r="O3269" s="28"/>
      <c r="P3269" s="28"/>
      <c r="Q3269" s="28"/>
      <c r="R3269" s="28"/>
      <c r="S3269" s="28"/>
    </row>
    <row r="3270" spans="1:19" x14ac:dyDescent="0.25">
      <c r="A3270" s="28"/>
      <c r="B3270" s="28"/>
      <c r="C3270" s="28"/>
      <c r="D3270" s="28"/>
      <c r="E3270" s="28"/>
      <c r="F3270" s="28"/>
      <c r="G3270" s="28"/>
      <c r="H3270" s="28"/>
      <c r="I3270" s="28"/>
      <c r="J3270" s="28"/>
      <c r="K3270" s="28"/>
      <c r="L3270" s="28"/>
      <c r="M3270" s="28"/>
      <c r="N3270" s="28"/>
      <c r="O3270" s="28"/>
      <c r="P3270" s="28"/>
      <c r="Q3270" s="28"/>
      <c r="R3270" s="28"/>
      <c r="S3270" s="28"/>
    </row>
    <row r="3271" spans="1:19" x14ac:dyDescent="0.25">
      <c r="A3271" s="28"/>
      <c r="B3271" s="28"/>
      <c r="C3271" s="28"/>
      <c r="D3271" s="28"/>
      <c r="E3271" s="28"/>
      <c r="F3271" s="28"/>
      <c r="G3271" s="28"/>
      <c r="H3271" s="28"/>
      <c r="I3271" s="28"/>
      <c r="J3271" s="28"/>
      <c r="K3271" s="28"/>
      <c r="L3271" s="28"/>
      <c r="M3271" s="28"/>
      <c r="N3271" s="28"/>
      <c r="O3271" s="28"/>
      <c r="P3271" s="28"/>
      <c r="Q3271" s="28"/>
      <c r="R3271" s="28"/>
      <c r="S3271" s="28"/>
    </row>
    <row r="3272" spans="1:19" x14ac:dyDescent="0.25">
      <c r="A3272" s="28"/>
      <c r="B3272" s="28"/>
      <c r="C3272" s="28"/>
      <c r="D3272" s="28"/>
      <c r="E3272" s="28"/>
      <c r="F3272" s="28"/>
      <c r="G3272" s="28"/>
      <c r="H3272" s="28"/>
      <c r="I3272" s="28"/>
      <c r="J3272" s="28"/>
      <c r="K3272" s="28"/>
      <c r="L3272" s="28"/>
      <c r="M3272" s="28"/>
      <c r="N3272" s="28"/>
      <c r="O3272" s="28"/>
      <c r="P3272" s="28"/>
      <c r="Q3272" s="28"/>
      <c r="R3272" s="28"/>
      <c r="S3272" s="28"/>
    </row>
    <row r="3273" spans="1:19" x14ac:dyDescent="0.25">
      <c r="A3273" s="28"/>
      <c r="B3273" s="28"/>
      <c r="C3273" s="28"/>
      <c r="D3273" s="28"/>
      <c r="E3273" s="28"/>
      <c r="F3273" s="28"/>
      <c r="G3273" s="28"/>
      <c r="H3273" s="28"/>
      <c r="I3273" s="28"/>
      <c r="J3273" s="28"/>
      <c r="K3273" s="28"/>
      <c r="L3273" s="28"/>
      <c r="M3273" s="28"/>
      <c r="N3273" s="28"/>
      <c r="O3273" s="28"/>
      <c r="P3273" s="28"/>
      <c r="Q3273" s="28"/>
      <c r="R3273" s="28"/>
      <c r="S3273" s="28"/>
    </row>
    <row r="3274" spans="1:19" x14ac:dyDescent="0.25">
      <c r="A3274" s="28"/>
      <c r="B3274" s="28"/>
      <c r="C3274" s="28"/>
      <c r="D3274" s="28"/>
      <c r="E3274" s="28"/>
      <c r="F3274" s="28"/>
      <c r="G3274" s="28"/>
      <c r="H3274" s="28"/>
      <c r="I3274" s="28"/>
      <c r="J3274" s="28"/>
      <c r="K3274" s="28"/>
      <c r="L3274" s="28"/>
      <c r="M3274" s="28"/>
      <c r="N3274" s="28"/>
      <c r="O3274" s="28"/>
      <c r="P3274" s="28"/>
      <c r="Q3274" s="28"/>
      <c r="R3274" s="28"/>
      <c r="S3274" s="28"/>
    </row>
    <row r="3275" spans="1:19" x14ac:dyDescent="0.25">
      <c r="A3275" s="28"/>
      <c r="B3275" s="28"/>
      <c r="C3275" s="28"/>
      <c r="D3275" s="28"/>
      <c r="E3275" s="28"/>
      <c r="F3275" s="28"/>
      <c r="G3275" s="28"/>
      <c r="H3275" s="28"/>
      <c r="I3275" s="28"/>
      <c r="J3275" s="28"/>
      <c r="K3275" s="28"/>
      <c r="L3275" s="28"/>
      <c r="M3275" s="28"/>
      <c r="N3275" s="28"/>
      <c r="O3275" s="28"/>
      <c r="P3275" s="28"/>
      <c r="Q3275" s="28"/>
      <c r="R3275" s="28"/>
      <c r="S3275" s="28"/>
    </row>
    <row r="3276" spans="1:19" x14ac:dyDescent="0.25">
      <c r="A3276" s="28"/>
      <c r="B3276" s="28"/>
      <c r="C3276" s="28"/>
      <c r="D3276" s="28"/>
      <c r="E3276" s="28"/>
      <c r="F3276" s="28"/>
      <c r="G3276" s="28"/>
      <c r="H3276" s="28"/>
      <c r="I3276" s="28"/>
      <c r="J3276" s="28"/>
      <c r="K3276" s="28"/>
      <c r="L3276" s="28"/>
      <c r="M3276" s="28"/>
      <c r="N3276" s="28"/>
      <c r="O3276" s="28"/>
      <c r="P3276" s="28"/>
      <c r="Q3276" s="28"/>
      <c r="R3276" s="28"/>
      <c r="S3276" s="28"/>
    </row>
    <row r="3277" spans="1:19" x14ac:dyDescent="0.25">
      <c r="A3277" s="28"/>
      <c r="B3277" s="28"/>
      <c r="C3277" s="28"/>
      <c r="D3277" s="28"/>
      <c r="E3277" s="28"/>
      <c r="F3277" s="28"/>
      <c r="G3277" s="28"/>
      <c r="H3277" s="28"/>
      <c r="I3277" s="28"/>
      <c r="J3277" s="28"/>
      <c r="K3277" s="28"/>
      <c r="L3277" s="28"/>
      <c r="M3277" s="28"/>
      <c r="N3277" s="28"/>
      <c r="O3277" s="28"/>
      <c r="P3277" s="28"/>
      <c r="Q3277" s="28"/>
      <c r="R3277" s="28"/>
      <c r="S3277" s="28"/>
    </row>
    <row r="3278" spans="1:19" x14ac:dyDescent="0.25">
      <c r="A3278" s="28"/>
      <c r="B3278" s="28"/>
      <c r="C3278" s="28"/>
      <c r="D3278" s="28"/>
      <c r="E3278" s="28"/>
      <c r="F3278" s="28"/>
      <c r="G3278" s="28"/>
      <c r="H3278" s="28"/>
      <c r="I3278" s="28"/>
      <c r="J3278" s="28"/>
      <c r="K3278" s="28"/>
      <c r="L3278" s="28"/>
      <c r="M3278" s="28"/>
      <c r="N3278" s="28"/>
      <c r="O3278" s="28"/>
      <c r="P3278" s="28"/>
      <c r="Q3278" s="28"/>
      <c r="R3278" s="28"/>
      <c r="S3278" s="28"/>
    </row>
    <row r="3279" spans="1:19" x14ac:dyDescent="0.25">
      <c r="A3279" s="28"/>
      <c r="B3279" s="28"/>
      <c r="C3279" s="28"/>
      <c r="D3279" s="28"/>
      <c r="E3279" s="28"/>
      <c r="F3279" s="28"/>
      <c r="G3279" s="28"/>
      <c r="H3279" s="28"/>
      <c r="I3279" s="28"/>
      <c r="J3279" s="28"/>
      <c r="K3279" s="28"/>
      <c r="L3279" s="28"/>
      <c r="M3279" s="28"/>
      <c r="N3279" s="28"/>
      <c r="O3279" s="28"/>
      <c r="P3279" s="28"/>
      <c r="Q3279" s="28"/>
      <c r="R3279" s="28"/>
      <c r="S3279" s="28"/>
    </row>
    <row r="3280" spans="1:19" x14ac:dyDescent="0.25">
      <c r="A3280" s="28"/>
      <c r="B3280" s="28"/>
      <c r="C3280" s="28"/>
      <c r="D3280" s="28"/>
      <c r="E3280" s="28"/>
      <c r="F3280" s="28"/>
      <c r="G3280" s="28"/>
      <c r="H3280" s="28"/>
      <c r="I3280" s="28"/>
      <c r="J3280" s="28"/>
      <c r="K3280" s="28"/>
      <c r="L3280" s="28"/>
      <c r="M3280" s="28"/>
      <c r="N3280" s="28"/>
      <c r="O3280" s="28"/>
      <c r="P3280" s="28"/>
      <c r="Q3280" s="28"/>
      <c r="R3280" s="28"/>
      <c r="S3280" s="28"/>
    </row>
    <row r="3281" spans="1:19" x14ac:dyDescent="0.25">
      <c r="A3281" s="28"/>
      <c r="B3281" s="28"/>
      <c r="C3281" s="28"/>
      <c r="D3281" s="28"/>
      <c r="E3281" s="28"/>
      <c r="F3281" s="28"/>
      <c r="G3281" s="28"/>
      <c r="H3281" s="28"/>
      <c r="I3281" s="28"/>
      <c r="J3281" s="28"/>
      <c r="K3281" s="28"/>
      <c r="L3281" s="28"/>
      <c r="M3281" s="28"/>
      <c r="N3281" s="28"/>
      <c r="O3281" s="28"/>
      <c r="P3281" s="28"/>
      <c r="Q3281" s="28"/>
      <c r="R3281" s="28"/>
      <c r="S3281" s="28"/>
    </row>
    <row r="3282" spans="1:19" x14ac:dyDescent="0.25">
      <c r="A3282" s="28"/>
      <c r="B3282" s="28"/>
      <c r="C3282" s="28"/>
      <c r="D3282" s="28"/>
      <c r="E3282" s="28"/>
      <c r="F3282" s="28"/>
      <c r="G3282" s="28"/>
      <c r="H3282" s="28"/>
      <c r="I3282" s="28"/>
      <c r="J3282" s="28"/>
      <c r="K3282" s="28"/>
      <c r="L3282" s="28"/>
      <c r="M3282" s="28"/>
      <c r="N3282" s="28"/>
      <c r="O3282" s="28"/>
      <c r="P3282" s="28"/>
      <c r="Q3282" s="28"/>
      <c r="R3282" s="28"/>
      <c r="S3282" s="28"/>
    </row>
    <row r="3283" spans="1:19" x14ac:dyDescent="0.25">
      <c r="A3283" s="28"/>
      <c r="B3283" s="28"/>
      <c r="C3283" s="28"/>
      <c r="D3283" s="28"/>
      <c r="E3283" s="28"/>
      <c r="F3283" s="28"/>
      <c r="G3283" s="28"/>
      <c r="H3283" s="28"/>
      <c r="I3283" s="28"/>
      <c r="J3283" s="28"/>
      <c r="K3283" s="28"/>
      <c r="L3283" s="28"/>
      <c r="M3283" s="28"/>
      <c r="N3283" s="28"/>
      <c r="O3283" s="28"/>
      <c r="P3283" s="28"/>
      <c r="Q3283" s="28"/>
      <c r="R3283" s="28"/>
      <c r="S3283" s="28"/>
    </row>
    <row r="3284" spans="1:19" x14ac:dyDescent="0.25">
      <c r="A3284" s="28"/>
      <c r="B3284" s="28"/>
      <c r="C3284" s="28"/>
      <c r="D3284" s="28"/>
      <c r="E3284" s="28"/>
      <c r="F3284" s="28"/>
      <c r="G3284" s="28"/>
      <c r="H3284" s="28"/>
      <c r="I3284" s="28"/>
      <c r="J3284" s="28"/>
      <c r="K3284" s="28"/>
      <c r="L3284" s="28"/>
      <c r="M3284" s="28"/>
      <c r="N3284" s="28"/>
      <c r="O3284" s="28"/>
      <c r="P3284" s="28"/>
      <c r="Q3284" s="28"/>
      <c r="R3284" s="28"/>
      <c r="S3284" s="28"/>
    </row>
    <row r="3285" spans="1:19" x14ac:dyDescent="0.25">
      <c r="A3285" s="28"/>
      <c r="B3285" s="28"/>
      <c r="C3285" s="28"/>
      <c r="D3285" s="28"/>
      <c r="E3285" s="28"/>
      <c r="F3285" s="28"/>
      <c r="G3285" s="28"/>
      <c r="H3285" s="28"/>
      <c r="I3285" s="28"/>
      <c r="J3285" s="28"/>
      <c r="K3285" s="28"/>
      <c r="L3285" s="28"/>
      <c r="M3285" s="28"/>
      <c r="N3285" s="28"/>
      <c r="O3285" s="28"/>
      <c r="P3285" s="28"/>
      <c r="Q3285" s="28"/>
      <c r="R3285" s="28"/>
      <c r="S3285" s="28"/>
    </row>
    <row r="3286" spans="1:19" x14ac:dyDescent="0.25">
      <c r="A3286" s="28"/>
      <c r="B3286" s="28"/>
      <c r="C3286" s="28"/>
      <c r="D3286" s="28"/>
      <c r="E3286" s="28"/>
      <c r="F3286" s="28"/>
      <c r="G3286" s="28"/>
      <c r="H3286" s="28"/>
      <c r="I3286" s="28"/>
      <c r="J3286" s="28"/>
      <c r="K3286" s="28"/>
      <c r="L3286" s="28"/>
      <c r="M3286" s="28"/>
      <c r="N3286" s="28"/>
      <c r="O3286" s="28"/>
      <c r="P3286" s="28"/>
      <c r="Q3286" s="28"/>
      <c r="R3286" s="28"/>
      <c r="S3286" s="28"/>
    </row>
    <row r="3287" spans="1:19" x14ac:dyDescent="0.25">
      <c r="A3287" s="28"/>
      <c r="B3287" s="28"/>
      <c r="C3287" s="28"/>
      <c r="D3287" s="28"/>
      <c r="E3287" s="28"/>
      <c r="F3287" s="28"/>
      <c r="G3287" s="28"/>
      <c r="H3287" s="28"/>
      <c r="I3287" s="28"/>
      <c r="J3287" s="28"/>
      <c r="K3287" s="28"/>
      <c r="L3287" s="28"/>
      <c r="M3287" s="28"/>
      <c r="N3287" s="28"/>
      <c r="O3287" s="28"/>
      <c r="P3287" s="28"/>
      <c r="Q3287" s="28"/>
      <c r="R3287" s="28"/>
      <c r="S3287" s="28"/>
    </row>
    <row r="3288" spans="1:19" x14ac:dyDescent="0.25">
      <c r="A3288" s="28"/>
      <c r="B3288" s="28"/>
      <c r="C3288" s="28"/>
      <c r="D3288" s="28"/>
      <c r="E3288" s="28"/>
      <c r="F3288" s="28"/>
      <c r="G3288" s="28"/>
      <c r="H3288" s="28"/>
      <c r="I3288" s="28"/>
      <c r="J3288" s="28"/>
      <c r="K3288" s="28"/>
      <c r="L3288" s="28"/>
      <c r="M3288" s="28"/>
      <c r="N3288" s="28"/>
      <c r="O3288" s="28"/>
      <c r="P3288" s="28"/>
      <c r="Q3288" s="28"/>
      <c r="R3288" s="28"/>
      <c r="S3288" s="28"/>
    </row>
    <row r="3289" spans="1:19" x14ac:dyDescent="0.25">
      <c r="A3289" s="28"/>
      <c r="B3289" s="28"/>
      <c r="C3289" s="28"/>
      <c r="D3289" s="28"/>
      <c r="E3289" s="28"/>
      <c r="F3289" s="28"/>
      <c r="G3289" s="28"/>
      <c r="H3289" s="28"/>
      <c r="I3289" s="28"/>
      <c r="J3289" s="28"/>
      <c r="K3289" s="28"/>
      <c r="L3289" s="28"/>
      <c r="M3289" s="28"/>
      <c r="N3289" s="28"/>
      <c r="O3289" s="28"/>
      <c r="P3289" s="28"/>
      <c r="Q3289" s="28"/>
      <c r="R3289" s="28"/>
      <c r="S3289" s="28"/>
    </row>
    <row r="3290" spans="1:19" x14ac:dyDescent="0.25">
      <c r="A3290" s="28"/>
      <c r="B3290" s="28"/>
      <c r="C3290" s="28"/>
      <c r="D3290" s="28"/>
      <c r="E3290" s="28"/>
      <c r="F3290" s="28"/>
      <c r="G3290" s="28"/>
      <c r="H3290" s="28"/>
      <c r="I3290" s="28"/>
      <c r="J3290" s="28"/>
      <c r="K3290" s="28"/>
      <c r="L3290" s="28"/>
      <c r="M3290" s="28"/>
      <c r="N3290" s="28"/>
      <c r="O3290" s="28"/>
      <c r="P3290" s="28"/>
      <c r="Q3290" s="28"/>
      <c r="R3290" s="28"/>
      <c r="S3290" s="28"/>
    </row>
    <row r="3291" spans="1:19" x14ac:dyDescent="0.25">
      <c r="A3291" s="28"/>
      <c r="B3291" s="28"/>
      <c r="C3291" s="28"/>
      <c r="D3291" s="28"/>
      <c r="E3291" s="28"/>
      <c r="F3291" s="28"/>
      <c r="G3291" s="28"/>
      <c r="H3291" s="28"/>
      <c r="I3291" s="28"/>
      <c r="J3291" s="28"/>
      <c r="K3291" s="28"/>
      <c r="L3291" s="28"/>
      <c r="M3291" s="28"/>
      <c r="N3291" s="28"/>
      <c r="O3291" s="28"/>
      <c r="P3291" s="28"/>
      <c r="Q3291" s="28"/>
      <c r="R3291" s="28"/>
      <c r="S3291" s="28"/>
    </row>
    <row r="3292" spans="1:19" x14ac:dyDescent="0.25">
      <c r="A3292" s="28"/>
      <c r="B3292" s="28"/>
      <c r="C3292" s="28"/>
      <c r="D3292" s="28"/>
      <c r="E3292" s="28"/>
      <c r="F3292" s="28"/>
      <c r="G3292" s="28"/>
      <c r="H3292" s="28"/>
      <c r="I3292" s="28"/>
      <c r="J3292" s="28"/>
      <c r="K3292" s="28"/>
      <c r="L3292" s="28"/>
      <c r="M3292" s="28"/>
      <c r="N3292" s="28"/>
      <c r="O3292" s="28"/>
      <c r="P3292" s="28"/>
      <c r="Q3292" s="28"/>
      <c r="R3292" s="28"/>
      <c r="S3292" s="28"/>
    </row>
    <row r="3293" spans="1:19" x14ac:dyDescent="0.25">
      <c r="A3293" s="28"/>
      <c r="B3293" s="28"/>
      <c r="C3293" s="28"/>
      <c r="D3293" s="28"/>
      <c r="E3293" s="28"/>
      <c r="F3293" s="28"/>
      <c r="G3293" s="28"/>
      <c r="H3293" s="28"/>
      <c r="I3293" s="28"/>
      <c r="J3293" s="28"/>
      <c r="K3293" s="28"/>
      <c r="L3293" s="28"/>
      <c r="M3293" s="28"/>
      <c r="N3293" s="28"/>
      <c r="O3293" s="28"/>
      <c r="P3293" s="28"/>
      <c r="Q3293" s="28"/>
      <c r="R3293" s="28"/>
      <c r="S3293" s="28"/>
    </row>
    <row r="3294" spans="1:19" x14ac:dyDescent="0.25">
      <c r="A3294" s="28"/>
      <c r="B3294" s="28"/>
      <c r="C3294" s="28"/>
      <c r="D3294" s="28"/>
      <c r="E3294" s="28"/>
      <c r="F3294" s="28"/>
      <c r="G3294" s="28"/>
      <c r="H3294" s="28"/>
      <c r="I3294" s="28"/>
      <c r="J3294" s="28"/>
      <c r="K3294" s="28"/>
      <c r="L3294" s="28"/>
      <c r="M3294" s="28"/>
      <c r="N3294" s="28"/>
      <c r="O3294" s="28"/>
      <c r="P3294" s="28"/>
      <c r="Q3294" s="28"/>
      <c r="R3294" s="28"/>
      <c r="S3294" s="28"/>
    </row>
    <row r="3295" spans="1:19" x14ac:dyDescent="0.25">
      <c r="A3295" s="28"/>
      <c r="B3295" s="28"/>
      <c r="C3295" s="28"/>
      <c r="D3295" s="28"/>
      <c r="E3295" s="28"/>
      <c r="F3295" s="28"/>
      <c r="G3295" s="28"/>
      <c r="H3295" s="28"/>
      <c r="I3295" s="28"/>
      <c r="J3295" s="28"/>
      <c r="K3295" s="28"/>
      <c r="L3295" s="28"/>
      <c r="M3295" s="28"/>
      <c r="N3295" s="28"/>
      <c r="O3295" s="28"/>
      <c r="P3295" s="28"/>
      <c r="Q3295" s="28"/>
      <c r="R3295" s="28"/>
      <c r="S3295" s="28"/>
    </row>
    <row r="3296" spans="1:19" x14ac:dyDescent="0.25">
      <c r="A3296" s="28"/>
      <c r="B3296" s="28"/>
      <c r="C3296" s="28"/>
      <c r="D3296" s="28"/>
      <c r="E3296" s="28"/>
      <c r="F3296" s="28"/>
      <c r="G3296" s="28"/>
      <c r="H3296" s="28"/>
      <c r="I3296" s="28"/>
      <c r="J3296" s="28"/>
      <c r="K3296" s="28"/>
      <c r="L3296" s="28"/>
      <c r="M3296" s="28"/>
      <c r="N3296" s="28"/>
      <c r="O3296" s="28"/>
      <c r="P3296" s="28"/>
      <c r="Q3296" s="28"/>
      <c r="R3296" s="28"/>
      <c r="S3296" s="28"/>
    </row>
    <row r="3297" spans="1:19" x14ac:dyDescent="0.25">
      <c r="A3297" s="28"/>
      <c r="B3297" s="28"/>
      <c r="C3297" s="28"/>
      <c r="D3297" s="28"/>
      <c r="E3297" s="28"/>
      <c r="F3297" s="28"/>
      <c r="G3297" s="28"/>
      <c r="H3297" s="28"/>
      <c r="I3297" s="28"/>
      <c r="J3297" s="28"/>
      <c r="K3297" s="28"/>
      <c r="L3297" s="28"/>
      <c r="M3297" s="28"/>
      <c r="N3297" s="28"/>
      <c r="O3297" s="28"/>
      <c r="P3297" s="28"/>
      <c r="Q3297" s="28"/>
      <c r="R3297" s="28"/>
      <c r="S3297" s="28"/>
    </row>
    <row r="3298" spans="1:19" x14ac:dyDescent="0.25">
      <c r="A3298" s="28"/>
      <c r="B3298" s="28"/>
      <c r="C3298" s="28"/>
      <c r="D3298" s="28"/>
      <c r="E3298" s="28"/>
      <c r="F3298" s="28"/>
      <c r="G3298" s="28"/>
      <c r="H3298" s="28"/>
      <c r="I3298" s="28"/>
      <c r="J3298" s="28"/>
      <c r="K3298" s="28"/>
      <c r="L3298" s="28"/>
      <c r="M3298" s="28"/>
      <c r="N3298" s="28"/>
      <c r="O3298" s="28"/>
      <c r="P3298" s="28"/>
      <c r="Q3298" s="28"/>
      <c r="R3298" s="28"/>
      <c r="S3298" s="28"/>
    </row>
    <row r="3299" spans="1:19" x14ac:dyDescent="0.25">
      <c r="A3299" s="28"/>
      <c r="B3299" s="28"/>
      <c r="C3299" s="28"/>
      <c r="D3299" s="28"/>
      <c r="E3299" s="28"/>
      <c r="F3299" s="28"/>
      <c r="G3299" s="28"/>
      <c r="H3299" s="28"/>
      <c r="I3299" s="28"/>
      <c r="J3299" s="28"/>
      <c r="K3299" s="28"/>
      <c r="L3299" s="28"/>
      <c r="M3299" s="28"/>
      <c r="N3299" s="28"/>
      <c r="O3299" s="28"/>
      <c r="P3299" s="28"/>
      <c r="Q3299" s="28"/>
      <c r="R3299" s="28"/>
      <c r="S3299" s="28"/>
    </row>
    <row r="3300" spans="1:19" x14ac:dyDescent="0.25">
      <c r="A3300" s="28"/>
      <c r="B3300" s="28"/>
      <c r="C3300" s="28"/>
      <c r="D3300" s="28"/>
      <c r="E3300" s="28"/>
      <c r="F3300" s="28"/>
      <c r="G3300" s="28"/>
      <c r="H3300" s="28"/>
      <c r="I3300" s="28"/>
      <c r="J3300" s="28"/>
      <c r="K3300" s="28"/>
      <c r="L3300" s="28"/>
      <c r="M3300" s="28"/>
      <c r="N3300" s="28"/>
      <c r="O3300" s="28"/>
      <c r="P3300" s="28"/>
      <c r="Q3300" s="28"/>
      <c r="R3300" s="28"/>
      <c r="S3300" s="28"/>
    </row>
    <row r="3301" spans="1:19" x14ac:dyDescent="0.25">
      <c r="A3301" s="28"/>
      <c r="B3301" s="28"/>
      <c r="C3301" s="28"/>
      <c r="D3301" s="28"/>
      <c r="E3301" s="28"/>
      <c r="F3301" s="28"/>
      <c r="G3301" s="28"/>
      <c r="H3301" s="28"/>
      <c r="I3301" s="28"/>
      <c r="J3301" s="28"/>
      <c r="K3301" s="28"/>
      <c r="L3301" s="28"/>
      <c r="M3301" s="28"/>
      <c r="N3301" s="28"/>
      <c r="O3301" s="28"/>
      <c r="P3301" s="28"/>
      <c r="Q3301" s="28"/>
      <c r="R3301" s="28"/>
      <c r="S3301" s="28"/>
    </row>
    <row r="3302" spans="1:19" x14ac:dyDescent="0.25">
      <c r="A3302" s="28"/>
      <c r="B3302" s="28"/>
      <c r="C3302" s="28"/>
      <c r="D3302" s="28"/>
      <c r="E3302" s="28"/>
      <c r="F3302" s="28"/>
      <c r="G3302" s="28"/>
      <c r="H3302" s="28"/>
      <c r="I3302" s="28"/>
      <c r="J3302" s="28"/>
      <c r="K3302" s="28"/>
      <c r="L3302" s="28"/>
      <c r="M3302" s="28"/>
      <c r="N3302" s="28"/>
      <c r="O3302" s="28"/>
      <c r="P3302" s="28"/>
      <c r="Q3302" s="28"/>
      <c r="R3302" s="28"/>
      <c r="S3302" s="28"/>
    </row>
    <row r="3303" spans="1:19" x14ac:dyDescent="0.25">
      <c r="A3303" s="28"/>
      <c r="B3303" s="28"/>
      <c r="C3303" s="28"/>
      <c r="D3303" s="28"/>
      <c r="E3303" s="28"/>
      <c r="F3303" s="28"/>
      <c r="G3303" s="28"/>
      <c r="H3303" s="28"/>
      <c r="I3303" s="28"/>
      <c r="J3303" s="28"/>
      <c r="K3303" s="28"/>
      <c r="L3303" s="28"/>
      <c r="M3303" s="28"/>
      <c r="N3303" s="28"/>
      <c r="O3303" s="28"/>
      <c r="P3303" s="28"/>
      <c r="Q3303" s="28"/>
      <c r="R3303" s="28"/>
      <c r="S3303" s="28"/>
    </row>
    <row r="3304" spans="1:19" x14ac:dyDescent="0.25">
      <c r="A3304" s="28"/>
      <c r="B3304" s="28"/>
      <c r="C3304" s="28"/>
      <c r="D3304" s="28"/>
      <c r="E3304" s="28"/>
      <c r="F3304" s="28"/>
      <c r="G3304" s="28"/>
      <c r="H3304" s="28"/>
      <c r="I3304" s="28"/>
      <c r="J3304" s="28"/>
      <c r="K3304" s="28"/>
      <c r="L3304" s="28"/>
      <c r="M3304" s="28"/>
      <c r="N3304" s="28"/>
      <c r="O3304" s="28"/>
      <c r="P3304" s="28"/>
      <c r="Q3304" s="28"/>
      <c r="R3304" s="28"/>
      <c r="S3304" s="28"/>
    </row>
    <row r="3305" spans="1:19" x14ac:dyDescent="0.25">
      <c r="A3305" s="28"/>
      <c r="B3305" s="28"/>
      <c r="C3305" s="28"/>
      <c r="D3305" s="28"/>
      <c r="E3305" s="28"/>
      <c r="F3305" s="28"/>
      <c r="G3305" s="28"/>
      <c r="H3305" s="28"/>
      <c r="I3305" s="28"/>
      <c r="J3305" s="28"/>
      <c r="K3305" s="28"/>
      <c r="L3305" s="28"/>
      <c r="M3305" s="28"/>
      <c r="N3305" s="28"/>
      <c r="O3305" s="28"/>
      <c r="P3305" s="28"/>
      <c r="Q3305" s="28"/>
      <c r="R3305" s="28"/>
      <c r="S3305" s="28"/>
    </row>
    <row r="3306" spans="1:19" x14ac:dyDescent="0.25">
      <c r="A3306" s="28"/>
      <c r="B3306" s="28"/>
      <c r="C3306" s="28"/>
      <c r="D3306" s="28"/>
      <c r="E3306" s="28"/>
      <c r="F3306" s="28"/>
      <c r="G3306" s="28"/>
      <c r="H3306" s="28"/>
      <c r="I3306" s="28"/>
      <c r="J3306" s="28"/>
      <c r="K3306" s="28"/>
      <c r="L3306" s="28"/>
      <c r="M3306" s="28"/>
      <c r="N3306" s="28"/>
      <c r="O3306" s="28"/>
      <c r="P3306" s="28"/>
      <c r="Q3306" s="28"/>
      <c r="R3306" s="28"/>
      <c r="S3306" s="28"/>
    </row>
    <row r="3307" spans="1:19" x14ac:dyDescent="0.25">
      <c r="A3307" s="28"/>
      <c r="B3307" s="28"/>
      <c r="C3307" s="28"/>
      <c r="D3307" s="28"/>
      <c r="E3307" s="28"/>
      <c r="F3307" s="28"/>
      <c r="G3307" s="28"/>
      <c r="H3307" s="28"/>
      <c r="I3307" s="28"/>
      <c r="J3307" s="28"/>
      <c r="K3307" s="28"/>
      <c r="L3307" s="28"/>
      <c r="M3307" s="28"/>
      <c r="N3307" s="28"/>
      <c r="O3307" s="28"/>
      <c r="P3307" s="28"/>
      <c r="Q3307" s="28"/>
      <c r="R3307" s="28"/>
      <c r="S3307" s="28"/>
    </row>
    <row r="3308" spans="1:19" x14ac:dyDescent="0.25">
      <c r="A3308" s="28"/>
      <c r="B3308" s="28"/>
      <c r="C3308" s="28"/>
      <c r="D3308" s="28"/>
      <c r="E3308" s="28"/>
      <c r="F3308" s="28"/>
      <c r="G3308" s="28"/>
      <c r="H3308" s="28"/>
      <c r="I3308" s="28"/>
      <c r="J3308" s="28"/>
      <c r="K3308" s="28"/>
      <c r="L3308" s="28"/>
      <c r="M3308" s="28"/>
      <c r="N3308" s="28"/>
      <c r="O3308" s="28"/>
      <c r="P3308" s="28"/>
      <c r="Q3308" s="28"/>
      <c r="R3308" s="28"/>
      <c r="S3308" s="28"/>
    </row>
    <row r="3309" spans="1:19" x14ac:dyDescent="0.25">
      <c r="A3309" s="28"/>
      <c r="B3309" s="28"/>
      <c r="C3309" s="28"/>
      <c r="D3309" s="28"/>
      <c r="E3309" s="28"/>
      <c r="F3309" s="28"/>
      <c r="G3309" s="28"/>
      <c r="H3309" s="28"/>
      <c r="I3309" s="28"/>
      <c r="J3309" s="28"/>
      <c r="K3309" s="28"/>
      <c r="L3309" s="28"/>
      <c r="M3309" s="28"/>
      <c r="N3309" s="28"/>
      <c r="O3309" s="28"/>
      <c r="P3309" s="28"/>
      <c r="Q3309" s="28"/>
      <c r="R3309" s="28"/>
      <c r="S3309" s="28"/>
    </row>
    <row r="3310" spans="1:19" x14ac:dyDescent="0.25">
      <c r="A3310" s="28"/>
      <c r="B3310" s="28"/>
      <c r="C3310" s="28"/>
      <c r="D3310" s="28"/>
      <c r="E3310" s="28"/>
      <c r="F3310" s="28"/>
      <c r="G3310" s="28"/>
      <c r="H3310" s="28"/>
      <c r="I3310" s="28"/>
      <c r="J3310" s="28"/>
      <c r="K3310" s="28"/>
      <c r="L3310" s="28"/>
      <c r="M3310" s="28"/>
      <c r="N3310" s="28"/>
      <c r="O3310" s="28"/>
      <c r="P3310" s="28"/>
      <c r="Q3310" s="28"/>
      <c r="R3310" s="28"/>
      <c r="S3310" s="28"/>
    </row>
    <row r="3311" spans="1:19" x14ac:dyDescent="0.25">
      <c r="A3311" s="28"/>
      <c r="B3311" s="28"/>
      <c r="C3311" s="28"/>
      <c r="D3311" s="28"/>
      <c r="E3311" s="28"/>
      <c r="F3311" s="28"/>
      <c r="G3311" s="28"/>
      <c r="H3311" s="28"/>
      <c r="I3311" s="28"/>
      <c r="J3311" s="28"/>
      <c r="K3311" s="28"/>
      <c r="L3311" s="28"/>
      <c r="M3311" s="28"/>
      <c r="N3311" s="28"/>
      <c r="O3311" s="28"/>
      <c r="P3311" s="28"/>
      <c r="Q3311" s="28"/>
      <c r="R3311" s="28"/>
      <c r="S3311" s="28"/>
    </row>
    <row r="3312" spans="1:19" x14ac:dyDescent="0.25">
      <c r="A3312" s="28"/>
      <c r="B3312" s="28"/>
      <c r="C3312" s="28"/>
      <c r="D3312" s="28"/>
      <c r="E3312" s="28"/>
      <c r="F3312" s="28"/>
      <c r="G3312" s="28"/>
      <c r="H3312" s="28"/>
      <c r="I3312" s="28"/>
      <c r="J3312" s="28"/>
      <c r="K3312" s="28"/>
      <c r="L3312" s="28"/>
      <c r="M3312" s="28"/>
      <c r="N3312" s="28"/>
      <c r="O3312" s="28"/>
      <c r="P3312" s="28"/>
      <c r="Q3312" s="28"/>
      <c r="R3312" s="28"/>
      <c r="S3312" s="28"/>
    </row>
    <row r="3313" spans="1:19" x14ac:dyDescent="0.25">
      <c r="A3313" s="28"/>
      <c r="B3313" s="28"/>
      <c r="C3313" s="28"/>
      <c r="D3313" s="28"/>
      <c r="E3313" s="28"/>
      <c r="F3313" s="28"/>
      <c r="G3313" s="28"/>
      <c r="H3313" s="28"/>
      <c r="I3313" s="28"/>
      <c r="J3313" s="28"/>
      <c r="K3313" s="28"/>
      <c r="L3313" s="28"/>
      <c r="M3313" s="28"/>
      <c r="N3313" s="28"/>
      <c r="O3313" s="28"/>
      <c r="P3313" s="28"/>
      <c r="Q3313" s="28"/>
      <c r="R3313" s="28"/>
      <c r="S3313" s="28"/>
    </row>
    <row r="3314" spans="1:19" x14ac:dyDescent="0.25">
      <c r="A3314" s="28"/>
      <c r="B3314" s="28"/>
      <c r="C3314" s="28"/>
      <c r="D3314" s="28"/>
      <c r="E3314" s="28"/>
      <c r="F3314" s="28"/>
      <c r="G3314" s="28"/>
      <c r="H3314" s="28"/>
      <c r="I3314" s="28"/>
      <c r="J3314" s="28"/>
      <c r="K3314" s="28"/>
      <c r="L3314" s="28"/>
      <c r="M3314" s="28"/>
      <c r="N3314" s="28"/>
      <c r="O3314" s="28"/>
      <c r="P3314" s="28"/>
      <c r="Q3314" s="28"/>
      <c r="R3314" s="28"/>
      <c r="S3314" s="28"/>
    </row>
    <row r="3315" spans="1:19" x14ac:dyDescent="0.25">
      <c r="A3315" s="28"/>
      <c r="B3315" s="28"/>
      <c r="C3315" s="28"/>
      <c r="D3315" s="28"/>
      <c r="E3315" s="28"/>
      <c r="F3315" s="28"/>
      <c r="G3315" s="28"/>
      <c r="H3315" s="28"/>
      <c r="I3315" s="28"/>
      <c r="J3315" s="28"/>
      <c r="K3315" s="28"/>
      <c r="L3315" s="28"/>
      <c r="M3315" s="28"/>
      <c r="N3315" s="28"/>
      <c r="O3315" s="28"/>
      <c r="P3315" s="28"/>
      <c r="Q3315" s="28"/>
      <c r="R3315" s="28"/>
      <c r="S3315" s="28"/>
    </row>
    <row r="3316" spans="1:19" x14ac:dyDescent="0.25">
      <c r="A3316" s="28"/>
      <c r="B3316" s="28"/>
      <c r="C3316" s="28"/>
      <c r="D3316" s="28"/>
      <c r="E3316" s="28"/>
      <c r="F3316" s="28"/>
      <c r="G3316" s="28"/>
      <c r="H3316" s="28"/>
      <c r="I3316" s="28"/>
      <c r="J3316" s="28"/>
      <c r="K3316" s="28"/>
      <c r="L3316" s="28"/>
      <c r="M3316" s="28"/>
      <c r="N3316" s="28"/>
      <c r="O3316" s="28"/>
      <c r="P3316" s="28"/>
      <c r="Q3316" s="28"/>
      <c r="R3316" s="28"/>
      <c r="S3316" s="28"/>
    </row>
    <row r="3317" spans="1:19" x14ac:dyDescent="0.25">
      <c r="A3317" s="28"/>
      <c r="B3317" s="28"/>
      <c r="C3317" s="28"/>
      <c r="D3317" s="28"/>
      <c r="E3317" s="28"/>
      <c r="F3317" s="28"/>
      <c r="G3317" s="28"/>
      <c r="H3317" s="28"/>
      <c r="I3317" s="28"/>
      <c r="J3317" s="28"/>
      <c r="K3317" s="28"/>
      <c r="L3317" s="28"/>
      <c r="M3317" s="28"/>
      <c r="N3317" s="28"/>
      <c r="O3317" s="28"/>
      <c r="P3317" s="28"/>
      <c r="Q3317" s="28"/>
      <c r="R3317" s="28"/>
      <c r="S3317" s="28"/>
    </row>
    <row r="3318" spans="1:19" x14ac:dyDescent="0.25">
      <c r="A3318" s="28"/>
      <c r="B3318" s="28"/>
      <c r="C3318" s="28"/>
      <c r="D3318" s="28"/>
      <c r="E3318" s="28"/>
      <c r="F3318" s="28"/>
      <c r="G3318" s="28"/>
      <c r="H3318" s="28"/>
      <c r="I3318" s="28"/>
      <c r="J3318" s="28"/>
      <c r="K3318" s="28"/>
      <c r="L3318" s="28"/>
      <c r="M3318" s="28"/>
      <c r="N3318" s="28"/>
      <c r="O3318" s="28"/>
      <c r="P3318" s="28"/>
      <c r="Q3318" s="28"/>
      <c r="R3318" s="28"/>
      <c r="S3318" s="28"/>
    </row>
    <row r="3319" spans="1:19" x14ac:dyDescent="0.25">
      <c r="A3319" s="28"/>
      <c r="B3319" s="28"/>
      <c r="C3319" s="28"/>
      <c r="D3319" s="28"/>
      <c r="E3319" s="28"/>
      <c r="F3319" s="28"/>
      <c r="G3319" s="28"/>
      <c r="H3319" s="28"/>
      <c r="I3319" s="28"/>
      <c r="J3319" s="28"/>
      <c r="K3319" s="28"/>
      <c r="L3319" s="28"/>
      <c r="M3319" s="28"/>
      <c r="N3319" s="28"/>
      <c r="O3319" s="28"/>
      <c r="P3319" s="28"/>
      <c r="Q3319" s="28"/>
      <c r="R3319" s="28"/>
      <c r="S3319" s="28"/>
    </row>
    <row r="3320" spans="1:19" x14ac:dyDescent="0.25">
      <c r="A3320" s="28"/>
      <c r="B3320" s="28"/>
      <c r="C3320" s="28"/>
      <c r="D3320" s="28"/>
      <c r="E3320" s="28"/>
      <c r="F3320" s="28"/>
      <c r="G3320" s="28"/>
      <c r="H3320" s="28"/>
      <c r="I3320" s="28"/>
      <c r="J3320" s="28"/>
      <c r="K3320" s="28"/>
      <c r="L3320" s="28"/>
      <c r="M3320" s="28"/>
      <c r="N3320" s="28"/>
      <c r="O3320" s="28"/>
      <c r="P3320" s="28"/>
      <c r="Q3320" s="28"/>
      <c r="R3320" s="28"/>
      <c r="S3320" s="28"/>
    </row>
    <row r="3321" spans="1:19" x14ac:dyDescent="0.25">
      <c r="A3321" s="28"/>
      <c r="B3321" s="28"/>
      <c r="C3321" s="28"/>
      <c r="D3321" s="28"/>
      <c r="E3321" s="28"/>
      <c r="F3321" s="28"/>
      <c r="G3321" s="28"/>
      <c r="H3321" s="28"/>
      <c r="I3321" s="28"/>
      <c r="J3321" s="28"/>
      <c r="K3321" s="28"/>
      <c r="L3321" s="28"/>
      <c r="M3321" s="28"/>
      <c r="N3321" s="28"/>
      <c r="O3321" s="28"/>
      <c r="P3321" s="28"/>
      <c r="Q3321" s="28"/>
      <c r="R3321" s="28"/>
      <c r="S3321" s="28"/>
    </row>
    <row r="3322" spans="1:19" x14ac:dyDescent="0.25">
      <c r="A3322" s="28"/>
      <c r="B3322" s="28"/>
      <c r="C3322" s="28"/>
      <c r="D3322" s="28"/>
      <c r="E3322" s="28"/>
      <c r="F3322" s="28"/>
      <c r="G3322" s="28"/>
      <c r="H3322" s="28"/>
      <c r="I3322" s="28"/>
      <c r="J3322" s="28"/>
      <c r="K3322" s="28"/>
      <c r="L3322" s="28"/>
      <c r="M3322" s="28"/>
      <c r="N3322" s="28"/>
      <c r="O3322" s="28"/>
      <c r="P3322" s="28"/>
      <c r="Q3322" s="28"/>
      <c r="R3322" s="28"/>
      <c r="S3322" s="28"/>
    </row>
    <row r="3323" spans="1:19" x14ac:dyDescent="0.25">
      <c r="A3323" s="28"/>
      <c r="B3323" s="28"/>
      <c r="C3323" s="28"/>
      <c r="D3323" s="28"/>
      <c r="E3323" s="28"/>
      <c r="F3323" s="28"/>
      <c r="G3323" s="28"/>
      <c r="H3323" s="28"/>
      <c r="I3323" s="28"/>
      <c r="J3323" s="28"/>
      <c r="K3323" s="28"/>
      <c r="L3323" s="28"/>
      <c r="M3323" s="28"/>
      <c r="N3323" s="28"/>
      <c r="O3323" s="28"/>
      <c r="P3323" s="28"/>
      <c r="Q3323" s="28"/>
      <c r="R3323" s="28"/>
      <c r="S3323" s="28"/>
    </row>
    <row r="3324" spans="1:19" x14ac:dyDescent="0.25">
      <c r="A3324" s="28"/>
      <c r="B3324" s="28"/>
      <c r="C3324" s="28"/>
      <c r="D3324" s="28"/>
      <c r="E3324" s="28"/>
      <c r="F3324" s="28"/>
      <c r="G3324" s="28"/>
      <c r="H3324" s="28"/>
      <c r="I3324" s="28"/>
      <c r="J3324" s="28"/>
      <c r="K3324" s="28"/>
      <c r="L3324" s="28"/>
      <c r="M3324" s="28"/>
      <c r="N3324" s="28"/>
      <c r="O3324" s="28"/>
      <c r="P3324" s="28"/>
      <c r="Q3324" s="28"/>
      <c r="R3324" s="28"/>
      <c r="S3324" s="28"/>
    </row>
    <row r="3325" spans="1:19" x14ac:dyDescent="0.25">
      <c r="A3325" s="28"/>
      <c r="B3325" s="28"/>
      <c r="C3325" s="28"/>
      <c r="D3325" s="28"/>
      <c r="E3325" s="28"/>
      <c r="F3325" s="28"/>
      <c r="G3325" s="28"/>
      <c r="H3325" s="28"/>
      <c r="I3325" s="28"/>
      <c r="J3325" s="28"/>
      <c r="K3325" s="28"/>
      <c r="L3325" s="28"/>
      <c r="M3325" s="28"/>
      <c r="N3325" s="28"/>
      <c r="O3325" s="28"/>
      <c r="P3325" s="28"/>
      <c r="Q3325" s="28"/>
      <c r="R3325" s="28"/>
      <c r="S3325" s="28"/>
    </row>
    <row r="3326" spans="1:19" x14ac:dyDescent="0.25">
      <c r="A3326" s="28"/>
      <c r="B3326" s="28"/>
      <c r="C3326" s="28"/>
      <c r="D3326" s="28"/>
      <c r="E3326" s="28"/>
      <c r="F3326" s="28"/>
      <c r="G3326" s="28"/>
      <c r="H3326" s="28"/>
      <c r="I3326" s="28"/>
      <c r="J3326" s="28"/>
      <c r="K3326" s="28"/>
      <c r="L3326" s="28"/>
      <c r="M3326" s="28"/>
      <c r="N3326" s="28"/>
      <c r="O3326" s="28"/>
      <c r="P3326" s="28"/>
      <c r="Q3326" s="28"/>
      <c r="R3326" s="28"/>
      <c r="S3326" s="28"/>
    </row>
    <row r="3327" spans="1:19" x14ac:dyDescent="0.25">
      <c r="A3327" s="28"/>
      <c r="B3327" s="28"/>
      <c r="C3327" s="28"/>
      <c r="D3327" s="28"/>
      <c r="E3327" s="28"/>
      <c r="F3327" s="28"/>
      <c r="G3327" s="28"/>
      <c r="H3327" s="28"/>
      <c r="I3327" s="28"/>
      <c r="J3327" s="28"/>
      <c r="K3327" s="28"/>
      <c r="L3327" s="28"/>
      <c r="M3327" s="28"/>
      <c r="N3327" s="28"/>
      <c r="O3327" s="28"/>
      <c r="P3327" s="28"/>
      <c r="Q3327" s="28"/>
      <c r="R3327" s="28"/>
      <c r="S3327" s="28"/>
    </row>
    <row r="3328" spans="1:19" x14ac:dyDescent="0.25">
      <c r="A3328" s="28"/>
      <c r="B3328" s="28"/>
      <c r="C3328" s="28"/>
      <c r="D3328" s="28"/>
      <c r="E3328" s="28"/>
      <c r="F3328" s="28"/>
      <c r="G3328" s="28"/>
      <c r="H3328" s="28"/>
      <c r="I3328" s="28"/>
      <c r="J3328" s="28"/>
      <c r="K3328" s="28"/>
      <c r="L3328" s="28"/>
      <c r="M3328" s="28"/>
      <c r="N3328" s="28"/>
      <c r="O3328" s="28"/>
      <c r="P3328" s="28"/>
      <c r="Q3328" s="28"/>
      <c r="R3328" s="28"/>
      <c r="S3328" s="28"/>
    </row>
    <row r="3329" spans="1:19" x14ac:dyDescent="0.25">
      <c r="A3329" s="28"/>
      <c r="B3329" s="28"/>
      <c r="C3329" s="28"/>
      <c r="D3329" s="28"/>
      <c r="E3329" s="28"/>
      <c r="F3329" s="28"/>
      <c r="G3329" s="28"/>
      <c r="H3329" s="28"/>
      <c r="I3329" s="28"/>
      <c r="J3329" s="28"/>
      <c r="K3329" s="28"/>
      <c r="L3329" s="28"/>
      <c r="M3329" s="28"/>
      <c r="N3329" s="28"/>
      <c r="O3329" s="28"/>
      <c r="P3329" s="28"/>
      <c r="Q3329" s="28"/>
      <c r="R3329" s="28"/>
      <c r="S3329" s="28"/>
    </row>
    <row r="3330" spans="1:19" x14ac:dyDescent="0.25">
      <c r="A3330" s="28"/>
      <c r="B3330" s="28"/>
      <c r="C3330" s="28"/>
      <c r="D3330" s="28"/>
      <c r="E3330" s="28"/>
      <c r="F3330" s="28"/>
      <c r="G3330" s="28"/>
      <c r="H3330" s="28"/>
      <c r="I3330" s="28"/>
      <c r="J3330" s="28"/>
      <c r="K3330" s="28"/>
      <c r="L3330" s="28"/>
      <c r="M3330" s="28"/>
      <c r="N3330" s="28"/>
      <c r="O3330" s="28"/>
      <c r="P3330" s="28"/>
      <c r="Q3330" s="28"/>
      <c r="R3330" s="28"/>
      <c r="S3330" s="28"/>
    </row>
    <row r="3331" spans="1:19" x14ac:dyDescent="0.25">
      <c r="A3331" s="28"/>
      <c r="B3331" s="28"/>
      <c r="C3331" s="28"/>
      <c r="D3331" s="28"/>
      <c r="E3331" s="28"/>
      <c r="F3331" s="28"/>
      <c r="G3331" s="28"/>
      <c r="H3331" s="28"/>
      <c r="I3331" s="28"/>
      <c r="J3331" s="28"/>
      <c r="K3331" s="28"/>
      <c r="L3331" s="28"/>
      <c r="M3331" s="28"/>
      <c r="N3331" s="28"/>
      <c r="O3331" s="28"/>
      <c r="P3331" s="28"/>
      <c r="Q3331" s="28"/>
      <c r="R3331" s="28"/>
      <c r="S3331" s="28"/>
    </row>
    <row r="3332" spans="1:19" x14ac:dyDescent="0.25">
      <c r="A3332" s="28"/>
      <c r="B3332" s="28"/>
      <c r="C3332" s="28"/>
      <c r="D3332" s="28"/>
      <c r="E3332" s="28"/>
      <c r="F3332" s="28"/>
      <c r="G3332" s="28"/>
      <c r="H3332" s="28"/>
      <c r="I3332" s="28"/>
      <c r="J3332" s="28"/>
      <c r="K3332" s="28"/>
      <c r="L3332" s="28"/>
      <c r="M3332" s="28"/>
      <c r="N3332" s="28"/>
      <c r="O3332" s="28"/>
      <c r="P3332" s="28"/>
      <c r="Q3332" s="28"/>
      <c r="R3332" s="28"/>
      <c r="S3332" s="28"/>
    </row>
    <row r="3333" spans="1:19" x14ac:dyDescent="0.25">
      <c r="A3333" s="28"/>
      <c r="B3333" s="28"/>
      <c r="C3333" s="28"/>
      <c r="D3333" s="28"/>
      <c r="E3333" s="28"/>
      <c r="F3333" s="28"/>
      <c r="G3333" s="28"/>
      <c r="H3333" s="28"/>
      <c r="I3333" s="28"/>
      <c r="J3333" s="28"/>
      <c r="K3333" s="28"/>
      <c r="L3333" s="28"/>
      <c r="M3333" s="28"/>
      <c r="N3333" s="28"/>
      <c r="O3333" s="28"/>
      <c r="P3333" s="28"/>
      <c r="Q3333" s="28"/>
      <c r="R3333" s="28"/>
      <c r="S3333" s="28"/>
    </row>
    <row r="3334" spans="1:19" x14ac:dyDescent="0.25">
      <c r="A3334" s="28"/>
      <c r="B3334" s="28"/>
      <c r="C3334" s="28"/>
      <c r="D3334" s="28"/>
      <c r="E3334" s="28"/>
      <c r="F3334" s="28"/>
      <c r="G3334" s="28"/>
      <c r="H3334" s="28"/>
      <c r="I3334" s="28"/>
      <c r="J3334" s="28"/>
      <c r="K3334" s="28"/>
      <c r="L3334" s="28"/>
      <c r="M3334" s="28"/>
      <c r="N3334" s="28"/>
      <c r="O3334" s="28"/>
      <c r="P3334" s="28"/>
      <c r="Q3334" s="28"/>
      <c r="R3334" s="28"/>
      <c r="S3334" s="28"/>
    </row>
    <row r="3335" spans="1:19" x14ac:dyDescent="0.25">
      <c r="A3335" s="28"/>
      <c r="B3335" s="28"/>
      <c r="C3335" s="28"/>
      <c r="D3335" s="28"/>
      <c r="E3335" s="28"/>
      <c r="F3335" s="28"/>
      <c r="G3335" s="28"/>
      <c r="H3335" s="28"/>
      <c r="I3335" s="28"/>
      <c r="J3335" s="28"/>
      <c r="K3335" s="28"/>
      <c r="L3335" s="28"/>
      <c r="M3335" s="28"/>
      <c r="N3335" s="28"/>
      <c r="O3335" s="28"/>
      <c r="P3335" s="28"/>
      <c r="Q3335" s="28"/>
      <c r="R3335" s="28"/>
      <c r="S3335" s="28"/>
    </row>
    <row r="3336" spans="1:19" x14ac:dyDescent="0.25">
      <c r="A3336" s="28"/>
      <c r="B3336" s="28"/>
      <c r="C3336" s="28"/>
      <c r="D3336" s="28"/>
      <c r="E3336" s="28"/>
      <c r="F3336" s="28"/>
      <c r="G3336" s="28"/>
      <c r="H3336" s="28"/>
      <c r="I3336" s="28"/>
      <c r="J3336" s="28"/>
      <c r="K3336" s="28"/>
      <c r="L3336" s="28"/>
      <c r="M3336" s="28"/>
      <c r="N3336" s="28"/>
      <c r="O3336" s="28"/>
      <c r="P3336" s="28"/>
      <c r="Q3336" s="28"/>
      <c r="R3336" s="28"/>
      <c r="S3336" s="28"/>
    </row>
    <row r="3337" spans="1:19" x14ac:dyDescent="0.25">
      <c r="A3337" s="28"/>
      <c r="B3337" s="28"/>
      <c r="C3337" s="28"/>
      <c r="D3337" s="28"/>
      <c r="E3337" s="28"/>
      <c r="F3337" s="28"/>
      <c r="G3337" s="28"/>
      <c r="H3337" s="28"/>
      <c r="I3337" s="28"/>
      <c r="J3337" s="28"/>
      <c r="K3337" s="28"/>
      <c r="L3337" s="28"/>
      <c r="M3337" s="28"/>
      <c r="N3337" s="28"/>
      <c r="O3337" s="28"/>
      <c r="P3337" s="28"/>
      <c r="Q3337" s="28"/>
      <c r="R3337" s="28"/>
      <c r="S3337" s="28"/>
    </row>
    <row r="3338" spans="1:19" x14ac:dyDescent="0.25">
      <c r="A3338" s="28"/>
      <c r="B3338" s="28"/>
      <c r="C3338" s="28"/>
      <c r="D3338" s="28"/>
      <c r="E3338" s="28"/>
      <c r="F3338" s="28"/>
      <c r="G3338" s="28"/>
      <c r="H3338" s="28"/>
      <c r="I3338" s="28"/>
      <c r="J3338" s="28"/>
      <c r="K3338" s="28"/>
      <c r="L3338" s="28"/>
      <c r="M3338" s="28"/>
      <c r="N3338" s="28"/>
      <c r="O3338" s="28"/>
      <c r="P3338" s="28"/>
      <c r="Q3338" s="28"/>
      <c r="R3338" s="28"/>
      <c r="S3338" s="28"/>
    </row>
    <row r="3339" spans="1:19" x14ac:dyDescent="0.25">
      <c r="A3339" s="28"/>
      <c r="B3339" s="28"/>
      <c r="C3339" s="28"/>
      <c r="D3339" s="28"/>
      <c r="E3339" s="28"/>
      <c r="F3339" s="28"/>
      <c r="G3339" s="28"/>
      <c r="H3339" s="28"/>
      <c r="I3339" s="28"/>
      <c r="J3339" s="28"/>
      <c r="K3339" s="28"/>
      <c r="L3339" s="28"/>
      <c r="M3339" s="28"/>
      <c r="N3339" s="28"/>
      <c r="O3339" s="28"/>
      <c r="P3339" s="28"/>
      <c r="Q3339" s="28"/>
      <c r="R3339" s="28"/>
      <c r="S3339" s="28"/>
    </row>
    <row r="3340" spans="1:19" x14ac:dyDescent="0.25">
      <c r="A3340" s="28"/>
      <c r="B3340" s="28"/>
      <c r="C3340" s="28"/>
      <c r="D3340" s="28"/>
      <c r="E3340" s="28"/>
      <c r="F3340" s="28"/>
      <c r="G3340" s="28"/>
      <c r="H3340" s="28"/>
      <c r="I3340" s="28"/>
      <c r="J3340" s="28"/>
      <c r="K3340" s="28"/>
      <c r="L3340" s="28"/>
      <c r="M3340" s="28"/>
      <c r="N3340" s="28"/>
      <c r="O3340" s="28"/>
      <c r="P3340" s="28"/>
      <c r="Q3340" s="28"/>
      <c r="R3340" s="28"/>
      <c r="S3340" s="28"/>
    </row>
    <row r="3341" spans="1:19" x14ac:dyDescent="0.25">
      <c r="A3341" s="28"/>
      <c r="B3341" s="28"/>
      <c r="C3341" s="28"/>
      <c r="D3341" s="28"/>
      <c r="E3341" s="28"/>
      <c r="F3341" s="28"/>
      <c r="G3341" s="28"/>
      <c r="H3341" s="28"/>
      <c r="I3341" s="28"/>
      <c r="J3341" s="28"/>
      <c r="K3341" s="28"/>
      <c r="L3341" s="28"/>
      <c r="M3341" s="28"/>
      <c r="N3341" s="28"/>
      <c r="O3341" s="28"/>
      <c r="P3341" s="28"/>
      <c r="Q3341" s="28"/>
      <c r="R3341" s="28"/>
      <c r="S3341" s="28"/>
    </row>
    <row r="3342" spans="1:19" x14ac:dyDescent="0.25">
      <c r="A3342" s="28"/>
      <c r="B3342" s="28"/>
      <c r="C3342" s="28"/>
      <c r="D3342" s="28"/>
      <c r="E3342" s="28"/>
      <c r="F3342" s="28"/>
      <c r="G3342" s="28"/>
      <c r="H3342" s="28"/>
      <c r="I3342" s="28"/>
      <c r="J3342" s="28"/>
      <c r="K3342" s="28"/>
      <c r="L3342" s="28"/>
      <c r="M3342" s="28"/>
      <c r="N3342" s="28"/>
      <c r="O3342" s="28"/>
      <c r="P3342" s="28"/>
      <c r="Q3342" s="28"/>
      <c r="R3342" s="28"/>
      <c r="S3342" s="28"/>
    </row>
    <row r="3343" spans="1:19" x14ac:dyDescent="0.25">
      <c r="A3343" s="28"/>
      <c r="B3343" s="28"/>
      <c r="C3343" s="28"/>
      <c r="D3343" s="28"/>
      <c r="E3343" s="28"/>
      <c r="F3343" s="28"/>
      <c r="G3343" s="28"/>
      <c r="H3343" s="28"/>
      <c r="I3343" s="28"/>
      <c r="J3343" s="28"/>
      <c r="K3343" s="28"/>
      <c r="L3343" s="28"/>
      <c r="M3343" s="28"/>
      <c r="N3343" s="28"/>
      <c r="O3343" s="28"/>
      <c r="P3343" s="28"/>
      <c r="Q3343" s="28"/>
      <c r="R3343" s="28"/>
      <c r="S3343" s="28"/>
    </row>
    <row r="3344" spans="1:19" x14ac:dyDescent="0.25">
      <c r="A3344" s="28"/>
      <c r="B3344" s="28"/>
      <c r="C3344" s="28"/>
      <c r="D3344" s="28"/>
      <c r="E3344" s="28"/>
      <c r="F3344" s="28"/>
      <c r="G3344" s="28"/>
      <c r="H3344" s="28"/>
      <c r="I3344" s="28"/>
      <c r="J3344" s="28"/>
      <c r="K3344" s="28"/>
      <c r="L3344" s="28"/>
      <c r="M3344" s="28"/>
      <c r="N3344" s="28"/>
      <c r="O3344" s="28"/>
      <c r="P3344" s="28"/>
      <c r="Q3344" s="28"/>
      <c r="R3344" s="28"/>
      <c r="S3344" s="28"/>
    </row>
    <row r="3345" spans="1:19" x14ac:dyDescent="0.25">
      <c r="A3345" s="28"/>
      <c r="B3345" s="28"/>
      <c r="C3345" s="28"/>
      <c r="D3345" s="28"/>
      <c r="E3345" s="28"/>
      <c r="F3345" s="28"/>
      <c r="G3345" s="28"/>
      <c r="H3345" s="28"/>
      <c r="I3345" s="28"/>
      <c r="J3345" s="28"/>
      <c r="K3345" s="28"/>
      <c r="L3345" s="28"/>
      <c r="M3345" s="28"/>
      <c r="N3345" s="28"/>
      <c r="O3345" s="28"/>
      <c r="P3345" s="28"/>
      <c r="Q3345" s="28"/>
      <c r="R3345" s="28"/>
      <c r="S3345" s="28"/>
    </row>
    <row r="3346" spans="1:19" x14ac:dyDescent="0.25">
      <c r="A3346" s="28"/>
      <c r="B3346" s="28"/>
      <c r="C3346" s="28"/>
      <c r="D3346" s="28"/>
      <c r="E3346" s="28"/>
      <c r="F3346" s="28"/>
      <c r="G3346" s="28"/>
      <c r="H3346" s="28"/>
      <c r="I3346" s="28"/>
      <c r="J3346" s="28"/>
      <c r="K3346" s="28"/>
      <c r="L3346" s="28"/>
      <c r="M3346" s="28"/>
      <c r="N3346" s="28"/>
      <c r="O3346" s="28"/>
      <c r="P3346" s="28"/>
      <c r="Q3346" s="28"/>
      <c r="R3346" s="28"/>
      <c r="S3346" s="28"/>
    </row>
    <row r="3347" spans="1:19" x14ac:dyDescent="0.25">
      <c r="A3347" s="28"/>
      <c r="B3347" s="28"/>
      <c r="C3347" s="28"/>
      <c r="D3347" s="28"/>
      <c r="E3347" s="28"/>
      <c r="F3347" s="28"/>
      <c r="G3347" s="28"/>
      <c r="H3347" s="28"/>
      <c r="I3347" s="28"/>
      <c r="J3347" s="28"/>
      <c r="K3347" s="28"/>
      <c r="L3347" s="28"/>
      <c r="M3347" s="28"/>
      <c r="N3347" s="28"/>
      <c r="O3347" s="28"/>
      <c r="P3347" s="28"/>
      <c r="Q3347" s="28"/>
      <c r="R3347" s="28"/>
      <c r="S3347" s="28"/>
    </row>
    <row r="3348" spans="1:19" x14ac:dyDescent="0.25">
      <c r="A3348" s="28"/>
      <c r="B3348" s="28"/>
      <c r="C3348" s="28"/>
      <c r="D3348" s="28"/>
      <c r="E3348" s="28"/>
      <c r="F3348" s="28"/>
      <c r="G3348" s="28"/>
      <c r="H3348" s="28"/>
      <c r="I3348" s="28"/>
      <c r="J3348" s="28"/>
      <c r="K3348" s="28"/>
      <c r="L3348" s="28"/>
      <c r="M3348" s="28"/>
      <c r="N3348" s="28"/>
      <c r="O3348" s="28"/>
      <c r="P3348" s="28"/>
      <c r="Q3348" s="28"/>
      <c r="R3348" s="28"/>
      <c r="S3348" s="28"/>
    </row>
    <row r="3349" spans="1:19" x14ac:dyDescent="0.25">
      <c r="A3349" s="28"/>
      <c r="B3349" s="28"/>
      <c r="C3349" s="28"/>
      <c r="D3349" s="28"/>
      <c r="E3349" s="28"/>
      <c r="F3349" s="28"/>
      <c r="G3349" s="28"/>
      <c r="H3349" s="28"/>
      <c r="I3349" s="28"/>
      <c r="J3349" s="28"/>
      <c r="K3349" s="28"/>
      <c r="L3349" s="28"/>
      <c r="M3349" s="28"/>
      <c r="N3349" s="28"/>
      <c r="O3349" s="28"/>
      <c r="P3349" s="28"/>
      <c r="Q3349" s="28"/>
      <c r="R3349" s="28"/>
      <c r="S3349" s="28"/>
    </row>
    <row r="3350" spans="1:19" x14ac:dyDescent="0.25">
      <c r="A3350" s="28"/>
      <c r="B3350" s="28"/>
      <c r="C3350" s="28"/>
      <c r="D3350" s="28"/>
      <c r="E3350" s="28"/>
      <c r="F3350" s="28"/>
      <c r="G3350" s="28"/>
      <c r="H3350" s="28"/>
      <c r="I3350" s="28"/>
      <c r="J3350" s="28"/>
      <c r="K3350" s="28"/>
      <c r="L3350" s="28"/>
      <c r="M3350" s="28"/>
      <c r="N3350" s="28"/>
      <c r="O3350" s="28"/>
      <c r="P3350" s="28"/>
      <c r="Q3350" s="28"/>
      <c r="R3350" s="28"/>
      <c r="S3350" s="28"/>
    </row>
    <row r="3351" spans="1:19" x14ac:dyDescent="0.25">
      <c r="A3351" s="28"/>
      <c r="B3351" s="28"/>
      <c r="C3351" s="28"/>
      <c r="D3351" s="28"/>
      <c r="E3351" s="28"/>
      <c r="F3351" s="28"/>
      <c r="G3351" s="28"/>
      <c r="H3351" s="28"/>
      <c r="I3351" s="28"/>
      <c r="J3351" s="28"/>
      <c r="K3351" s="28"/>
      <c r="L3351" s="28"/>
      <c r="M3351" s="28"/>
      <c r="N3351" s="28"/>
      <c r="O3351" s="28"/>
      <c r="P3351" s="28"/>
      <c r="Q3351" s="28"/>
      <c r="R3351" s="28"/>
      <c r="S3351" s="28"/>
    </row>
    <row r="3352" spans="1:19" x14ac:dyDescent="0.25">
      <c r="A3352" s="28"/>
      <c r="B3352" s="28"/>
      <c r="C3352" s="28"/>
      <c r="D3352" s="28"/>
      <c r="E3352" s="28"/>
      <c r="F3352" s="28"/>
      <c r="G3352" s="28"/>
      <c r="H3352" s="28"/>
      <c r="I3352" s="28"/>
      <c r="J3352" s="28"/>
      <c r="K3352" s="28"/>
      <c r="L3352" s="28"/>
      <c r="M3352" s="28"/>
      <c r="N3352" s="28"/>
      <c r="O3352" s="28"/>
      <c r="P3352" s="28"/>
      <c r="Q3352" s="28"/>
      <c r="R3352" s="28"/>
      <c r="S3352" s="28"/>
    </row>
    <row r="3353" spans="1:19" x14ac:dyDescent="0.25">
      <c r="A3353" s="28"/>
      <c r="B3353" s="28"/>
      <c r="C3353" s="28"/>
      <c r="D3353" s="28"/>
      <c r="E3353" s="28"/>
      <c r="F3353" s="28"/>
      <c r="G3353" s="28"/>
      <c r="H3353" s="28"/>
      <c r="I3353" s="28"/>
      <c r="J3353" s="28"/>
      <c r="K3353" s="28"/>
      <c r="L3353" s="28"/>
      <c r="M3353" s="28"/>
      <c r="N3353" s="28"/>
      <c r="O3353" s="28"/>
      <c r="P3353" s="28"/>
      <c r="Q3353" s="28"/>
      <c r="R3353" s="28"/>
      <c r="S3353" s="28"/>
    </row>
    <row r="3354" spans="1:19" x14ac:dyDescent="0.25">
      <c r="A3354" s="28"/>
      <c r="B3354" s="28"/>
      <c r="C3354" s="28"/>
      <c r="D3354" s="28"/>
      <c r="E3354" s="28"/>
      <c r="F3354" s="28"/>
      <c r="G3354" s="28"/>
      <c r="H3354" s="28"/>
      <c r="I3354" s="28"/>
      <c r="J3354" s="28"/>
      <c r="K3354" s="28"/>
      <c r="L3354" s="28"/>
      <c r="M3354" s="28"/>
      <c r="N3354" s="28"/>
      <c r="O3354" s="28"/>
      <c r="P3354" s="28"/>
      <c r="Q3354" s="28"/>
      <c r="R3354" s="28"/>
      <c r="S3354" s="28"/>
    </row>
    <row r="3355" spans="1:19" x14ac:dyDescent="0.25">
      <c r="A3355" s="28"/>
      <c r="B3355" s="28"/>
      <c r="C3355" s="28"/>
      <c r="D3355" s="28"/>
      <c r="E3355" s="28"/>
      <c r="F3355" s="28"/>
      <c r="G3355" s="28"/>
      <c r="H3355" s="28"/>
      <c r="I3355" s="28"/>
      <c r="J3355" s="28"/>
      <c r="K3355" s="28"/>
      <c r="L3355" s="28"/>
      <c r="M3355" s="28"/>
      <c r="N3355" s="28"/>
      <c r="O3355" s="28"/>
      <c r="P3355" s="28"/>
      <c r="Q3355" s="28"/>
      <c r="R3355" s="28"/>
      <c r="S3355" s="28"/>
    </row>
    <row r="3356" spans="1:19" x14ac:dyDescent="0.25">
      <c r="A3356" s="28"/>
      <c r="B3356" s="28"/>
      <c r="C3356" s="28"/>
      <c r="D3356" s="28"/>
      <c r="E3356" s="28"/>
      <c r="F3356" s="28"/>
      <c r="G3356" s="28"/>
      <c r="H3356" s="28"/>
      <c r="I3356" s="28"/>
      <c r="J3356" s="28"/>
      <c r="K3356" s="28"/>
      <c r="L3356" s="28"/>
      <c r="M3356" s="28"/>
      <c r="N3356" s="28"/>
      <c r="O3356" s="28"/>
      <c r="P3356" s="28"/>
      <c r="Q3356" s="28"/>
      <c r="R3356" s="28"/>
      <c r="S3356" s="28"/>
    </row>
    <row r="3357" spans="1:19" x14ac:dyDescent="0.25">
      <c r="A3357" s="28"/>
      <c r="B3357" s="28"/>
      <c r="C3357" s="28"/>
      <c r="D3357" s="28"/>
      <c r="E3357" s="28"/>
      <c r="F3357" s="28"/>
      <c r="G3357" s="28"/>
      <c r="H3357" s="28"/>
      <c r="I3357" s="28"/>
      <c r="J3357" s="28"/>
      <c r="K3357" s="28"/>
      <c r="L3357" s="28"/>
      <c r="M3357" s="28"/>
      <c r="N3357" s="28"/>
      <c r="O3357" s="28"/>
      <c r="P3357" s="28"/>
      <c r="Q3357" s="28"/>
      <c r="R3357" s="28"/>
      <c r="S3357" s="28"/>
    </row>
    <row r="3358" spans="1:19" x14ac:dyDescent="0.25">
      <c r="A3358" s="28"/>
      <c r="B3358" s="28"/>
      <c r="C3358" s="28"/>
      <c r="D3358" s="28"/>
      <c r="E3358" s="28"/>
      <c r="F3358" s="28"/>
      <c r="G3358" s="28"/>
      <c r="H3358" s="28"/>
      <c r="I3358" s="28"/>
      <c r="J3358" s="28"/>
      <c r="K3358" s="28"/>
      <c r="L3358" s="28"/>
      <c r="M3358" s="28"/>
      <c r="N3358" s="28"/>
      <c r="O3358" s="28"/>
      <c r="P3358" s="28"/>
      <c r="Q3358" s="28"/>
      <c r="R3358" s="28"/>
      <c r="S3358" s="28"/>
    </row>
    <row r="3359" spans="1:19" x14ac:dyDescent="0.25">
      <c r="A3359" s="28"/>
      <c r="B3359" s="28"/>
      <c r="C3359" s="28"/>
      <c r="D3359" s="28"/>
      <c r="E3359" s="28"/>
      <c r="F3359" s="28"/>
      <c r="G3359" s="28"/>
      <c r="H3359" s="28"/>
      <c r="I3359" s="28"/>
      <c r="J3359" s="28"/>
      <c r="K3359" s="28"/>
      <c r="L3359" s="28"/>
      <c r="M3359" s="28"/>
      <c r="N3359" s="28"/>
      <c r="O3359" s="28"/>
      <c r="P3359" s="28"/>
      <c r="Q3359" s="28"/>
      <c r="R3359" s="28"/>
      <c r="S3359" s="28"/>
    </row>
    <row r="3360" spans="1:19" x14ac:dyDescent="0.25">
      <c r="A3360" s="28"/>
      <c r="B3360" s="28"/>
      <c r="C3360" s="28"/>
      <c r="D3360" s="28"/>
      <c r="E3360" s="28"/>
      <c r="F3360" s="28"/>
      <c r="G3360" s="28"/>
      <c r="H3360" s="28"/>
      <c r="I3360" s="28"/>
      <c r="J3360" s="28"/>
      <c r="K3360" s="28"/>
      <c r="L3360" s="28"/>
      <c r="M3360" s="28"/>
      <c r="N3360" s="28"/>
      <c r="O3360" s="28"/>
      <c r="P3360" s="28"/>
      <c r="Q3360" s="28"/>
      <c r="R3360" s="28"/>
      <c r="S3360" s="28"/>
    </row>
    <row r="3361" spans="1:19" x14ac:dyDescent="0.25">
      <c r="A3361" s="28"/>
      <c r="B3361" s="28"/>
      <c r="C3361" s="28"/>
      <c r="D3361" s="28"/>
      <c r="E3361" s="28"/>
      <c r="F3361" s="28"/>
      <c r="G3361" s="28"/>
      <c r="H3361" s="28"/>
      <c r="I3361" s="28"/>
      <c r="J3361" s="28"/>
      <c r="K3361" s="28"/>
      <c r="L3361" s="28"/>
      <c r="M3361" s="28"/>
      <c r="N3361" s="28"/>
      <c r="O3361" s="28"/>
      <c r="P3361" s="28"/>
      <c r="Q3361" s="28"/>
      <c r="R3361" s="28"/>
      <c r="S3361" s="28"/>
    </row>
    <row r="3362" spans="1:19" x14ac:dyDescent="0.25">
      <c r="A3362" s="28"/>
      <c r="B3362" s="28"/>
      <c r="C3362" s="28"/>
      <c r="D3362" s="28"/>
      <c r="E3362" s="28"/>
      <c r="F3362" s="28"/>
      <c r="G3362" s="28"/>
      <c r="H3362" s="28"/>
      <c r="I3362" s="28"/>
      <c r="J3362" s="28"/>
      <c r="K3362" s="28"/>
      <c r="L3362" s="28"/>
      <c r="M3362" s="28"/>
      <c r="N3362" s="28"/>
      <c r="O3362" s="28"/>
      <c r="P3362" s="28"/>
      <c r="Q3362" s="28"/>
      <c r="R3362" s="28"/>
      <c r="S3362" s="28"/>
    </row>
    <row r="3363" spans="1:19" x14ac:dyDescent="0.25">
      <c r="A3363" s="28"/>
      <c r="B3363" s="28"/>
      <c r="C3363" s="28"/>
      <c r="D3363" s="28"/>
      <c r="E3363" s="28"/>
      <c r="F3363" s="28"/>
      <c r="G3363" s="28"/>
      <c r="H3363" s="28"/>
      <c r="I3363" s="28"/>
      <c r="J3363" s="28"/>
      <c r="K3363" s="28"/>
      <c r="L3363" s="28"/>
      <c r="M3363" s="28"/>
      <c r="N3363" s="28"/>
      <c r="O3363" s="28"/>
      <c r="P3363" s="28"/>
      <c r="Q3363" s="28"/>
      <c r="R3363" s="28"/>
      <c r="S3363" s="28"/>
    </row>
    <row r="3364" spans="1:19" x14ac:dyDescent="0.25">
      <c r="A3364" s="28"/>
      <c r="B3364" s="28"/>
      <c r="C3364" s="28"/>
      <c r="D3364" s="28"/>
      <c r="E3364" s="28"/>
      <c r="F3364" s="28"/>
      <c r="G3364" s="28"/>
      <c r="H3364" s="28"/>
      <c r="I3364" s="28"/>
      <c r="J3364" s="28"/>
      <c r="K3364" s="28"/>
      <c r="L3364" s="28"/>
      <c r="M3364" s="28"/>
      <c r="N3364" s="28"/>
      <c r="O3364" s="28"/>
      <c r="P3364" s="28"/>
      <c r="Q3364" s="28"/>
      <c r="R3364" s="28"/>
      <c r="S3364" s="28"/>
    </row>
    <row r="3365" spans="1:19" x14ac:dyDescent="0.25">
      <c r="A3365" s="28"/>
      <c r="B3365" s="28"/>
      <c r="C3365" s="28"/>
      <c r="D3365" s="28"/>
      <c r="E3365" s="28"/>
      <c r="F3365" s="28"/>
      <c r="G3365" s="28"/>
      <c r="H3365" s="28"/>
      <c r="I3365" s="28"/>
      <c r="J3365" s="28"/>
      <c r="K3365" s="28"/>
      <c r="L3365" s="28"/>
      <c r="M3365" s="28"/>
      <c r="N3365" s="28"/>
      <c r="O3365" s="28"/>
      <c r="P3365" s="28"/>
      <c r="Q3365" s="28"/>
      <c r="R3365" s="28"/>
      <c r="S3365" s="28"/>
    </row>
    <row r="3366" spans="1:19" x14ac:dyDescent="0.25">
      <c r="A3366" s="28"/>
      <c r="B3366" s="28"/>
      <c r="C3366" s="28"/>
      <c r="D3366" s="28"/>
      <c r="E3366" s="28"/>
      <c r="F3366" s="28"/>
      <c r="G3366" s="28"/>
      <c r="H3366" s="28"/>
      <c r="I3366" s="28"/>
      <c r="J3366" s="28"/>
      <c r="K3366" s="28"/>
      <c r="L3366" s="28"/>
      <c r="M3366" s="28"/>
      <c r="N3366" s="28"/>
      <c r="O3366" s="28"/>
      <c r="P3366" s="28"/>
      <c r="Q3366" s="28"/>
      <c r="R3366" s="28"/>
      <c r="S3366" s="28"/>
    </row>
    <row r="3367" spans="1:19" x14ac:dyDescent="0.25">
      <c r="A3367" s="28"/>
      <c r="B3367" s="28"/>
      <c r="C3367" s="28"/>
      <c r="D3367" s="28"/>
      <c r="E3367" s="28"/>
      <c r="F3367" s="28"/>
      <c r="G3367" s="28"/>
      <c r="H3367" s="28"/>
      <c r="I3367" s="28"/>
      <c r="J3367" s="28"/>
      <c r="K3367" s="28"/>
      <c r="L3367" s="28"/>
      <c r="M3367" s="28"/>
      <c r="N3367" s="28"/>
      <c r="O3367" s="28"/>
      <c r="P3367" s="28"/>
      <c r="Q3367" s="28"/>
      <c r="R3367" s="28"/>
      <c r="S3367" s="28"/>
    </row>
    <row r="3368" spans="1:19" x14ac:dyDescent="0.25">
      <c r="A3368" s="28"/>
      <c r="B3368" s="28"/>
      <c r="C3368" s="28"/>
      <c r="D3368" s="28"/>
      <c r="E3368" s="28"/>
      <c r="F3368" s="28"/>
      <c r="G3368" s="28"/>
      <c r="H3368" s="28"/>
      <c r="I3368" s="28"/>
      <c r="J3368" s="28"/>
      <c r="K3368" s="28"/>
      <c r="L3368" s="28"/>
      <c r="M3368" s="28"/>
      <c r="N3368" s="28"/>
      <c r="O3368" s="28"/>
      <c r="P3368" s="28"/>
      <c r="Q3368" s="28"/>
      <c r="R3368" s="28"/>
      <c r="S3368" s="28"/>
    </row>
    <row r="3369" spans="1:19" x14ac:dyDescent="0.25">
      <c r="A3369" s="28"/>
      <c r="B3369" s="28"/>
      <c r="C3369" s="28"/>
      <c r="D3369" s="28"/>
      <c r="E3369" s="28"/>
      <c r="F3369" s="28"/>
      <c r="G3369" s="28"/>
      <c r="H3369" s="28"/>
      <c r="I3369" s="28"/>
      <c r="J3369" s="28"/>
      <c r="K3369" s="28"/>
      <c r="L3369" s="28"/>
      <c r="M3369" s="28"/>
      <c r="N3369" s="28"/>
      <c r="O3369" s="28"/>
      <c r="P3369" s="28"/>
      <c r="Q3369" s="28"/>
      <c r="R3369" s="28"/>
      <c r="S3369" s="28"/>
    </row>
    <row r="3370" spans="1:19" x14ac:dyDescent="0.25">
      <c r="A3370" s="28"/>
      <c r="B3370" s="28"/>
      <c r="C3370" s="28"/>
      <c r="D3370" s="28"/>
      <c r="E3370" s="28"/>
      <c r="F3370" s="28"/>
      <c r="G3370" s="28"/>
      <c r="H3370" s="28"/>
      <c r="I3370" s="28"/>
      <c r="J3370" s="28"/>
      <c r="K3370" s="28"/>
      <c r="L3370" s="28"/>
      <c r="M3370" s="28"/>
      <c r="N3370" s="28"/>
      <c r="O3370" s="28"/>
      <c r="P3370" s="28"/>
      <c r="Q3370" s="28"/>
      <c r="R3370" s="28"/>
      <c r="S3370" s="28"/>
    </row>
    <row r="3371" spans="1:19" x14ac:dyDescent="0.25">
      <c r="A3371" s="28"/>
      <c r="B3371" s="28"/>
      <c r="C3371" s="28"/>
      <c r="D3371" s="28"/>
      <c r="E3371" s="28"/>
      <c r="F3371" s="28"/>
      <c r="G3371" s="28"/>
      <c r="H3371" s="28"/>
      <c r="I3371" s="28"/>
      <c r="J3371" s="28"/>
      <c r="K3371" s="28"/>
      <c r="L3371" s="28"/>
      <c r="M3371" s="28"/>
      <c r="N3371" s="28"/>
      <c r="O3371" s="28"/>
      <c r="P3371" s="28"/>
      <c r="Q3371" s="28"/>
      <c r="R3371" s="28"/>
      <c r="S3371" s="28"/>
    </row>
    <row r="3372" spans="1:19" x14ac:dyDescent="0.25">
      <c r="A3372" s="28"/>
      <c r="B3372" s="28"/>
      <c r="C3372" s="28"/>
      <c r="D3372" s="28"/>
      <c r="E3372" s="28"/>
      <c r="F3372" s="28"/>
      <c r="G3372" s="28"/>
      <c r="H3372" s="28"/>
      <c r="I3372" s="28"/>
      <c r="J3372" s="28"/>
      <c r="K3372" s="28"/>
      <c r="L3372" s="28"/>
      <c r="M3372" s="28"/>
      <c r="N3372" s="28"/>
      <c r="O3372" s="28"/>
      <c r="P3372" s="28"/>
      <c r="Q3372" s="28"/>
      <c r="R3372" s="28"/>
      <c r="S3372" s="28"/>
    </row>
    <row r="3373" spans="1:19" x14ac:dyDescent="0.25">
      <c r="A3373" s="28"/>
      <c r="B3373" s="28"/>
      <c r="C3373" s="28"/>
      <c r="D3373" s="28"/>
      <c r="E3373" s="28"/>
      <c r="F3373" s="28"/>
      <c r="G3373" s="28"/>
      <c r="H3373" s="28"/>
      <c r="I3373" s="28"/>
      <c r="J3373" s="28"/>
      <c r="K3373" s="28"/>
      <c r="L3373" s="28"/>
      <c r="M3373" s="28"/>
      <c r="N3373" s="28"/>
      <c r="O3373" s="28"/>
      <c r="P3373" s="28"/>
      <c r="Q3373" s="28"/>
      <c r="R3373" s="28"/>
      <c r="S3373" s="28"/>
    </row>
    <row r="3374" spans="1:19" x14ac:dyDescent="0.25">
      <c r="A3374" s="28"/>
      <c r="B3374" s="28"/>
      <c r="C3374" s="28"/>
      <c r="D3374" s="28"/>
      <c r="E3374" s="28"/>
      <c r="F3374" s="28"/>
      <c r="G3374" s="28"/>
      <c r="H3374" s="28"/>
      <c r="I3374" s="28"/>
      <c r="J3374" s="28"/>
      <c r="K3374" s="28"/>
      <c r="L3374" s="28"/>
      <c r="M3374" s="28"/>
      <c r="N3374" s="28"/>
      <c r="O3374" s="28"/>
      <c r="P3374" s="28"/>
      <c r="Q3374" s="28"/>
      <c r="R3374" s="28"/>
      <c r="S3374" s="28"/>
    </row>
    <row r="3375" spans="1:19" x14ac:dyDescent="0.25">
      <c r="A3375" s="28"/>
      <c r="B3375" s="28"/>
      <c r="C3375" s="28"/>
      <c r="D3375" s="28"/>
      <c r="E3375" s="28"/>
      <c r="F3375" s="28"/>
      <c r="G3375" s="28"/>
      <c r="H3375" s="28"/>
      <c r="I3375" s="28"/>
      <c r="J3375" s="28"/>
      <c r="K3375" s="28"/>
      <c r="L3375" s="28"/>
      <c r="M3375" s="28"/>
      <c r="N3375" s="28"/>
      <c r="O3375" s="28"/>
      <c r="P3375" s="28"/>
      <c r="Q3375" s="28"/>
      <c r="R3375" s="28"/>
      <c r="S3375" s="28"/>
    </row>
    <row r="3376" spans="1:19" x14ac:dyDescent="0.25">
      <c r="A3376" s="28"/>
      <c r="B3376" s="28"/>
      <c r="C3376" s="28"/>
      <c r="D3376" s="28"/>
      <c r="E3376" s="28"/>
      <c r="F3376" s="28"/>
      <c r="G3376" s="28"/>
      <c r="H3376" s="28"/>
      <c r="I3376" s="28"/>
      <c r="J3376" s="28"/>
      <c r="K3376" s="28"/>
      <c r="L3376" s="28"/>
      <c r="M3376" s="28"/>
      <c r="N3376" s="28"/>
      <c r="O3376" s="28"/>
      <c r="P3376" s="28"/>
      <c r="Q3376" s="28"/>
      <c r="R3376" s="28"/>
      <c r="S3376" s="28"/>
    </row>
    <row r="3377" spans="1:19" x14ac:dyDescent="0.25">
      <c r="A3377" s="28"/>
      <c r="B3377" s="28"/>
      <c r="C3377" s="28"/>
      <c r="D3377" s="28"/>
      <c r="E3377" s="28"/>
      <c r="F3377" s="28"/>
      <c r="G3377" s="28"/>
      <c r="H3377" s="28"/>
      <c r="I3377" s="28"/>
      <c r="J3377" s="28"/>
      <c r="K3377" s="28"/>
      <c r="L3377" s="28"/>
      <c r="M3377" s="28"/>
      <c r="N3377" s="28"/>
      <c r="O3377" s="28"/>
      <c r="P3377" s="28"/>
      <c r="Q3377" s="28"/>
      <c r="R3377" s="28"/>
      <c r="S3377" s="28"/>
    </row>
    <row r="3378" spans="1:19" x14ac:dyDescent="0.25">
      <c r="A3378" s="28"/>
      <c r="B3378" s="28"/>
      <c r="C3378" s="28"/>
      <c r="D3378" s="28"/>
      <c r="E3378" s="28"/>
      <c r="F3378" s="28"/>
      <c r="G3378" s="28"/>
      <c r="H3378" s="28"/>
      <c r="I3378" s="28"/>
      <c r="J3378" s="28"/>
      <c r="K3378" s="28"/>
      <c r="L3378" s="28"/>
      <c r="M3378" s="28"/>
      <c r="N3378" s="28"/>
      <c r="O3378" s="28"/>
      <c r="P3378" s="28"/>
      <c r="Q3378" s="28"/>
      <c r="R3378" s="28"/>
      <c r="S3378" s="28"/>
    </row>
    <row r="3379" spans="1:19" x14ac:dyDescent="0.25">
      <c r="A3379" s="28"/>
      <c r="B3379" s="28"/>
      <c r="C3379" s="28"/>
      <c r="D3379" s="28"/>
      <c r="E3379" s="28"/>
      <c r="F3379" s="28"/>
      <c r="G3379" s="28"/>
      <c r="H3379" s="28"/>
      <c r="I3379" s="28"/>
      <c r="J3379" s="28"/>
      <c r="K3379" s="28"/>
      <c r="L3379" s="28"/>
      <c r="M3379" s="28"/>
      <c r="N3379" s="28"/>
      <c r="O3379" s="28"/>
      <c r="P3379" s="28"/>
      <c r="Q3379" s="28"/>
      <c r="R3379" s="28"/>
      <c r="S3379" s="28"/>
    </row>
    <row r="3380" spans="1:19" x14ac:dyDescent="0.25">
      <c r="A3380" s="28"/>
      <c r="B3380" s="28"/>
      <c r="C3380" s="28"/>
      <c r="D3380" s="28"/>
      <c r="E3380" s="28"/>
      <c r="F3380" s="28"/>
      <c r="G3380" s="28"/>
      <c r="H3380" s="28"/>
      <c r="I3380" s="28"/>
      <c r="J3380" s="28"/>
      <c r="K3380" s="28"/>
      <c r="L3380" s="28"/>
      <c r="M3380" s="28"/>
      <c r="N3380" s="28"/>
      <c r="O3380" s="28"/>
      <c r="P3380" s="28"/>
      <c r="Q3380" s="28"/>
      <c r="R3380" s="28"/>
      <c r="S3380" s="28"/>
    </row>
    <row r="3381" spans="1:19" x14ac:dyDescent="0.25">
      <c r="A3381" s="28"/>
      <c r="B3381" s="28"/>
      <c r="C3381" s="28"/>
      <c r="D3381" s="28"/>
      <c r="E3381" s="28"/>
      <c r="F3381" s="28"/>
      <c r="G3381" s="28"/>
      <c r="H3381" s="28"/>
      <c r="I3381" s="28"/>
      <c r="J3381" s="28"/>
      <c r="K3381" s="28"/>
      <c r="L3381" s="28"/>
      <c r="M3381" s="28"/>
      <c r="N3381" s="28"/>
      <c r="O3381" s="28"/>
      <c r="P3381" s="28"/>
      <c r="Q3381" s="28"/>
      <c r="R3381" s="28"/>
      <c r="S3381" s="28"/>
    </row>
    <row r="3382" spans="1:19" x14ac:dyDescent="0.25">
      <c r="A3382" s="28"/>
      <c r="B3382" s="28"/>
      <c r="C3382" s="28"/>
      <c r="D3382" s="28"/>
      <c r="E3382" s="28"/>
      <c r="F3382" s="28"/>
      <c r="G3382" s="28"/>
      <c r="H3382" s="28"/>
      <c r="I3382" s="28"/>
      <c r="J3382" s="28"/>
      <c r="K3382" s="28"/>
      <c r="L3382" s="28"/>
      <c r="M3382" s="28"/>
      <c r="N3382" s="28"/>
      <c r="O3382" s="28"/>
      <c r="P3382" s="28"/>
      <c r="Q3382" s="28"/>
      <c r="R3382" s="28"/>
      <c r="S3382" s="28"/>
    </row>
    <row r="3383" spans="1:19" x14ac:dyDescent="0.25">
      <c r="A3383" s="28"/>
      <c r="B3383" s="28"/>
      <c r="C3383" s="28"/>
      <c r="D3383" s="28"/>
      <c r="E3383" s="28"/>
      <c r="F3383" s="28"/>
      <c r="G3383" s="28"/>
      <c r="H3383" s="28"/>
      <c r="I3383" s="28"/>
      <c r="J3383" s="28"/>
      <c r="K3383" s="28"/>
      <c r="L3383" s="28"/>
      <c r="M3383" s="28"/>
      <c r="N3383" s="28"/>
      <c r="O3383" s="28"/>
      <c r="P3383" s="28"/>
      <c r="Q3383" s="28"/>
      <c r="R3383" s="28"/>
      <c r="S3383" s="28"/>
    </row>
    <row r="3384" spans="1:19" x14ac:dyDescent="0.25">
      <c r="A3384" s="28"/>
      <c r="B3384" s="28"/>
      <c r="C3384" s="28"/>
      <c r="D3384" s="28"/>
      <c r="E3384" s="28"/>
      <c r="F3384" s="28"/>
      <c r="G3384" s="28"/>
      <c r="H3384" s="28"/>
      <c r="I3384" s="28"/>
      <c r="J3384" s="28"/>
      <c r="K3384" s="28"/>
      <c r="L3384" s="28"/>
      <c r="M3384" s="28"/>
      <c r="N3384" s="28"/>
      <c r="O3384" s="28"/>
      <c r="P3384" s="28"/>
      <c r="Q3384" s="28"/>
      <c r="R3384" s="28"/>
      <c r="S3384" s="28"/>
    </row>
    <row r="3385" spans="1:19" x14ac:dyDescent="0.25">
      <c r="A3385" s="28"/>
      <c r="B3385" s="28"/>
      <c r="C3385" s="28"/>
      <c r="D3385" s="28"/>
      <c r="E3385" s="28"/>
      <c r="F3385" s="28"/>
      <c r="G3385" s="28"/>
      <c r="H3385" s="28"/>
      <c r="I3385" s="28"/>
      <c r="J3385" s="28"/>
      <c r="K3385" s="28"/>
      <c r="L3385" s="28"/>
      <c r="M3385" s="28"/>
      <c r="N3385" s="28"/>
      <c r="O3385" s="28"/>
      <c r="P3385" s="28"/>
      <c r="Q3385" s="28"/>
      <c r="R3385" s="28"/>
      <c r="S3385" s="28"/>
    </row>
    <row r="3386" spans="1:19" x14ac:dyDescent="0.25">
      <c r="A3386" s="28"/>
      <c r="B3386" s="28"/>
      <c r="C3386" s="28"/>
      <c r="D3386" s="28"/>
      <c r="E3386" s="28"/>
      <c r="F3386" s="28"/>
      <c r="G3386" s="28"/>
      <c r="H3386" s="28"/>
      <c r="I3386" s="28"/>
      <c r="J3386" s="28"/>
      <c r="K3386" s="28"/>
      <c r="L3386" s="28"/>
      <c r="M3386" s="28"/>
      <c r="N3386" s="28"/>
      <c r="O3386" s="28"/>
      <c r="P3386" s="28"/>
      <c r="Q3386" s="28"/>
      <c r="R3386" s="28"/>
      <c r="S3386" s="28"/>
    </row>
    <row r="3387" spans="1:19" x14ac:dyDescent="0.25">
      <c r="A3387" s="28"/>
      <c r="B3387" s="28"/>
      <c r="C3387" s="28"/>
      <c r="D3387" s="28"/>
      <c r="E3387" s="28"/>
      <c r="F3387" s="28"/>
      <c r="G3387" s="28"/>
      <c r="H3387" s="28"/>
      <c r="I3387" s="28"/>
      <c r="J3387" s="28"/>
      <c r="K3387" s="28"/>
      <c r="L3387" s="28"/>
      <c r="M3387" s="28"/>
      <c r="N3387" s="28"/>
      <c r="O3387" s="28"/>
      <c r="P3387" s="28"/>
      <c r="Q3387" s="28"/>
      <c r="R3387" s="28"/>
      <c r="S3387" s="28"/>
    </row>
    <row r="3388" spans="1:19" x14ac:dyDescent="0.25">
      <c r="A3388" s="28"/>
      <c r="B3388" s="28"/>
      <c r="C3388" s="28"/>
      <c r="D3388" s="28"/>
      <c r="E3388" s="28"/>
      <c r="F3388" s="28"/>
      <c r="G3388" s="28"/>
      <c r="H3388" s="28"/>
      <c r="I3388" s="28"/>
      <c r="J3388" s="28"/>
      <c r="K3388" s="28"/>
      <c r="L3388" s="28"/>
      <c r="M3388" s="28"/>
      <c r="N3388" s="28"/>
      <c r="O3388" s="28"/>
      <c r="P3388" s="28"/>
      <c r="Q3388" s="28"/>
      <c r="R3388" s="28"/>
      <c r="S3388" s="28"/>
    </row>
    <row r="3389" spans="1:19" x14ac:dyDescent="0.25">
      <c r="A3389" s="28"/>
      <c r="B3389" s="28"/>
      <c r="C3389" s="28"/>
      <c r="D3389" s="28"/>
      <c r="E3389" s="28"/>
      <c r="F3389" s="28"/>
      <c r="G3389" s="28"/>
      <c r="H3389" s="28"/>
      <c r="I3389" s="28"/>
      <c r="J3389" s="28"/>
      <c r="K3389" s="28"/>
      <c r="L3389" s="28"/>
      <c r="M3389" s="28"/>
      <c r="N3389" s="28"/>
      <c r="O3389" s="28"/>
      <c r="P3389" s="28"/>
      <c r="Q3389" s="28"/>
      <c r="R3389" s="28"/>
      <c r="S3389" s="28"/>
    </row>
    <row r="3390" spans="1:19" x14ac:dyDescent="0.25">
      <c r="A3390" s="28"/>
      <c r="B3390" s="28"/>
      <c r="C3390" s="28"/>
      <c r="D3390" s="28"/>
      <c r="E3390" s="28"/>
      <c r="F3390" s="28"/>
      <c r="G3390" s="28"/>
      <c r="H3390" s="28"/>
      <c r="I3390" s="28"/>
      <c r="J3390" s="28"/>
      <c r="K3390" s="28"/>
      <c r="L3390" s="28"/>
      <c r="M3390" s="28"/>
      <c r="N3390" s="28"/>
      <c r="O3390" s="28"/>
      <c r="P3390" s="28"/>
      <c r="Q3390" s="28"/>
      <c r="R3390" s="28"/>
      <c r="S3390" s="28"/>
    </row>
    <row r="3391" spans="1:19" x14ac:dyDescent="0.25">
      <c r="A3391" s="28"/>
      <c r="B3391" s="28"/>
      <c r="C3391" s="28"/>
      <c r="D3391" s="28"/>
      <c r="E3391" s="28"/>
      <c r="F3391" s="28"/>
      <c r="G3391" s="28"/>
      <c r="H3391" s="28"/>
      <c r="I3391" s="28"/>
      <c r="J3391" s="28"/>
      <c r="K3391" s="28"/>
      <c r="L3391" s="28"/>
      <c r="M3391" s="28"/>
      <c r="N3391" s="28"/>
      <c r="O3391" s="28"/>
      <c r="P3391" s="28"/>
      <c r="Q3391" s="28"/>
      <c r="R3391" s="28"/>
      <c r="S3391" s="28"/>
    </row>
    <row r="3392" spans="1:19" x14ac:dyDescent="0.25">
      <c r="A3392" s="28"/>
      <c r="B3392" s="28"/>
      <c r="C3392" s="28"/>
      <c r="D3392" s="28"/>
      <c r="E3392" s="28"/>
      <c r="F3392" s="28"/>
      <c r="G3392" s="28"/>
      <c r="H3392" s="28"/>
      <c r="I3392" s="28"/>
      <c r="J3392" s="28"/>
      <c r="K3392" s="28"/>
      <c r="L3392" s="28"/>
      <c r="M3392" s="28"/>
      <c r="N3392" s="28"/>
      <c r="O3392" s="28"/>
      <c r="P3392" s="28"/>
      <c r="Q3392" s="28"/>
      <c r="R3392" s="28"/>
      <c r="S3392" s="28"/>
    </row>
    <row r="3393" spans="1:19" x14ac:dyDescent="0.25">
      <c r="A3393" s="28"/>
      <c r="B3393" s="28"/>
      <c r="C3393" s="28"/>
      <c r="D3393" s="28"/>
      <c r="E3393" s="28"/>
      <c r="F3393" s="28"/>
      <c r="G3393" s="28"/>
      <c r="H3393" s="28"/>
      <c r="I3393" s="28"/>
      <c r="J3393" s="28"/>
      <c r="K3393" s="28"/>
      <c r="L3393" s="28"/>
      <c r="M3393" s="28"/>
      <c r="N3393" s="28"/>
      <c r="O3393" s="28"/>
      <c r="P3393" s="28"/>
      <c r="Q3393" s="28"/>
      <c r="R3393" s="28"/>
      <c r="S3393" s="28"/>
    </row>
    <row r="3394" spans="1:19" x14ac:dyDescent="0.25">
      <c r="A3394" s="28"/>
      <c r="B3394" s="28"/>
      <c r="C3394" s="28"/>
      <c r="D3394" s="28"/>
      <c r="E3394" s="28"/>
      <c r="F3394" s="28"/>
      <c r="G3394" s="28"/>
      <c r="H3394" s="28"/>
      <c r="I3394" s="28"/>
      <c r="J3394" s="28"/>
      <c r="K3394" s="28"/>
      <c r="L3394" s="28"/>
      <c r="M3394" s="28"/>
      <c r="N3394" s="28"/>
      <c r="O3394" s="28"/>
      <c r="P3394" s="28"/>
      <c r="Q3394" s="28"/>
      <c r="R3394" s="28"/>
      <c r="S3394" s="28"/>
    </row>
    <row r="3395" spans="1:19" x14ac:dyDescent="0.25">
      <c r="A3395" s="28"/>
      <c r="B3395" s="28"/>
      <c r="C3395" s="28"/>
      <c r="D3395" s="28"/>
      <c r="E3395" s="28"/>
      <c r="F3395" s="28"/>
      <c r="G3395" s="28"/>
      <c r="H3395" s="28"/>
      <c r="I3395" s="28"/>
      <c r="J3395" s="28"/>
      <c r="K3395" s="28"/>
      <c r="L3395" s="28"/>
      <c r="M3395" s="28"/>
      <c r="N3395" s="28"/>
      <c r="O3395" s="28"/>
      <c r="P3395" s="28"/>
      <c r="Q3395" s="28"/>
      <c r="R3395" s="28"/>
      <c r="S3395" s="28"/>
    </row>
    <row r="3396" spans="1:19" x14ac:dyDescent="0.25">
      <c r="A3396" s="28"/>
      <c r="B3396" s="28"/>
      <c r="C3396" s="28"/>
      <c r="D3396" s="28"/>
      <c r="E3396" s="28"/>
      <c r="F3396" s="28"/>
      <c r="G3396" s="28"/>
      <c r="H3396" s="28"/>
      <c r="I3396" s="28"/>
      <c r="J3396" s="28"/>
      <c r="K3396" s="28"/>
      <c r="L3396" s="28"/>
      <c r="M3396" s="28"/>
      <c r="N3396" s="28"/>
      <c r="O3396" s="28"/>
      <c r="P3396" s="28"/>
      <c r="Q3396" s="28"/>
      <c r="R3396" s="28"/>
      <c r="S3396" s="28"/>
    </row>
    <row r="3397" spans="1:19" x14ac:dyDescent="0.25">
      <c r="A3397" s="28"/>
      <c r="B3397" s="28"/>
      <c r="C3397" s="28"/>
      <c r="D3397" s="28"/>
      <c r="E3397" s="28"/>
      <c r="F3397" s="28"/>
      <c r="G3397" s="28"/>
      <c r="H3397" s="28"/>
      <c r="I3397" s="28"/>
      <c r="J3397" s="28"/>
      <c r="K3397" s="28"/>
      <c r="L3397" s="28"/>
      <c r="M3397" s="28"/>
      <c r="N3397" s="28"/>
      <c r="O3397" s="28"/>
      <c r="P3397" s="28"/>
      <c r="Q3397" s="28"/>
      <c r="R3397" s="28"/>
      <c r="S3397" s="28"/>
    </row>
    <row r="3398" spans="1:19" x14ac:dyDescent="0.25">
      <c r="A3398" s="28"/>
      <c r="B3398" s="28"/>
      <c r="C3398" s="28"/>
      <c r="D3398" s="28"/>
      <c r="E3398" s="28"/>
      <c r="F3398" s="28"/>
      <c r="G3398" s="28"/>
      <c r="H3398" s="28"/>
      <c r="I3398" s="28"/>
      <c r="J3398" s="28"/>
      <c r="K3398" s="28"/>
      <c r="L3398" s="28"/>
      <c r="M3398" s="28"/>
      <c r="N3398" s="28"/>
      <c r="O3398" s="28"/>
      <c r="P3398" s="28"/>
      <c r="Q3398" s="28"/>
      <c r="R3398" s="28"/>
      <c r="S3398" s="28"/>
    </row>
    <row r="3399" spans="1:19" x14ac:dyDescent="0.25">
      <c r="A3399" s="28"/>
      <c r="B3399" s="28"/>
      <c r="C3399" s="28"/>
      <c r="D3399" s="28"/>
      <c r="E3399" s="28"/>
      <c r="F3399" s="28"/>
      <c r="G3399" s="28"/>
      <c r="H3399" s="28"/>
      <c r="I3399" s="28"/>
      <c r="J3399" s="28"/>
      <c r="K3399" s="28"/>
      <c r="L3399" s="28"/>
      <c r="M3399" s="28"/>
      <c r="N3399" s="28"/>
      <c r="O3399" s="28"/>
      <c r="P3399" s="28"/>
      <c r="Q3399" s="28"/>
      <c r="R3399" s="28"/>
      <c r="S3399" s="28"/>
    </row>
    <row r="3400" spans="1:19" x14ac:dyDescent="0.25">
      <c r="A3400" s="28"/>
      <c r="B3400" s="28"/>
      <c r="C3400" s="28"/>
      <c r="D3400" s="28"/>
      <c r="E3400" s="28"/>
      <c r="F3400" s="28"/>
      <c r="G3400" s="28"/>
      <c r="H3400" s="28"/>
      <c r="I3400" s="28"/>
      <c r="J3400" s="28"/>
      <c r="K3400" s="28"/>
      <c r="L3400" s="28"/>
      <c r="M3400" s="28"/>
      <c r="N3400" s="28"/>
      <c r="O3400" s="28"/>
      <c r="P3400" s="28"/>
      <c r="Q3400" s="28"/>
      <c r="R3400" s="28"/>
      <c r="S3400" s="28"/>
    </row>
    <row r="3401" spans="1:19" x14ac:dyDescent="0.25">
      <c r="A3401" s="28"/>
      <c r="B3401" s="28"/>
      <c r="C3401" s="28"/>
      <c r="D3401" s="28"/>
      <c r="E3401" s="28"/>
      <c r="F3401" s="28"/>
      <c r="G3401" s="28"/>
      <c r="H3401" s="28"/>
      <c r="I3401" s="28"/>
      <c r="J3401" s="28"/>
      <c r="K3401" s="28"/>
      <c r="L3401" s="28"/>
      <c r="M3401" s="28"/>
      <c r="N3401" s="28"/>
      <c r="O3401" s="28"/>
      <c r="P3401" s="28"/>
      <c r="Q3401" s="28"/>
      <c r="R3401" s="28"/>
      <c r="S3401" s="28"/>
    </row>
    <row r="3402" spans="1:19" x14ac:dyDescent="0.25">
      <c r="A3402" s="28"/>
      <c r="B3402" s="28"/>
      <c r="C3402" s="28"/>
      <c r="D3402" s="28"/>
      <c r="E3402" s="28"/>
      <c r="F3402" s="28"/>
      <c r="G3402" s="28"/>
      <c r="H3402" s="28"/>
      <c r="I3402" s="28"/>
      <c r="J3402" s="28"/>
      <c r="K3402" s="28"/>
      <c r="L3402" s="28"/>
      <c r="M3402" s="28"/>
      <c r="N3402" s="28"/>
      <c r="O3402" s="28"/>
      <c r="P3402" s="28"/>
      <c r="Q3402" s="28"/>
      <c r="R3402" s="28"/>
      <c r="S3402" s="28"/>
    </row>
    <row r="3403" spans="1:19" x14ac:dyDescent="0.25">
      <c r="A3403" s="28"/>
      <c r="B3403" s="28"/>
      <c r="C3403" s="28"/>
      <c r="D3403" s="28"/>
      <c r="E3403" s="28"/>
      <c r="F3403" s="28"/>
      <c r="G3403" s="28"/>
      <c r="H3403" s="28"/>
      <c r="I3403" s="28"/>
      <c r="J3403" s="28"/>
      <c r="K3403" s="28"/>
      <c r="L3403" s="28"/>
      <c r="M3403" s="28"/>
      <c r="N3403" s="28"/>
      <c r="O3403" s="28"/>
      <c r="P3403" s="28"/>
      <c r="Q3403" s="28"/>
      <c r="R3403" s="28"/>
      <c r="S3403" s="28"/>
    </row>
    <row r="3404" spans="1:19" x14ac:dyDescent="0.25">
      <c r="A3404" s="28"/>
      <c r="B3404" s="28"/>
      <c r="C3404" s="28"/>
      <c r="D3404" s="28"/>
      <c r="E3404" s="28"/>
      <c r="F3404" s="28"/>
      <c r="G3404" s="28"/>
      <c r="H3404" s="28"/>
      <c r="I3404" s="28"/>
      <c r="J3404" s="28"/>
      <c r="K3404" s="28"/>
      <c r="L3404" s="28"/>
      <c r="M3404" s="28"/>
      <c r="N3404" s="28"/>
      <c r="O3404" s="28"/>
      <c r="P3404" s="28"/>
      <c r="Q3404" s="28"/>
      <c r="R3404" s="28"/>
      <c r="S3404" s="28"/>
    </row>
    <row r="3405" spans="1:19" x14ac:dyDescent="0.25">
      <c r="A3405" s="28"/>
      <c r="B3405" s="28"/>
      <c r="C3405" s="28"/>
      <c r="D3405" s="28"/>
      <c r="E3405" s="28"/>
      <c r="F3405" s="28"/>
      <c r="G3405" s="28"/>
      <c r="H3405" s="28"/>
      <c r="I3405" s="28"/>
      <c r="J3405" s="28"/>
      <c r="K3405" s="28"/>
      <c r="L3405" s="28"/>
      <c r="M3405" s="28"/>
      <c r="N3405" s="28"/>
      <c r="O3405" s="28"/>
      <c r="P3405" s="28"/>
      <c r="Q3405" s="28"/>
      <c r="R3405" s="28"/>
      <c r="S3405" s="28"/>
    </row>
    <row r="3406" spans="1:19" x14ac:dyDescent="0.25">
      <c r="A3406" s="28"/>
      <c r="B3406" s="28"/>
      <c r="C3406" s="28"/>
      <c r="D3406" s="28"/>
      <c r="E3406" s="28"/>
      <c r="F3406" s="28"/>
      <c r="G3406" s="28"/>
      <c r="H3406" s="28"/>
      <c r="I3406" s="28"/>
      <c r="J3406" s="28"/>
      <c r="K3406" s="28"/>
      <c r="L3406" s="28"/>
      <c r="M3406" s="28"/>
      <c r="N3406" s="28"/>
      <c r="O3406" s="28"/>
      <c r="P3406" s="28"/>
      <c r="Q3406" s="28"/>
      <c r="R3406" s="28"/>
      <c r="S3406" s="28"/>
    </row>
    <row r="3407" spans="1:19" x14ac:dyDescent="0.25">
      <c r="A3407" s="28"/>
      <c r="B3407" s="28"/>
      <c r="C3407" s="28"/>
      <c r="D3407" s="28"/>
      <c r="E3407" s="28"/>
      <c r="F3407" s="28"/>
      <c r="G3407" s="28"/>
      <c r="H3407" s="28"/>
      <c r="I3407" s="28"/>
      <c r="J3407" s="28"/>
      <c r="K3407" s="28"/>
      <c r="L3407" s="28"/>
      <c r="M3407" s="28"/>
      <c r="N3407" s="28"/>
      <c r="O3407" s="28"/>
      <c r="P3407" s="28"/>
      <c r="Q3407" s="28"/>
      <c r="R3407" s="28"/>
      <c r="S3407" s="28"/>
    </row>
    <row r="3408" spans="1:19" x14ac:dyDescent="0.25">
      <c r="A3408" s="28"/>
      <c r="B3408" s="28"/>
      <c r="C3408" s="28"/>
      <c r="D3408" s="28"/>
      <c r="E3408" s="28"/>
      <c r="F3408" s="28"/>
      <c r="G3408" s="28"/>
      <c r="H3408" s="28"/>
      <c r="I3408" s="28"/>
      <c r="J3408" s="28"/>
      <c r="K3408" s="28"/>
      <c r="L3408" s="28"/>
      <c r="M3408" s="28"/>
      <c r="N3408" s="28"/>
      <c r="O3408" s="28"/>
      <c r="P3408" s="28"/>
      <c r="Q3408" s="28"/>
      <c r="R3408" s="28"/>
      <c r="S3408" s="28"/>
    </row>
    <row r="3409" spans="1:19" x14ac:dyDescent="0.25">
      <c r="A3409" s="28"/>
      <c r="B3409" s="28"/>
      <c r="C3409" s="28"/>
      <c r="D3409" s="28"/>
      <c r="E3409" s="28"/>
      <c r="F3409" s="28"/>
      <c r="G3409" s="28"/>
      <c r="H3409" s="28"/>
      <c r="I3409" s="28"/>
      <c r="J3409" s="28"/>
      <c r="K3409" s="28"/>
      <c r="L3409" s="28"/>
      <c r="M3409" s="28"/>
      <c r="N3409" s="28"/>
      <c r="O3409" s="28"/>
      <c r="P3409" s="28"/>
      <c r="Q3409" s="28"/>
      <c r="R3409" s="28"/>
      <c r="S3409" s="28"/>
    </row>
    <row r="3410" spans="1:19" x14ac:dyDescent="0.25">
      <c r="A3410" s="28"/>
      <c r="B3410" s="28"/>
      <c r="C3410" s="28"/>
      <c r="D3410" s="28"/>
      <c r="E3410" s="28"/>
      <c r="F3410" s="28"/>
      <c r="G3410" s="28"/>
      <c r="H3410" s="28"/>
      <c r="I3410" s="28"/>
      <c r="J3410" s="28"/>
      <c r="K3410" s="28"/>
      <c r="L3410" s="28"/>
      <c r="M3410" s="28"/>
      <c r="N3410" s="28"/>
      <c r="O3410" s="28"/>
      <c r="P3410" s="28"/>
      <c r="Q3410" s="28"/>
      <c r="R3410" s="28"/>
      <c r="S3410" s="28"/>
    </row>
    <row r="3411" spans="1:19" x14ac:dyDescent="0.25">
      <c r="A3411" s="28"/>
      <c r="B3411" s="28"/>
      <c r="C3411" s="28"/>
      <c r="D3411" s="28"/>
      <c r="E3411" s="28"/>
      <c r="F3411" s="28"/>
      <c r="G3411" s="28"/>
      <c r="H3411" s="28"/>
      <c r="I3411" s="28"/>
      <c r="J3411" s="28"/>
      <c r="K3411" s="28"/>
      <c r="L3411" s="28"/>
      <c r="M3411" s="28"/>
      <c r="N3411" s="28"/>
      <c r="O3411" s="28"/>
      <c r="P3411" s="28"/>
      <c r="Q3411" s="28"/>
      <c r="R3411" s="28"/>
      <c r="S3411" s="28"/>
    </row>
    <row r="3412" spans="1:19" x14ac:dyDescent="0.25">
      <c r="A3412" s="28"/>
      <c r="B3412" s="28"/>
      <c r="C3412" s="28"/>
      <c r="D3412" s="28"/>
      <c r="E3412" s="28"/>
      <c r="F3412" s="28"/>
      <c r="G3412" s="28"/>
      <c r="H3412" s="28"/>
      <c r="I3412" s="28"/>
      <c r="J3412" s="28"/>
      <c r="K3412" s="28"/>
      <c r="L3412" s="28"/>
      <c r="M3412" s="28"/>
      <c r="N3412" s="28"/>
      <c r="O3412" s="28"/>
      <c r="P3412" s="28"/>
      <c r="Q3412" s="28"/>
      <c r="R3412" s="28"/>
      <c r="S3412" s="28"/>
    </row>
    <row r="3413" spans="1:19" x14ac:dyDescent="0.25">
      <c r="A3413" s="28"/>
      <c r="B3413" s="28"/>
      <c r="C3413" s="28"/>
      <c r="D3413" s="28"/>
      <c r="E3413" s="28"/>
      <c r="F3413" s="28"/>
      <c r="G3413" s="28"/>
      <c r="H3413" s="28"/>
      <c r="I3413" s="28"/>
      <c r="J3413" s="28"/>
      <c r="K3413" s="28"/>
      <c r="L3413" s="28"/>
      <c r="M3413" s="28"/>
      <c r="N3413" s="28"/>
      <c r="O3413" s="28"/>
      <c r="P3413" s="28"/>
      <c r="Q3413" s="28"/>
      <c r="R3413" s="28"/>
      <c r="S3413" s="28"/>
    </row>
    <row r="3414" spans="1:19" x14ac:dyDescent="0.25">
      <c r="A3414" s="28"/>
      <c r="B3414" s="28"/>
      <c r="C3414" s="28"/>
      <c r="D3414" s="28"/>
      <c r="E3414" s="28"/>
      <c r="F3414" s="28"/>
      <c r="G3414" s="28"/>
      <c r="H3414" s="28"/>
      <c r="I3414" s="28"/>
      <c r="J3414" s="28"/>
      <c r="K3414" s="28"/>
      <c r="L3414" s="28"/>
      <c r="M3414" s="28"/>
      <c r="N3414" s="28"/>
      <c r="O3414" s="28"/>
      <c r="P3414" s="28"/>
      <c r="Q3414" s="28"/>
      <c r="R3414" s="28"/>
      <c r="S3414" s="28"/>
    </row>
    <row r="3415" spans="1:19" x14ac:dyDescent="0.25">
      <c r="A3415" s="28"/>
      <c r="B3415" s="28"/>
      <c r="C3415" s="28"/>
      <c r="D3415" s="28"/>
      <c r="E3415" s="28"/>
      <c r="F3415" s="28"/>
      <c r="G3415" s="28"/>
      <c r="H3415" s="28"/>
      <c r="I3415" s="28"/>
      <c r="J3415" s="28"/>
      <c r="K3415" s="28"/>
      <c r="L3415" s="28"/>
      <c r="M3415" s="28"/>
      <c r="N3415" s="28"/>
      <c r="O3415" s="28"/>
      <c r="P3415" s="28"/>
      <c r="Q3415" s="28"/>
      <c r="R3415" s="28"/>
      <c r="S3415" s="28"/>
    </row>
    <row r="3416" spans="1:19" x14ac:dyDescent="0.25">
      <c r="A3416" s="28"/>
      <c r="B3416" s="28"/>
      <c r="C3416" s="28"/>
      <c r="D3416" s="28"/>
      <c r="E3416" s="28"/>
      <c r="F3416" s="28"/>
      <c r="G3416" s="28"/>
      <c r="H3416" s="28"/>
      <c r="I3416" s="28"/>
      <c r="J3416" s="28"/>
      <c r="K3416" s="28"/>
      <c r="L3416" s="28"/>
      <c r="M3416" s="28"/>
      <c r="N3416" s="28"/>
      <c r="O3416" s="28"/>
      <c r="P3416" s="28"/>
      <c r="Q3416" s="28"/>
      <c r="R3416" s="28"/>
      <c r="S3416" s="28"/>
    </row>
    <row r="3417" spans="1:19" x14ac:dyDescent="0.25">
      <c r="A3417" s="28"/>
      <c r="B3417" s="28"/>
      <c r="C3417" s="28"/>
      <c r="D3417" s="28"/>
      <c r="E3417" s="28"/>
      <c r="F3417" s="28"/>
      <c r="G3417" s="28"/>
      <c r="H3417" s="28"/>
      <c r="I3417" s="28"/>
      <c r="J3417" s="28"/>
      <c r="K3417" s="28"/>
      <c r="L3417" s="28"/>
      <c r="M3417" s="28"/>
      <c r="N3417" s="28"/>
      <c r="O3417" s="28"/>
      <c r="P3417" s="28"/>
      <c r="Q3417" s="28"/>
      <c r="R3417" s="28"/>
      <c r="S3417" s="28"/>
    </row>
    <row r="3418" spans="1:19" x14ac:dyDescent="0.25">
      <c r="A3418" s="28"/>
      <c r="B3418" s="28"/>
      <c r="C3418" s="28"/>
      <c r="D3418" s="28"/>
      <c r="E3418" s="28"/>
      <c r="F3418" s="28"/>
      <c r="G3418" s="28"/>
      <c r="H3418" s="28"/>
      <c r="I3418" s="28"/>
      <c r="J3418" s="28"/>
      <c r="K3418" s="28"/>
      <c r="L3418" s="28"/>
      <c r="M3418" s="28"/>
      <c r="N3418" s="28"/>
      <c r="O3418" s="28"/>
      <c r="P3418" s="28"/>
      <c r="Q3418" s="28"/>
      <c r="R3418" s="28"/>
      <c r="S3418" s="28"/>
    </row>
    <row r="3419" spans="1:19" x14ac:dyDescent="0.25">
      <c r="A3419" s="28"/>
      <c r="B3419" s="28"/>
      <c r="C3419" s="28"/>
      <c r="D3419" s="28"/>
      <c r="E3419" s="28"/>
      <c r="F3419" s="28"/>
      <c r="G3419" s="28"/>
      <c r="H3419" s="28"/>
      <c r="I3419" s="28"/>
      <c r="J3419" s="28"/>
      <c r="K3419" s="28"/>
      <c r="L3419" s="28"/>
      <c r="M3419" s="28"/>
      <c r="N3419" s="28"/>
      <c r="O3419" s="28"/>
      <c r="P3419" s="28"/>
      <c r="Q3419" s="28"/>
      <c r="R3419" s="28"/>
      <c r="S3419" s="28"/>
    </row>
    <row r="3420" spans="1:19" x14ac:dyDescent="0.25">
      <c r="A3420" s="28"/>
      <c r="B3420" s="28"/>
      <c r="C3420" s="28"/>
      <c r="D3420" s="28"/>
      <c r="E3420" s="28"/>
      <c r="F3420" s="28"/>
      <c r="G3420" s="28"/>
      <c r="H3420" s="28"/>
      <c r="I3420" s="28"/>
      <c r="J3420" s="28"/>
      <c r="K3420" s="28"/>
      <c r="L3420" s="28"/>
      <c r="M3420" s="28"/>
      <c r="N3420" s="28"/>
      <c r="O3420" s="28"/>
      <c r="P3420" s="28"/>
      <c r="Q3420" s="28"/>
      <c r="R3420" s="28"/>
      <c r="S3420" s="28"/>
    </row>
    <row r="3421" spans="1:19" x14ac:dyDescent="0.25">
      <c r="A3421" s="28"/>
      <c r="B3421" s="28"/>
      <c r="C3421" s="28"/>
      <c r="D3421" s="28"/>
      <c r="E3421" s="28"/>
      <c r="F3421" s="28"/>
      <c r="G3421" s="28"/>
      <c r="H3421" s="28"/>
      <c r="I3421" s="28"/>
      <c r="J3421" s="28"/>
      <c r="K3421" s="28"/>
      <c r="L3421" s="28"/>
      <c r="M3421" s="28"/>
      <c r="N3421" s="28"/>
      <c r="O3421" s="28"/>
      <c r="P3421" s="28"/>
      <c r="Q3421" s="28"/>
      <c r="R3421" s="28"/>
      <c r="S3421" s="28"/>
    </row>
    <row r="3422" spans="1:19" x14ac:dyDescent="0.25">
      <c r="A3422" s="28"/>
      <c r="B3422" s="28"/>
      <c r="C3422" s="28"/>
      <c r="D3422" s="28"/>
      <c r="E3422" s="28"/>
      <c r="F3422" s="28"/>
      <c r="G3422" s="28"/>
      <c r="H3422" s="28"/>
      <c r="I3422" s="28"/>
      <c r="J3422" s="28"/>
      <c r="K3422" s="28"/>
      <c r="L3422" s="28"/>
      <c r="M3422" s="28"/>
      <c r="N3422" s="28"/>
      <c r="O3422" s="28"/>
      <c r="P3422" s="28"/>
      <c r="Q3422" s="28"/>
      <c r="R3422" s="28"/>
      <c r="S3422" s="28"/>
    </row>
    <row r="3423" spans="1:19" x14ac:dyDescent="0.25">
      <c r="A3423" s="28"/>
      <c r="B3423" s="28"/>
      <c r="C3423" s="28"/>
      <c r="D3423" s="28"/>
      <c r="E3423" s="28"/>
      <c r="F3423" s="28"/>
      <c r="G3423" s="28"/>
      <c r="H3423" s="28"/>
      <c r="I3423" s="28"/>
      <c r="J3423" s="28"/>
      <c r="K3423" s="28"/>
      <c r="L3423" s="28"/>
      <c r="M3423" s="28"/>
      <c r="N3423" s="28"/>
      <c r="O3423" s="28"/>
      <c r="P3423" s="28"/>
      <c r="Q3423" s="28"/>
      <c r="R3423" s="28"/>
      <c r="S3423" s="28"/>
    </row>
    <row r="3424" spans="1:19" x14ac:dyDescent="0.25">
      <c r="A3424" s="28"/>
      <c r="B3424" s="28"/>
      <c r="C3424" s="28"/>
      <c r="D3424" s="28"/>
      <c r="E3424" s="28"/>
      <c r="F3424" s="28"/>
      <c r="G3424" s="28"/>
      <c r="H3424" s="28"/>
      <c r="I3424" s="28"/>
      <c r="J3424" s="28"/>
      <c r="K3424" s="28"/>
      <c r="L3424" s="28"/>
      <c r="M3424" s="28"/>
      <c r="N3424" s="28"/>
      <c r="O3424" s="28"/>
      <c r="P3424" s="28"/>
      <c r="Q3424" s="28"/>
      <c r="R3424" s="28"/>
      <c r="S3424" s="28"/>
    </row>
    <row r="3425" spans="1:19" x14ac:dyDescent="0.25">
      <c r="A3425" s="28"/>
      <c r="B3425" s="28"/>
      <c r="C3425" s="28"/>
      <c r="D3425" s="28"/>
      <c r="E3425" s="28"/>
      <c r="F3425" s="28"/>
      <c r="G3425" s="28"/>
      <c r="H3425" s="28"/>
      <c r="I3425" s="28"/>
      <c r="J3425" s="28"/>
      <c r="K3425" s="28"/>
      <c r="L3425" s="28"/>
      <c r="M3425" s="28"/>
      <c r="N3425" s="28"/>
      <c r="O3425" s="28"/>
      <c r="P3425" s="28"/>
      <c r="Q3425" s="28"/>
      <c r="R3425" s="28"/>
      <c r="S3425" s="28"/>
    </row>
    <row r="3426" spans="1:19" x14ac:dyDescent="0.25">
      <c r="A3426" s="28"/>
      <c r="B3426" s="28"/>
      <c r="C3426" s="28"/>
      <c r="D3426" s="28"/>
      <c r="E3426" s="28"/>
      <c r="F3426" s="28"/>
      <c r="G3426" s="28"/>
      <c r="H3426" s="28"/>
      <c r="I3426" s="28"/>
      <c r="J3426" s="28"/>
      <c r="K3426" s="28"/>
      <c r="L3426" s="28"/>
      <c r="M3426" s="28"/>
      <c r="N3426" s="28"/>
      <c r="O3426" s="28"/>
      <c r="P3426" s="28"/>
      <c r="Q3426" s="28"/>
      <c r="R3426" s="28"/>
      <c r="S3426" s="28"/>
    </row>
    <row r="3427" spans="1:19" x14ac:dyDescent="0.25">
      <c r="A3427" s="28"/>
      <c r="B3427" s="28"/>
      <c r="C3427" s="28"/>
      <c r="D3427" s="28"/>
      <c r="E3427" s="28"/>
      <c r="F3427" s="28"/>
      <c r="G3427" s="28"/>
      <c r="H3427" s="28"/>
      <c r="I3427" s="28"/>
      <c r="J3427" s="28"/>
      <c r="K3427" s="28"/>
      <c r="L3427" s="28"/>
      <c r="M3427" s="28"/>
      <c r="N3427" s="28"/>
      <c r="O3427" s="28"/>
      <c r="P3427" s="28"/>
      <c r="Q3427" s="28"/>
      <c r="R3427" s="28"/>
      <c r="S3427" s="28"/>
    </row>
    <row r="3428" spans="1:19" x14ac:dyDescent="0.25">
      <c r="A3428" s="28"/>
      <c r="B3428" s="28"/>
      <c r="C3428" s="28"/>
      <c r="D3428" s="28"/>
      <c r="E3428" s="28"/>
      <c r="F3428" s="28"/>
      <c r="G3428" s="28"/>
      <c r="H3428" s="28"/>
      <c r="I3428" s="28"/>
      <c r="J3428" s="28"/>
      <c r="K3428" s="28"/>
      <c r="L3428" s="28"/>
      <c r="M3428" s="28"/>
      <c r="N3428" s="28"/>
      <c r="O3428" s="28"/>
      <c r="P3428" s="28"/>
      <c r="Q3428" s="28"/>
      <c r="R3428" s="28"/>
      <c r="S3428" s="28"/>
    </row>
    <row r="3429" spans="1:19" x14ac:dyDescent="0.25">
      <c r="A3429" s="28"/>
      <c r="B3429" s="28"/>
      <c r="C3429" s="28"/>
      <c r="D3429" s="28"/>
      <c r="E3429" s="28"/>
      <c r="F3429" s="28"/>
      <c r="G3429" s="28"/>
      <c r="H3429" s="28"/>
      <c r="I3429" s="28"/>
      <c r="J3429" s="28"/>
      <c r="K3429" s="28"/>
      <c r="L3429" s="28"/>
      <c r="M3429" s="28"/>
      <c r="N3429" s="28"/>
      <c r="O3429" s="28"/>
      <c r="P3429" s="28"/>
      <c r="Q3429" s="28"/>
      <c r="R3429" s="28"/>
      <c r="S3429" s="28"/>
    </row>
    <row r="3430" spans="1:19" x14ac:dyDescent="0.25">
      <c r="A3430" s="28"/>
      <c r="B3430" s="28"/>
      <c r="C3430" s="28"/>
      <c r="D3430" s="28"/>
      <c r="E3430" s="28"/>
      <c r="F3430" s="28"/>
      <c r="G3430" s="28"/>
      <c r="H3430" s="28"/>
      <c r="I3430" s="28"/>
      <c r="J3430" s="28"/>
      <c r="K3430" s="28"/>
      <c r="L3430" s="28"/>
      <c r="M3430" s="28"/>
      <c r="N3430" s="28"/>
      <c r="O3430" s="28"/>
      <c r="P3430" s="28"/>
      <c r="Q3430" s="28"/>
      <c r="R3430" s="28"/>
      <c r="S3430" s="28"/>
    </row>
    <row r="3431" spans="1:19" x14ac:dyDescent="0.25">
      <c r="A3431" s="28"/>
      <c r="B3431" s="28"/>
      <c r="C3431" s="28"/>
      <c r="D3431" s="28"/>
      <c r="E3431" s="28"/>
      <c r="F3431" s="28"/>
      <c r="G3431" s="28"/>
      <c r="H3431" s="28"/>
      <c r="I3431" s="28"/>
      <c r="J3431" s="28"/>
      <c r="K3431" s="28"/>
      <c r="L3431" s="28"/>
      <c r="M3431" s="28"/>
      <c r="N3431" s="28"/>
      <c r="O3431" s="28"/>
      <c r="P3431" s="28"/>
      <c r="Q3431" s="28"/>
      <c r="R3431" s="28"/>
      <c r="S3431" s="28"/>
    </row>
    <row r="3432" spans="1:19" x14ac:dyDescent="0.25">
      <c r="A3432" s="28"/>
      <c r="B3432" s="28"/>
      <c r="C3432" s="28"/>
      <c r="D3432" s="28"/>
      <c r="E3432" s="28"/>
      <c r="F3432" s="28"/>
      <c r="G3432" s="28"/>
      <c r="H3432" s="28"/>
      <c r="I3432" s="28"/>
      <c r="J3432" s="28"/>
      <c r="K3432" s="28"/>
      <c r="L3432" s="28"/>
      <c r="M3432" s="28"/>
      <c r="N3432" s="28"/>
      <c r="O3432" s="28"/>
      <c r="P3432" s="28"/>
      <c r="Q3432" s="28"/>
      <c r="R3432" s="28"/>
      <c r="S3432" s="28"/>
    </row>
    <row r="3433" spans="1:19" x14ac:dyDescent="0.25">
      <c r="A3433" s="28"/>
      <c r="B3433" s="28"/>
      <c r="C3433" s="28"/>
      <c r="D3433" s="28"/>
      <c r="E3433" s="28"/>
      <c r="F3433" s="28"/>
      <c r="G3433" s="28"/>
      <c r="H3433" s="28"/>
      <c r="I3433" s="28"/>
      <c r="J3433" s="28"/>
      <c r="K3433" s="28"/>
      <c r="L3433" s="28"/>
      <c r="M3433" s="28"/>
      <c r="N3433" s="28"/>
      <c r="O3433" s="28"/>
      <c r="P3433" s="28"/>
      <c r="Q3433" s="28"/>
      <c r="R3433" s="28"/>
      <c r="S3433" s="28"/>
    </row>
    <row r="3434" spans="1:19" x14ac:dyDescent="0.25">
      <c r="A3434" s="28"/>
      <c r="B3434" s="28"/>
      <c r="C3434" s="28"/>
      <c r="D3434" s="28"/>
      <c r="E3434" s="28"/>
      <c r="F3434" s="28"/>
      <c r="G3434" s="28"/>
      <c r="H3434" s="28"/>
      <c r="I3434" s="28"/>
      <c r="J3434" s="28"/>
      <c r="K3434" s="28"/>
      <c r="L3434" s="28"/>
      <c r="M3434" s="28"/>
      <c r="N3434" s="28"/>
      <c r="O3434" s="28"/>
      <c r="P3434" s="28"/>
      <c r="Q3434" s="28"/>
      <c r="R3434" s="28"/>
      <c r="S3434" s="28"/>
    </row>
    <row r="3435" spans="1:19" x14ac:dyDescent="0.25">
      <c r="A3435" s="28"/>
      <c r="B3435" s="28"/>
      <c r="C3435" s="28"/>
      <c r="D3435" s="28"/>
      <c r="E3435" s="28"/>
      <c r="F3435" s="28"/>
      <c r="G3435" s="28"/>
      <c r="H3435" s="28"/>
      <c r="I3435" s="28"/>
      <c r="J3435" s="28"/>
      <c r="K3435" s="28"/>
      <c r="L3435" s="28"/>
      <c r="M3435" s="28"/>
      <c r="N3435" s="28"/>
      <c r="O3435" s="28"/>
      <c r="P3435" s="28"/>
      <c r="Q3435" s="28"/>
      <c r="R3435" s="28"/>
      <c r="S3435" s="28"/>
    </row>
    <row r="3436" spans="1:19" x14ac:dyDescent="0.25">
      <c r="A3436" s="28"/>
      <c r="B3436" s="28"/>
      <c r="C3436" s="28"/>
      <c r="D3436" s="28"/>
      <c r="E3436" s="28"/>
      <c r="F3436" s="28"/>
      <c r="G3436" s="28"/>
      <c r="H3436" s="28"/>
      <c r="I3436" s="28"/>
      <c r="J3436" s="28"/>
      <c r="K3436" s="28"/>
      <c r="L3436" s="28"/>
      <c r="M3436" s="28"/>
      <c r="N3436" s="28"/>
      <c r="O3436" s="28"/>
      <c r="P3436" s="28"/>
      <c r="Q3436" s="28"/>
      <c r="R3436" s="28"/>
      <c r="S3436" s="28"/>
    </row>
    <row r="3437" spans="1:19" x14ac:dyDescent="0.25">
      <c r="A3437" s="28"/>
      <c r="B3437" s="28"/>
      <c r="C3437" s="28"/>
      <c r="D3437" s="28"/>
      <c r="E3437" s="28"/>
      <c r="F3437" s="28"/>
      <c r="G3437" s="28"/>
      <c r="H3437" s="28"/>
      <c r="I3437" s="28"/>
      <c r="J3437" s="28"/>
      <c r="K3437" s="28"/>
      <c r="L3437" s="28"/>
      <c r="M3437" s="28"/>
      <c r="N3437" s="28"/>
      <c r="O3437" s="28"/>
      <c r="P3437" s="28"/>
      <c r="Q3437" s="28"/>
      <c r="R3437" s="28"/>
      <c r="S3437" s="28"/>
    </row>
    <row r="3438" spans="1:19" x14ac:dyDescent="0.25">
      <c r="A3438" s="28"/>
      <c r="B3438" s="28"/>
      <c r="C3438" s="28"/>
      <c r="D3438" s="28"/>
      <c r="E3438" s="28"/>
      <c r="F3438" s="28"/>
      <c r="G3438" s="28"/>
      <c r="H3438" s="28"/>
      <c r="I3438" s="28"/>
      <c r="J3438" s="28"/>
      <c r="K3438" s="28"/>
      <c r="L3438" s="28"/>
      <c r="M3438" s="28"/>
      <c r="N3438" s="28"/>
      <c r="O3438" s="28"/>
      <c r="P3438" s="28"/>
      <c r="Q3438" s="28"/>
      <c r="R3438" s="28"/>
      <c r="S3438" s="28"/>
    </row>
    <row r="3439" spans="1:19" x14ac:dyDescent="0.25">
      <c r="A3439" s="28"/>
      <c r="B3439" s="28"/>
      <c r="C3439" s="28"/>
      <c r="D3439" s="28"/>
      <c r="E3439" s="28"/>
      <c r="F3439" s="28"/>
      <c r="G3439" s="28"/>
      <c r="H3439" s="28"/>
      <c r="I3439" s="28"/>
      <c r="J3439" s="28"/>
      <c r="K3439" s="28"/>
      <c r="L3439" s="28"/>
      <c r="M3439" s="28"/>
      <c r="N3439" s="28"/>
      <c r="O3439" s="28"/>
      <c r="P3439" s="28"/>
      <c r="Q3439" s="28"/>
      <c r="R3439" s="28"/>
      <c r="S3439" s="28"/>
    </row>
    <row r="3440" spans="1:19" x14ac:dyDescent="0.25">
      <c r="A3440" s="28"/>
      <c r="B3440" s="28"/>
      <c r="C3440" s="28"/>
      <c r="D3440" s="28"/>
      <c r="E3440" s="28"/>
      <c r="F3440" s="28"/>
      <c r="G3440" s="28"/>
      <c r="H3440" s="28"/>
      <c r="I3440" s="28"/>
      <c r="J3440" s="28"/>
      <c r="K3440" s="28"/>
      <c r="L3440" s="28"/>
      <c r="M3440" s="28"/>
      <c r="N3440" s="28"/>
      <c r="O3440" s="28"/>
      <c r="P3440" s="28"/>
      <c r="Q3440" s="28"/>
      <c r="R3440" s="28"/>
      <c r="S3440" s="28"/>
    </row>
    <row r="3441" spans="1:19" x14ac:dyDescent="0.25">
      <c r="A3441" s="28"/>
      <c r="B3441" s="28"/>
      <c r="C3441" s="28"/>
      <c r="D3441" s="28"/>
      <c r="E3441" s="28"/>
      <c r="F3441" s="28"/>
      <c r="G3441" s="28"/>
      <c r="H3441" s="28"/>
      <c r="I3441" s="28"/>
      <c r="J3441" s="28"/>
      <c r="K3441" s="28"/>
      <c r="L3441" s="28"/>
      <c r="M3441" s="28"/>
      <c r="N3441" s="28"/>
      <c r="O3441" s="28"/>
      <c r="P3441" s="28"/>
      <c r="Q3441" s="28"/>
      <c r="R3441" s="28"/>
      <c r="S3441" s="28"/>
    </row>
    <row r="3442" spans="1:19" x14ac:dyDescent="0.25">
      <c r="A3442" s="28"/>
      <c r="B3442" s="28"/>
      <c r="C3442" s="28"/>
      <c r="D3442" s="28"/>
      <c r="E3442" s="28"/>
      <c r="F3442" s="28"/>
      <c r="G3442" s="28"/>
      <c r="H3442" s="28"/>
      <c r="I3442" s="28"/>
      <c r="J3442" s="28"/>
      <c r="K3442" s="28"/>
      <c r="L3442" s="28"/>
      <c r="M3442" s="28"/>
      <c r="N3442" s="28"/>
      <c r="O3442" s="28"/>
      <c r="P3442" s="28"/>
      <c r="Q3442" s="28"/>
      <c r="R3442" s="28"/>
      <c r="S3442" s="28"/>
    </row>
    <row r="3443" spans="1:19" x14ac:dyDescent="0.25">
      <c r="A3443" s="28"/>
      <c r="B3443" s="28"/>
      <c r="C3443" s="28"/>
      <c r="D3443" s="28"/>
      <c r="E3443" s="28"/>
      <c r="F3443" s="28"/>
      <c r="G3443" s="28"/>
      <c r="H3443" s="28"/>
      <c r="I3443" s="28"/>
      <c r="J3443" s="28"/>
      <c r="K3443" s="28"/>
      <c r="L3443" s="28"/>
      <c r="M3443" s="28"/>
      <c r="N3443" s="28"/>
      <c r="O3443" s="28"/>
      <c r="P3443" s="28"/>
      <c r="Q3443" s="28"/>
      <c r="R3443" s="28"/>
      <c r="S3443" s="28"/>
    </row>
    <row r="3444" spans="1:19" x14ac:dyDescent="0.25">
      <c r="A3444" s="28"/>
      <c r="B3444" s="28"/>
      <c r="C3444" s="28"/>
      <c r="D3444" s="28"/>
      <c r="E3444" s="28"/>
      <c r="F3444" s="28"/>
      <c r="G3444" s="28"/>
      <c r="H3444" s="28"/>
      <c r="I3444" s="28"/>
      <c r="J3444" s="28"/>
      <c r="K3444" s="28"/>
      <c r="L3444" s="28"/>
      <c r="M3444" s="28"/>
      <c r="N3444" s="28"/>
      <c r="O3444" s="28"/>
      <c r="P3444" s="28"/>
      <c r="Q3444" s="28"/>
      <c r="R3444" s="28"/>
      <c r="S3444" s="28"/>
    </row>
    <row r="3445" spans="1:19" x14ac:dyDescent="0.25">
      <c r="A3445" s="28"/>
      <c r="B3445" s="28"/>
      <c r="C3445" s="28"/>
      <c r="D3445" s="28"/>
      <c r="E3445" s="28"/>
      <c r="F3445" s="28"/>
      <c r="G3445" s="28"/>
      <c r="H3445" s="28"/>
      <c r="I3445" s="28"/>
      <c r="J3445" s="28"/>
      <c r="K3445" s="28"/>
      <c r="L3445" s="28"/>
      <c r="M3445" s="28"/>
      <c r="N3445" s="28"/>
      <c r="O3445" s="28"/>
      <c r="P3445" s="28"/>
      <c r="Q3445" s="28"/>
      <c r="R3445" s="28"/>
      <c r="S3445" s="28"/>
    </row>
    <row r="3446" spans="1:19" x14ac:dyDescent="0.25">
      <c r="A3446" s="28"/>
      <c r="B3446" s="28"/>
      <c r="C3446" s="28"/>
      <c r="D3446" s="28"/>
      <c r="E3446" s="28"/>
      <c r="F3446" s="28"/>
      <c r="G3446" s="28"/>
      <c r="H3446" s="28"/>
      <c r="I3446" s="28"/>
      <c r="J3446" s="28"/>
      <c r="K3446" s="28"/>
      <c r="L3446" s="28"/>
      <c r="M3446" s="28"/>
      <c r="N3446" s="28"/>
      <c r="O3446" s="28"/>
      <c r="P3446" s="28"/>
      <c r="Q3446" s="28"/>
      <c r="R3446" s="28"/>
      <c r="S3446" s="28"/>
    </row>
    <row r="3447" spans="1:19" x14ac:dyDescent="0.25">
      <c r="A3447" s="28"/>
      <c r="B3447" s="28"/>
      <c r="C3447" s="28"/>
      <c r="D3447" s="28"/>
      <c r="E3447" s="28"/>
      <c r="F3447" s="28"/>
      <c r="G3447" s="28"/>
      <c r="H3447" s="28"/>
      <c r="I3447" s="28"/>
      <c r="J3447" s="28"/>
      <c r="K3447" s="28"/>
      <c r="L3447" s="28"/>
      <c r="M3447" s="28"/>
      <c r="N3447" s="28"/>
      <c r="O3447" s="28"/>
      <c r="P3447" s="28"/>
      <c r="Q3447" s="28"/>
      <c r="R3447" s="28"/>
      <c r="S3447" s="28"/>
    </row>
    <row r="3448" spans="1:19" x14ac:dyDescent="0.25">
      <c r="A3448" s="28"/>
      <c r="B3448" s="28"/>
      <c r="C3448" s="28"/>
      <c r="D3448" s="28"/>
      <c r="E3448" s="28"/>
      <c r="F3448" s="28"/>
      <c r="G3448" s="28"/>
      <c r="H3448" s="28"/>
      <c r="I3448" s="28"/>
      <c r="J3448" s="28"/>
      <c r="K3448" s="28"/>
      <c r="L3448" s="28"/>
      <c r="M3448" s="28"/>
      <c r="N3448" s="28"/>
      <c r="O3448" s="28"/>
      <c r="P3448" s="28"/>
      <c r="Q3448" s="28"/>
      <c r="R3448" s="28"/>
      <c r="S3448" s="28"/>
    </row>
    <row r="3449" spans="1:19" x14ac:dyDescent="0.25">
      <c r="A3449" s="28"/>
      <c r="B3449" s="28"/>
      <c r="C3449" s="28"/>
      <c r="D3449" s="28"/>
      <c r="E3449" s="28"/>
      <c r="F3449" s="28"/>
      <c r="G3449" s="28"/>
      <c r="H3449" s="28"/>
      <c r="I3449" s="28"/>
      <c r="J3449" s="28"/>
      <c r="K3449" s="28"/>
      <c r="L3449" s="28"/>
      <c r="M3449" s="28"/>
      <c r="N3449" s="28"/>
      <c r="O3449" s="28"/>
      <c r="P3449" s="28"/>
      <c r="Q3449" s="28"/>
      <c r="R3449" s="28"/>
      <c r="S3449" s="28"/>
    </row>
    <row r="3450" spans="1:19" x14ac:dyDescent="0.25">
      <c r="A3450" s="28"/>
      <c r="B3450" s="28"/>
      <c r="C3450" s="28"/>
      <c r="D3450" s="28"/>
      <c r="E3450" s="28"/>
      <c r="F3450" s="28"/>
      <c r="G3450" s="28"/>
      <c r="H3450" s="28"/>
      <c r="I3450" s="28"/>
      <c r="J3450" s="28"/>
      <c r="K3450" s="28"/>
      <c r="L3450" s="28"/>
      <c r="M3450" s="28"/>
      <c r="N3450" s="28"/>
      <c r="O3450" s="28"/>
      <c r="P3450" s="28"/>
      <c r="Q3450" s="28"/>
      <c r="R3450" s="28"/>
      <c r="S3450" s="28"/>
    </row>
    <row r="3451" spans="1:19" x14ac:dyDescent="0.25">
      <c r="A3451" s="28"/>
      <c r="B3451" s="28"/>
      <c r="C3451" s="28"/>
      <c r="D3451" s="28"/>
      <c r="E3451" s="28"/>
      <c r="F3451" s="28"/>
      <c r="G3451" s="28"/>
      <c r="H3451" s="28"/>
      <c r="I3451" s="28"/>
      <c r="J3451" s="28"/>
      <c r="K3451" s="28"/>
      <c r="L3451" s="28"/>
      <c r="M3451" s="28"/>
      <c r="N3451" s="28"/>
      <c r="O3451" s="28"/>
      <c r="P3451" s="28"/>
      <c r="Q3451" s="28"/>
      <c r="R3451" s="28"/>
      <c r="S3451" s="28"/>
    </row>
    <row r="3452" spans="1:19" x14ac:dyDescent="0.25">
      <c r="A3452" s="28"/>
      <c r="B3452" s="28"/>
      <c r="C3452" s="28"/>
      <c r="D3452" s="28"/>
      <c r="E3452" s="28"/>
      <c r="F3452" s="28"/>
      <c r="G3452" s="28"/>
      <c r="H3452" s="28"/>
      <c r="I3452" s="28"/>
      <c r="J3452" s="28"/>
      <c r="K3452" s="28"/>
      <c r="L3452" s="28"/>
      <c r="M3452" s="28"/>
      <c r="N3452" s="28"/>
      <c r="O3452" s="28"/>
      <c r="P3452" s="28"/>
      <c r="Q3452" s="28"/>
      <c r="R3452" s="28"/>
      <c r="S3452" s="28"/>
    </row>
    <row r="3453" spans="1:19" x14ac:dyDescent="0.25">
      <c r="A3453" s="28"/>
      <c r="B3453" s="28"/>
      <c r="C3453" s="28"/>
      <c r="D3453" s="28"/>
      <c r="E3453" s="28"/>
      <c r="F3453" s="28"/>
      <c r="G3453" s="28"/>
      <c r="H3453" s="28"/>
      <c r="I3453" s="28"/>
      <c r="J3453" s="28"/>
      <c r="K3453" s="28"/>
      <c r="L3453" s="28"/>
      <c r="M3453" s="28"/>
      <c r="N3453" s="28"/>
      <c r="O3453" s="28"/>
      <c r="P3453" s="28"/>
      <c r="Q3453" s="28"/>
      <c r="R3453" s="28"/>
      <c r="S3453" s="28"/>
    </row>
    <row r="3454" spans="1:19" x14ac:dyDescent="0.25">
      <c r="A3454" s="28"/>
      <c r="B3454" s="28"/>
      <c r="C3454" s="28"/>
      <c r="D3454" s="28"/>
      <c r="E3454" s="28"/>
      <c r="F3454" s="28"/>
      <c r="G3454" s="28"/>
      <c r="H3454" s="28"/>
      <c r="I3454" s="28"/>
      <c r="J3454" s="28"/>
      <c r="K3454" s="28"/>
      <c r="L3454" s="28"/>
      <c r="M3454" s="28"/>
      <c r="N3454" s="28"/>
      <c r="O3454" s="28"/>
      <c r="P3454" s="28"/>
      <c r="Q3454" s="28"/>
      <c r="R3454" s="28"/>
      <c r="S3454" s="28"/>
    </row>
    <row r="3455" spans="1:19" x14ac:dyDescent="0.25">
      <c r="A3455" s="28"/>
      <c r="B3455" s="28"/>
      <c r="C3455" s="28"/>
      <c r="D3455" s="28"/>
      <c r="E3455" s="28"/>
      <c r="F3455" s="28"/>
      <c r="G3455" s="28"/>
      <c r="H3455" s="28"/>
      <c r="I3455" s="28"/>
      <c r="J3455" s="28"/>
      <c r="K3455" s="28"/>
      <c r="L3455" s="28"/>
      <c r="M3455" s="28"/>
      <c r="N3455" s="28"/>
      <c r="O3455" s="28"/>
      <c r="P3455" s="28"/>
      <c r="Q3455" s="28"/>
      <c r="R3455" s="28"/>
      <c r="S3455" s="28"/>
    </row>
    <row r="3456" spans="1:19" x14ac:dyDescent="0.25">
      <c r="A3456" s="28"/>
      <c r="B3456" s="28"/>
      <c r="C3456" s="28"/>
      <c r="D3456" s="28"/>
      <c r="E3456" s="28"/>
      <c r="F3456" s="28"/>
      <c r="G3456" s="28"/>
      <c r="H3456" s="28"/>
      <c r="I3456" s="28"/>
      <c r="J3456" s="28"/>
      <c r="K3456" s="28"/>
      <c r="L3456" s="28"/>
      <c r="M3456" s="28"/>
      <c r="N3456" s="28"/>
      <c r="O3456" s="28"/>
      <c r="P3456" s="28"/>
      <c r="Q3456" s="28"/>
      <c r="R3456" s="28"/>
      <c r="S3456" s="28"/>
    </row>
    <row r="3457" spans="1:19" x14ac:dyDescent="0.25">
      <c r="A3457" s="28"/>
      <c r="B3457" s="28"/>
      <c r="C3457" s="28"/>
      <c r="D3457" s="28"/>
      <c r="E3457" s="28"/>
      <c r="F3457" s="28"/>
      <c r="G3457" s="28"/>
      <c r="H3457" s="28"/>
      <c r="I3457" s="28"/>
      <c r="J3457" s="28"/>
      <c r="K3457" s="28"/>
      <c r="L3457" s="28"/>
      <c r="M3457" s="28"/>
      <c r="N3457" s="28"/>
      <c r="O3457" s="28"/>
      <c r="P3457" s="28"/>
      <c r="Q3457" s="28"/>
      <c r="R3457" s="28"/>
      <c r="S3457" s="28"/>
    </row>
    <row r="3458" spans="1:19" x14ac:dyDescent="0.25">
      <c r="A3458" s="28"/>
      <c r="B3458" s="28"/>
      <c r="C3458" s="28"/>
      <c r="D3458" s="28"/>
      <c r="E3458" s="28"/>
      <c r="F3458" s="28"/>
      <c r="G3458" s="28"/>
      <c r="H3458" s="28"/>
      <c r="I3458" s="28"/>
      <c r="J3458" s="28"/>
      <c r="K3458" s="28"/>
      <c r="L3458" s="28"/>
      <c r="M3458" s="28"/>
      <c r="N3458" s="28"/>
      <c r="O3458" s="28"/>
      <c r="P3458" s="28"/>
      <c r="Q3458" s="28"/>
      <c r="R3458" s="28"/>
      <c r="S3458" s="28"/>
    </row>
    <row r="3459" spans="1:19" x14ac:dyDescent="0.25">
      <c r="A3459" s="28"/>
      <c r="B3459" s="28"/>
      <c r="C3459" s="28"/>
      <c r="D3459" s="28"/>
      <c r="E3459" s="28"/>
      <c r="F3459" s="28"/>
      <c r="G3459" s="28"/>
      <c r="H3459" s="28"/>
      <c r="I3459" s="28"/>
      <c r="J3459" s="28"/>
      <c r="K3459" s="28"/>
      <c r="L3459" s="28"/>
      <c r="M3459" s="28"/>
      <c r="N3459" s="28"/>
      <c r="O3459" s="28"/>
      <c r="P3459" s="28"/>
      <c r="Q3459" s="28"/>
      <c r="R3459" s="28"/>
      <c r="S3459" s="28"/>
    </row>
    <row r="3460" spans="1:19" x14ac:dyDescent="0.25">
      <c r="A3460" s="28"/>
      <c r="B3460" s="28"/>
      <c r="C3460" s="28"/>
      <c r="D3460" s="28"/>
      <c r="E3460" s="28"/>
      <c r="F3460" s="28"/>
      <c r="G3460" s="28"/>
      <c r="H3460" s="28"/>
      <c r="I3460" s="28"/>
      <c r="J3460" s="28"/>
      <c r="K3460" s="28"/>
      <c r="L3460" s="28"/>
      <c r="M3460" s="28"/>
      <c r="N3460" s="28"/>
      <c r="O3460" s="28"/>
      <c r="P3460" s="28"/>
      <c r="Q3460" s="28"/>
      <c r="R3460" s="28"/>
      <c r="S3460" s="28"/>
    </row>
    <row r="3461" spans="1:19" x14ac:dyDescent="0.25">
      <c r="A3461" s="28"/>
      <c r="B3461" s="28"/>
      <c r="C3461" s="28"/>
      <c r="D3461" s="28"/>
      <c r="E3461" s="28"/>
      <c r="F3461" s="28"/>
      <c r="G3461" s="28"/>
      <c r="H3461" s="28"/>
      <c r="I3461" s="28"/>
      <c r="J3461" s="28"/>
      <c r="K3461" s="28"/>
      <c r="L3461" s="28"/>
      <c r="M3461" s="28"/>
      <c r="N3461" s="28"/>
      <c r="O3461" s="28"/>
      <c r="P3461" s="28"/>
      <c r="Q3461" s="28"/>
      <c r="R3461" s="28"/>
      <c r="S3461" s="28"/>
    </row>
    <row r="3462" spans="1:19" x14ac:dyDescent="0.25">
      <c r="A3462" s="28"/>
      <c r="B3462" s="28"/>
      <c r="C3462" s="28"/>
      <c r="D3462" s="28"/>
      <c r="E3462" s="28"/>
      <c r="F3462" s="28"/>
      <c r="G3462" s="28"/>
      <c r="H3462" s="28"/>
      <c r="I3462" s="28"/>
      <c r="J3462" s="28"/>
      <c r="K3462" s="28"/>
      <c r="L3462" s="28"/>
      <c r="M3462" s="28"/>
      <c r="N3462" s="28"/>
      <c r="O3462" s="28"/>
      <c r="P3462" s="28"/>
      <c r="Q3462" s="28"/>
      <c r="R3462" s="28"/>
      <c r="S3462" s="28"/>
    </row>
    <row r="3463" spans="1:19" x14ac:dyDescent="0.25">
      <c r="A3463" s="28"/>
      <c r="B3463" s="28"/>
      <c r="C3463" s="28"/>
      <c r="D3463" s="28"/>
      <c r="E3463" s="28"/>
      <c r="F3463" s="28"/>
      <c r="G3463" s="28"/>
      <c r="H3463" s="28"/>
      <c r="I3463" s="28"/>
      <c r="J3463" s="28"/>
      <c r="K3463" s="28"/>
      <c r="L3463" s="28"/>
      <c r="M3463" s="28"/>
      <c r="N3463" s="28"/>
      <c r="O3463" s="28"/>
      <c r="P3463" s="28"/>
      <c r="Q3463" s="28"/>
      <c r="R3463" s="28"/>
      <c r="S3463" s="28"/>
    </row>
    <row r="3464" spans="1:19" x14ac:dyDescent="0.25">
      <c r="A3464" s="28"/>
      <c r="B3464" s="28"/>
      <c r="C3464" s="28"/>
      <c r="D3464" s="28"/>
      <c r="E3464" s="28"/>
      <c r="F3464" s="28"/>
      <c r="G3464" s="28"/>
      <c r="H3464" s="28"/>
      <c r="I3464" s="28"/>
      <c r="J3464" s="28"/>
      <c r="K3464" s="28"/>
      <c r="L3464" s="28"/>
      <c r="M3464" s="28"/>
      <c r="N3464" s="28"/>
      <c r="O3464" s="28"/>
      <c r="P3464" s="28"/>
      <c r="Q3464" s="28"/>
      <c r="R3464" s="28"/>
      <c r="S3464" s="28"/>
    </row>
    <row r="3465" spans="1:19" x14ac:dyDescent="0.25">
      <c r="A3465" s="28"/>
      <c r="B3465" s="28"/>
      <c r="C3465" s="28"/>
      <c r="D3465" s="28"/>
      <c r="E3465" s="28"/>
      <c r="F3465" s="28"/>
      <c r="G3465" s="28"/>
      <c r="H3465" s="28"/>
      <c r="I3465" s="28"/>
      <c r="J3465" s="28"/>
      <c r="K3465" s="28"/>
      <c r="L3465" s="28"/>
      <c r="M3465" s="28"/>
      <c r="N3465" s="28"/>
      <c r="O3465" s="28"/>
      <c r="P3465" s="28"/>
      <c r="Q3465" s="28"/>
      <c r="R3465" s="28"/>
      <c r="S3465" s="28"/>
    </row>
    <row r="3466" spans="1:19" x14ac:dyDescent="0.25">
      <c r="A3466" s="28"/>
      <c r="B3466" s="28"/>
      <c r="C3466" s="28"/>
      <c r="D3466" s="28"/>
      <c r="E3466" s="28"/>
      <c r="F3466" s="28"/>
      <c r="G3466" s="28"/>
      <c r="H3466" s="28"/>
      <c r="I3466" s="28"/>
      <c r="J3466" s="28"/>
      <c r="K3466" s="28"/>
      <c r="L3466" s="28"/>
      <c r="M3466" s="28"/>
      <c r="N3466" s="28"/>
      <c r="O3466" s="28"/>
      <c r="P3466" s="28"/>
      <c r="Q3466" s="28"/>
      <c r="R3466" s="28"/>
      <c r="S3466" s="28"/>
    </row>
    <row r="3467" spans="1:19" x14ac:dyDescent="0.25">
      <c r="A3467" s="28"/>
      <c r="B3467" s="28"/>
      <c r="C3467" s="28"/>
      <c r="D3467" s="28"/>
      <c r="E3467" s="28"/>
      <c r="F3467" s="28"/>
      <c r="G3467" s="28"/>
      <c r="H3467" s="28"/>
      <c r="I3467" s="28"/>
      <c r="J3467" s="28"/>
      <c r="K3467" s="28"/>
      <c r="L3467" s="28"/>
      <c r="M3467" s="28"/>
      <c r="N3467" s="28"/>
      <c r="O3467" s="28"/>
      <c r="P3467" s="28"/>
      <c r="Q3467" s="28"/>
      <c r="R3467" s="28"/>
      <c r="S3467" s="28"/>
    </row>
    <row r="3468" spans="1:19" x14ac:dyDescent="0.25">
      <c r="A3468" s="28"/>
      <c r="B3468" s="28"/>
      <c r="C3468" s="28"/>
      <c r="D3468" s="28"/>
      <c r="E3468" s="28"/>
      <c r="F3468" s="28"/>
      <c r="G3468" s="28"/>
      <c r="H3468" s="28"/>
      <c r="I3468" s="28"/>
      <c r="J3468" s="28"/>
      <c r="K3468" s="28"/>
      <c r="L3468" s="28"/>
      <c r="M3468" s="28"/>
      <c r="N3468" s="28"/>
      <c r="O3468" s="28"/>
      <c r="P3468" s="28"/>
      <c r="Q3468" s="28"/>
      <c r="R3468" s="28"/>
      <c r="S3468" s="28"/>
    </row>
    <row r="3469" spans="1:19" x14ac:dyDescent="0.25">
      <c r="A3469" s="28"/>
      <c r="B3469" s="28"/>
      <c r="C3469" s="28"/>
      <c r="D3469" s="28"/>
      <c r="E3469" s="28"/>
      <c r="F3469" s="28"/>
      <c r="G3469" s="28"/>
      <c r="H3469" s="28"/>
      <c r="I3469" s="28"/>
      <c r="J3469" s="28"/>
      <c r="K3469" s="28"/>
      <c r="L3469" s="28"/>
      <c r="M3469" s="28"/>
      <c r="N3469" s="28"/>
      <c r="O3469" s="28"/>
      <c r="P3469" s="28"/>
      <c r="Q3469" s="28"/>
      <c r="R3469" s="28"/>
      <c r="S3469" s="28"/>
    </row>
    <row r="3470" spans="1:19" x14ac:dyDescent="0.25">
      <c r="A3470" s="28"/>
      <c r="B3470" s="28"/>
      <c r="C3470" s="28"/>
      <c r="D3470" s="28"/>
      <c r="E3470" s="28"/>
      <c r="F3470" s="28"/>
      <c r="G3470" s="28"/>
      <c r="H3470" s="28"/>
      <c r="I3470" s="28"/>
      <c r="J3470" s="28"/>
      <c r="K3470" s="28"/>
      <c r="L3470" s="28"/>
      <c r="M3470" s="28"/>
      <c r="N3470" s="28"/>
      <c r="O3470" s="28"/>
      <c r="P3470" s="28"/>
      <c r="Q3470" s="28"/>
      <c r="R3470" s="28"/>
      <c r="S3470" s="28"/>
    </row>
    <row r="3471" spans="1:19" x14ac:dyDescent="0.25">
      <c r="A3471" s="28"/>
      <c r="B3471" s="28"/>
      <c r="C3471" s="28"/>
      <c r="D3471" s="28"/>
      <c r="E3471" s="28"/>
      <c r="F3471" s="28"/>
      <c r="G3471" s="28"/>
      <c r="H3471" s="28"/>
      <c r="I3471" s="28"/>
      <c r="J3471" s="28"/>
      <c r="K3471" s="28"/>
      <c r="L3471" s="28"/>
      <c r="M3471" s="28"/>
      <c r="N3471" s="28"/>
      <c r="O3471" s="28"/>
      <c r="P3471" s="28"/>
      <c r="Q3471" s="28"/>
      <c r="R3471" s="28"/>
      <c r="S3471" s="28"/>
    </row>
    <row r="3472" spans="1:19" x14ac:dyDescent="0.25">
      <c r="A3472" s="28"/>
      <c r="B3472" s="28"/>
      <c r="C3472" s="28"/>
      <c r="D3472" s="28"/>
      <c r="E3472" s="28"/>
      <c r="F3472" s="28"/>
      <c r="G3472" s="28"/>
      <c r="H3472" s="28"/>
      <c r="I3472" s="28"/>
      <c r="J3472" s="28"/>
      <c r="K3472" s="28"/>
      <c r="L3472" s="28"/>
      <c r="M3472" s="28"/>
      <c r="N3472" s="28"/>
      <c r="O3472" s="28"/>
      <c r="P3472" s="28"/>
      <c r="Q3472" s="28"/>
      <c r="R3472" s="28"/>
      <c r="S3472" s="28"/>
    </row>
    <row r="3473" spans="1:19" x14ac:dyDescent="0.25">
      <c r="A3473" s="28"/>
      <c r="B3473" s="28"/>
      <c r="C3473" s="28"/>
      <c r="D3473" s="28"/>
      <c r="E3473" s="28"/>
      <c r="F3473" s="28"/>
      <c r="G3473" s="28"/>
      <c r="H3473" s="28"/>
      <c r="I3473" s="28"/>
      <c r="J3473" s="28"/>
      <c r="K3473" s="28"/>
      <c r="L3473" s="28"/>
      <c r="M3473" s="28"/>
      <c r="N3473" s="28"/>
      <c r="O3473" s="28"/>
      <c r="P3473" s="28"/>
      <c r="Q3473" s="28"/>
      <c r="R3473" s="28"/>
      <c r="S3473" s="28"/>
    </row>
    <row r="3474" spans="1:19" x14ac:dyDescent="0.25">
      <c r="A3474" s="28"/>
      <c r="B3474" s="28"/>
      <c r="C3474" s="28"/>
      <c r="D3474" s="28"/>
      <c r="E3474" s="28"/>
      <c r="F3474" s="28"/>
      <c r="G3474" s="28"/>
      <c r="H3474" s="28"/>
      <c r="I3474" s="28"/>
      <c r="J3474" s="28"/>
      <c r="K3474" s="28"/>
      <c r="L3474" s="28"/>
      <c r="M3474" s="28"/>
      <c r="N3474" s="28"/>
      <c r="O3474" s="28"/>
      <c r="P3474" s="28"/>
      <c r="Q3474" s="28"/>
      <c r="R3474" s="28"/>
      <c r="S3474" s="28"/>
    </row>
    <row r="3475" spans="1:19" x14ac:dyDescent="0.25">
      <c r="A3475" s="28"/>
      <c r="B3475" s="28"/>
      <c r="C3475" s="28"/>
      <c r="D3475" s="28"/>
      <c r="E3475" s="28"/>
      <c r="F3475" s="28"/>
      <c r="G3475" s="28"/>
      <c r="H3475" s="28"/>
      <c r="I3475" s="28"/>
      <c r="J3475" s="28"/>
      <c r="K3475" s="28"/>
      <c r="L3475" s="28"/>
      <c r="M3475" s="28"/>
      <c r="N3475" s="28"/>
      <c r="O3475" s="28"/>
      <c r="P3475" s="28"/>
      <c r="Q3475" s="28"/>
      <c r="R3475" s="28"/>
      <c r="S3475" s="28"/>
    </row>
    <row r="3476" spans="1:19" x14ac:dyDescent="0.25">
      <c r="A3476" s="28"/>
      <c r="B3476" s="28"/>
      <c r="C3476" s="28"/>
      <c r="D3476" s="28"/>
      <c r="E3476" s="28"/>
      <c r="F3476" s="28"/>
      <c r="G3476" s="28"/>
      <c r="H3476" s="28"/>
      <c r="I3476" s="28"/>
      <c r="J3476" s="28"/>
      <c r="K3476" s="28"/>
      <c r="L3476" s="28"/>
      <c r="M3476" s="28"/>
      <c r="N3476" s="28"/>
      <c r="O3476" s="28"/>
      <c r="P3476" s="28"/>
      <c r="Q3476" s="28"/>
      <c r="R3476" s="28"/>
      <c r="S3476" s="28"/>
    </row>
    <row r="3477" spans="1:19" x14ac:dyDescent="0.25">
      <c r="A3477" s="28"/>
      <c r="B3477" s="28"/>
      <c r="C3477" s="28"/>
      <c r="D3477" s="28"/>
      <c r="E3477" s="28"/>
      <c r="F3477" s="28"/>
      <c r="G3477" s="28"/>
      <c r="H3477" s="28"/>
      <c r="I3477" s="28"/>
      <c r="J3477" s="28"/>
      <c r="K3477" s="28"/>
      <c r="L3477" s="28"/>
      <c r="M3477" s="28"/>
      <c r="N3477" s="28"/>
      <c r="O3477" s="28"/>
      <c r="P3477" s="28"/>
      <c r="Q3477" s="28"/>
      <c r="R3477" s="28"/>
      <c r="S3477" s="28"/>
    </row>
    <row r="3478" spans="1:19" x14ac:dyDescent="0.25">
      <c r="A3478" s="28"/>
      <c r="B3478" s="28"/>
      <c r="C3478" s="28"/>
      <c r="D3478" s="28"/>
      <c r="E3478" s="28"/>
      <c r="F3478" s="28"/>
      <c r="G3478" s="28"/>
      <c r="H3478" s="28"/>
      <c r="I3478" s="28"/>
      <c r="J3478" s="28"/>
      <c r="K3478" s="28"/>
      <c r="L3478" s="28"/>
      <c r="M3478" s="28"/>
      <c r="N3478" s="28"/>
      <c r="O3478" s="28"/>
      <c r="P3478" s="28"/>
      <c r="Q3478" s="28"/>
      <c r="R3478" s="28"/>
      <c r="S3478" s="28"/>
    </row>
    <row r="3479" spans="1:19" x14ac:dyDescent="0.25">
      <c r="A3479" s="28"/>
      <c r="B3479" s="28"/>
      <c r="C3479" s="28"/>
      <c r="D3479" s="28"/>
      <c r="E3479" s="28"/>
      <c r="F3479" s="28"/>
      <c r="G3479" s="28"/>
      <c r="H3479" s="28"/>
      <c r="I3479" s="28"/>
      <c r="J3479" s="28"/>
      <c r="K3479" s="28"/>
      <c r="L3479" s="28"/>
      <c r="M3479" s="28"/>
      <c r="N3479" s="28"/>
      <c r="O3479" s="28"/>
      <c r="P3479" s="28"/>
      <c r="Q3479" s="28"/>
      <c r="R3479" s="28"/>
      <c r="S3479" s="28"/>
    </row>
    <row r="3480" spans="1:19" x14ac:dyDescent="0.25">
      <c r="A3480" s="28"/>
      <c r="B3480" s="28"/>
      <c r="C3480" s="28"/>
      <c r="D3480" s="28"/>
      <c r="E3480" s="28"/>
      <c r="F3480" s="28"/>
      <c r="G3480" s="28"/>
      <c r="H3480" s="28"/>
      <c r="I3480" s="28"/>
      <c r="J3480" s="28"/>
      <c r="K3480" s="28"/>
      <c r="L3480" s="28"/>
      <c r="M3480" s="28"/>
      <c r="N3480" s="28"/>
      <c r="O3480" s="28"/>
      <c r="P3480" s="28"/>
      <c r="Q3480" s="28"/>
      <c r="R3480" s="28"/>
      <c r="S3480" s="28"/>
    </row>
    <row r="3481" spans="1:19" x14ac:dyDescent="0.25">
      <c r="A3481" s="28"/>
      <c r="B3481" s="28"/>
      <c r="C3481" s="28"/>
      <c r="D3481" s="28"/>
      <c r="E3481" s="28"/>
      <c r="F3481" s="28"/>
      <c r="G3481" s="28"/>
      <c r="H3481" s="28"/>
      <c r="I3481" s="28"/>
      <c r="J3481" s="28"/>
      <c r="K3481" s="28"/>
      <c r="L3481" s="28"/>
      <c r="M3481" s="28"/>
      <c r="N3481" s="28"/>
      <c r="O3481" s="28"/>
      <c r="P3481" s="28"/>
      <c r="Q3481" s="28"/>
      <c r="R3481" s="28"/>
      <c r="S3481" s="28"/>
    </row>
    <row r="3482" spans="1:19" x14ac:dyDescent="0.25">
      <c r="A3482" s="28"/>
      <c r="B3482" s="28"/>
      <c r="C3482" s="28"/>
      <c r="D3482" s="28"/>
      <c r="E3482" s="28"/>
      <c r="F3482" s="28"/>
      <c r="G3482" s="28"/>
      <c r="H3482" s="28"/>
      <c r="I3482" s="28"/>
      <c r="J3482" s="28"/>
      <c r="K3482" s="28"/>
      <c r="L3482" s="28"/>
      <c r="M3482" s="28"/>
      <c r="N3482" s="28"/>
      <c r="O3482" s="28"/>
      <c r="P3482" s="28"/>
      <c r="Q3482" s="28"/>
      <c r="R3482" s="28"/>
      <c r="S3482" s="28"/>
    </row>
    <row r="3483" spans="1:19" x14ac:dyDescent="0.25">
      <c r="A3483" s="28"/>
      <c r="B3483" s="28"/>
      <c r="C3483" s="28"/>
      <c r="D3483" s="28"/>
      <c r="E3483" s="28"/>
      <c r="F3483" s="28"/>
      <c r="G3483" s="28"/>
      <c r="H3483" s="28"/>
      <c r="I3483" s="28"/>
      <c r="J3483" s="28"/>
      <c r="K3483" s="28"/>
      <c r="L3483" s="28"/>
      <c r="M3483" s="28"/>
      <c r="N3483" s="28"/>
      <c r="O3483" s="28"/>
      <c r="P3483" s="28"/>
      <c r="Q3483" s="28"/>
      <c r="R3483" s="28"/>
      <c r="S3483" s="28"/>
    </row>
    <row r="3484" spans="1:19" x14ac:dyDescent="0.25">
      <c r="A3484" s="28"/>
      <c r="B3484" s="28"/>
      <c r="C3484" s="28"/>
      <c r="D3484" s="28"/>
      <c r="E3484" s="28"/>
      <c r="F3484" s="28"/>
      <c r="G3484" s="28"/>
      <c r="H3484" s="28"/>
      <c r="I3484" s="28"/>
      <c r="J3484" s="28"/>
      <c r="K3484" s="28"/>
      <c r="L3484" s="28"/>
      <c r="M3484" s="28"/>
      <c r="N3484" s="28"/>
      <c r="O3484" s="28"/>
      <c r="P3484" s="28"/>
      <c r="Q3484" s="28"/>
      <c r="R3484" s="28"/>
      <c r="S3484" s="28"/>
    </row>
    <row r="3485" spans="1:19" x14ac:dyDescent="0.25">
      <c r="A3485" s="28"/>
      <c r="B3485" s="28"/>
      <c r="C3485" s="28"/>
      <c r="D3485" s="28"/>
      <c r="E3485" s="28"/>
      <c r="F3485" s="28"/>
      <c r="G3485" s="28"/>
      <c r="H3485" s="28"/>
      <c r="I3485" s="28"/>
      <c r="J3485" s="28"/>
      <c r="K3485" s="28"/>
      <c r="L3485" s="28"/>
      <c r="M3485" s="28"/>
      <c r="N3485" s="28"/>
      <c r="O3485" s="28"/>
      <c r="P3485" s="28"/>
      <c r="Q3485" s="28"/>
      <c r="R3485" s="28"/>
      <c r="S3485" s="28"/>
    </row>
    <row r="3486" spans="1:19" x14ac:dyDescent="0.25">
      <c r="A3486" s="28"/>
      <c r="B3486" s="28"/>
      <c r="C3486" s="28"/>
      <c r="D3486" s="28"/>
      <c r="E3486" s="28"/>
      <c r="F3486" s="28"/>
      <c r="G3486" s="28"/>
      <c r="H3486" s="28"/>
      <c r="I3486" s="28"/>
      <c r="J3486" s="28"/>
      <c r="K3486" s="28"/>
      <c r="L3486" s="28"/>
      <c r="M3486" s="28"/>
      <c r="N3486" s="28"/>
      <c r="O3486" s="28"/>
      <c r="P3486" s="28"/>
      <c r="Q3486" s="28"/>
      <c r="R3486" s="28"/>
      <c r="S3486" s="28"/>
    </row>
    <row r="3487" spans="1:19" x14ac:dyDescent="0.25">
      <c r="A3487" s="28"/>
      <c r="B3487" s="28"/>
      <c r="C3487" s="28"/>
      <c r="D3487" s="28"/>
      <c r="E3487" s="28"/>
      <c r="F3487" s="28"/>
      <c r="G3487" s="28"/>
      <c r="H3487" s="28"/>
      <c r="I3487" s="28"/>
      <c r="J3487" s="28"/>
      <c r="K3487" s="28"/>
      <c r="L3487" s="28"/>
      <c r="M3487" s="28"/>
      <c r="N3487" s="28"/>
      <c r="O3487" s="28"/>
      <c r="P3487" s="28"/>
      <c r="Q3487" s="28"/>
      <c r="R3487" s="28"/>
      <c r="S3487" s="28"/>
    </row>
    <row r="3488" spans="1:19" x14ac:dyDescent="0.25">
      <c r="A3488" s="28"/>
      <c r="B3488" s="28"/>
      <c r="C3488" s="28"/>
      <c r="D3488" s="28"/>
      <c r="E3488" s="28"/>
      <c r="F3488" s="28"/>
      <c r="G3488" s="28"/>
      <c r="H3488" s="28"/>
      <c r="I3488" s="28"/>
      <c r="J3488" s="28"/>
      <c r="K3488" s="28"/>
      <c r="L3488" s="28"/>
      <c r="M3488" s="28"/>
      <c r="N3488" s="28"/>
      <c r="O3488" s="28"/>
      <c r="P3488" s="28"/>
      <c r="Q3488" s="28"/>
      <c r="R3488" s="28"/>
      <c r="S3488" s="28"/>
    </row>
    <row r="3489" spans="1:19" x14ac:dyDescent="0.25">
      <c r="A3489" s="28"/>
      <c r="B3489" s="28"/>
      <c r="C3489" s="28"/>
      <c r="D3489" s="28"/>
      <c r="E3489" s="28"/>
      <c r="F3489" s="28"/>
      <c r="G3489" s="28"/>
      <c r="H3489" s="28"/>
      <c r="I3489" s="28"/>
      <c r="J3489" s="28"/>
      <c r="K3489" s="28"/>
      <c r="L3489" s="28"/>
      <c r="M3489" s="28"/>
      <c r="N3489" s="28"/>
      <c r="O3489" s="28"/>
      <c r="P3489" s="28"/>
      <c r="Q3489" s="28"/>
      <c r="R3489" s="28"/>
      <c r="S3489" s="28"/>
    </row>
    <row r="3490" spans="1:19" x14ac:dyDescent="0.25">
      <c r="A3490" s="28"/>
      <c r="B3490" s="28"/>
      <c r="C3490" s="28"/>
      <c r="D3490" s="28"/>
      <c r="E3490" s="28"/>
      <c r="F3490" s="28"/>
      <c r="G3490" s="28"/>
      <c r="H3490" s="28"/>
      <c r="I3490" s="28"/>
      <c r="J3490" s="28"/>
      <c r="K3490" s="28"/>
      <c r="L3490" s="28"/>
      <c r="M3490" s="28"/>
      <c r="N3490" s="28"/>
      <c r="O3490" s="28"/>
      <c r="P3490" s="28"/>
      <c r="Q3490" s="28"/>
      <c r="R3490" s="28"/>
      <c r="S3490" s="28"/>
    </row>
    <row r="3491" spans="1:19" x14ac:dyDescent="0.25">
      <c r="A3491" s="28"/>
      <c r="B3491" s="28"/>
      <c r="C3491" s="28"/>
      <c r="D3491" s="28"/>
      <c r="E3491" s="28"/>
      <c r="F3491" s="28"/>
      <c r="G3491" s="28"/>
      <c r="H3491" s="28"/>
      <c r="I3491" s="28"/>
      <c r="J3491" s="28"/>
      <c r="K3491" s="28"/>
      <c r="L3491" s="28"/>
      <c r="M3491" s="28"/>
      <c r="N3491" s="28"/>
      <c r="O3491" s="28"/>
      <c r="P3491" s="28"/>
      <c r="Q3491" s="28"/>
      <c r="R3491" s="28"/>
      <c r="S3491" s="28"/>
    </row>
    <row r="3492" spans="1:19" x14ac:dyDescent="0.25">
      <c r="A3492" s="28"/>
      <c r="B3492" s="28"/>
      <c r="C3492" s="28"/>
      <c r="D3492" s="28"/>
      <c r="E3492" s="28"/>
      <c r="F3492" s="28"/>
      <c r="G3492" s="28"/>
      <c r="H3492" s="28"/>
      <c r="I3492" s="28"/>
      <c r="J3492" s="28"/>
      <c r="K3492" s="28"/>
      <c r="L3492" s="28"/>
      <c r="M3492" s="28"/>
      <c r="N3492" s="28"/>
      <c r="O3492" s="28"/>
      <c r="P3492" s="28"/>
      <c r="Q3492" s="28"/>
      <c r="R3492" s="28"/>
      <c r="S3492" s="28"/>
    </row>
    <row r="3493" spans="1:19" x14ac:dyDescent="0.25">
      <c r="A3493" s="28"/>
      <c r="B3493" s="28"/>
      <c r="C3493" s="28"/>
      <c r="D3493" s="28"/>
      <c r="E3493" s="28"/>
      <c r="F3493" s="28"/>
      <c r="G3493" s="28"/>
      <c r="H3493" s="28"/>
      <c r="I3493" s="28"/>
      <c r="J3493" s="28"/>
      <c r="K3493" s="28"/>
      <c r="L3493" s="28"/>
      <c r="M3493" s="28"/>
      <c r="N3493" s="28"/>
      <c r="O3493" s="28"/>
      <c r="P3493" s="28"/>
      <c r="Q3493" s="28"/>
      <c r="R3493" s="28"/>
      <c r="S3493" s="28"/>
    </row>
    <row r="3494" spans="1:19" x14ac:dyDescent="0.25">
      <c r="A3494" s="28"/>
      <c r="B3494" s="28"/>
      <c r="C3494" s="28"/>
      <c r="D3494" s="28"/>
      <c r="E3494" s="28"/>
      <c r="F3494" s="28"/>
      <c r="G3494" s="28"/>
      <c r="H3494" s="28"/>
      <c r="I3494" s="28"/>
      <c r="J3494" s="28"/>
      <c r="K3494" s="28"/>
      <c r="L3494" s="28"/>
      <c r="M3494" s="28"/>
      <c r="N3494" s="28"/>
      <c r="O3494" s="28"/>
      <c r="P3494" s="28"/>
      <c r="Q3494" s="28"/>
      <c r="R3494" s="28"/>
      <c r="S3494" s="28"/>
    </row>
    <row r="3495" spans="1:19" x14ac:dyDescent="0.25">
      <c r="A3495" s="28"/>
      <c r="B3495" s="28"/>
      <c r="C3495" s="28"/>
      <c r="D3495" s="28"/>
      <c r="E3495" s="28"/>
      <c r="F3495" s="28"/>
      <c r="G3495" s="28"/>
      <c r="H3495" s="28"/>
      <c r="I3495" s="28"/>
      <c r="J3495" s="28"/>
      <c r="K3495" s="28"/>
      <c r="L3495" s="28"/>
      <c r="M3495" s="28"/>
      <c r="N3495" s="28"/>
      <c r="O3495" s="28"/>
      <c r="P3495" s="28"/>
      <c r="Q3495" s="28"/>
      <c r="R3495" s="28"/>
      <c r="S3495" s="28"/>
    </row>
    <row r="3496" spans="1:19" x14ac:dyDescent="0.25">
      <c r="A3496" s="28"/>
      <c r="B3496" s="28"/>
      <c r="C3496" s="28"/>
      <c r="D3496" s="28"/>
      <c r="E3496" s="28"/>
      <c r="F3496" s="28"/>
      <c r="G3496" s="28"/>
      <c r="H3496" s="28"/>
      <c r="I3496" s="28"/>
      <c r="J3496" s="28"/>
      <c r="K3496" s="28"/>
      <c r="L3496" s="28"/>
      <c r="M3496" s="28"/>
      <c r="N3496" s="28"/>
      <c r="O3496" s="28"/>
      <c r="P3496" s="28"/>
      <c r="Q3496" s="28"/>
      <c r="R3496" s="28"/>
      <c r="S3496" s="28"/>
    </row>
    <row r="3497" spans="1:19" x14ac:dyDescent="0.25">
      <c r="A3497" s="28"/>
      <c r="B3497" s="28"/>
      <c r="C3497" s="28"/>
      <c r="D3497" s="28"/>
      <c r="E3497" s="28"/>
      <c r="F3497" s="28"/>
      <c r="G3497" s="28"/>
      <c r="H3497" s="28"/>
      <c r="I3497" s="28"/>
      <c r="J3497" s="28"/>
      <c r="K3497" s="28"/>
      <c r="L3497" s="28"/>
      <c r="M3497" s="28"/>
      <c r="N3497" s="28"/>
      <c r="O3497" s="28"/>
      <c r="P3497" s="28"/>
      <c r="Q3497" s="28"/>
      <c r="R3497" s="28"/>
      <c r="S3497" s="28"/>
    </row>
    <row r="3498" spans="1:19" x14ac:dyDescent="0.25">
      <c r="A3498" s="28"/>
      <c r="B3498" s="28"/>
      <c r="C3498" s="28"/>
      <c r="D3498" s="28"/>
      <c r="E3498" s="28"/>
      <c r="F3498" s="28"/>
      <c r="G3498" s="28"/>
      <c r="H3498" s="28"/>
      <c r="I3498" s="28"/>
      <c r="J3498" s="28"/>
      <c r="K3498" s="28"/>
      <c r="L3498" s="28"/>
      <c r="M3498" s="28"/>
      <c r="N3498" s="28"/>
      <c r="O3498" s="28"/>
      <c r="P3498" s="28"/>
      <c r="Q3498" s="28"/>
      <c r="R3498" s="28"/>
      <c r="S3498" s="28"/>
    </row>
    <row r="3499" spans="1:19" x14ac:dyDescent="0.25">
      <c r="A3499" s="28"/>
      <c r="B3499" s="28"/>
      <c r="C3499" s="28"/>
      <c r="D3499" s="28"/>
      <c r="E3499" s="28"/>
      <c r="F3499" s="28"/>
      <c r="G3499" s="28"/>
      <c r="H3499" s="28"/>
      <c r="I3499" s="28"/>
      <c r="J3499" s="28"/>
      <c r="K3499" s="28"/>
      <c r="L3499" s="28"/>
      <c r="M3499" s="28"/>
      <c r="N3499" s="28"/>
      <c r="O3499" s="28"/>
      <c r="P3499" s="28"/>
      <c r="Q3499" s="28"/>
      <c r="R3499" s="28"/>
      <c r="S3499" s="28"/>
    </row>
    <row r="3500" spans="1:19" x14ac:dyDescent="0.25">
      <c r="A3500" s="28"/>
      <c r="B3500" s="28"/>
      <c r="C3500" s="28"/>
      <c r="D3500" s="28"/>
      <c r="E3500" s="28"/>
      <c r="F3500" s="28"/>
      <c r="G3500" s="28"/>
      <c r="H3500" s="28"/>
      <c r="I3500" s="28"/>
      <c r="J3500" s="28"/>
      <c r="K3500" s="28"/>
      <c r="L3500" s="28"/>
      <c r="M3500" s="28"/>
      <c r="N3500" s="28"/>
      <c r="O3500" s="28"/>
      <c r="P3500" s="28"/>
      <c r="Q3500" s="28"/>
      <c r="R3500" s="28"/>
      <c r="S3500" s="28"/>
    </row>
    <row r="3501" spans="1:19" x14ac:dyDescent="0.25">
      <c r="A3501" s="28"/>
      <c r="B3501" s="28"/>
      <c r="C3501" s="28"/>
      <c r="D3501" s="28"/>
      <c r="E3501" s="28"/>
      <c r="F3501" s="28"/>
      <c r="G3501" s="28"/>
      <c r="H3501" s="28"/>
      <c r="I3501" s="28"/>
      <c r="J3501" s="28"/>
      <c r="K3501" s="28"/>
      <c r="L3501" s="28"/>
      <c r="M3501" s="28"/>
      <c r="N3501" s="28"/>
      <c r="O3501" s="28"/>
      <c r="P3501" s="28"/>
      <c r="Q3501" s="28"/>
      <c r="R3501" s="28"/>
      <c r="S3501" s="28"/>
    </row>
    <row r="3502" spans="1:19" x14ac:dyDescent="0.25">
      <c r="A3502" s="28"/>
      <c r="B3502" s="28"/>
      <c r="C3502" s="28"/>
      <c r="D3502" s="28"/>
      <c r="E3502" s="28"/>
      <c r="F3502" s="28"/>
      <c r="G3502" s="28"/>
      <c r="H3502" s="28"/>
      <c r="I3502" s="28"/>
      <c r="J3502" s="28"/>
      <c r="K3502" s="28"/>
      <c r="L3502" s="28"/>
      <c r="M3502" s="28"/>
      <c r="N3502" s="28"/>
      <c r="O3502" s="28"/>
      <c r="P3502" s="28"/>
      <c r="Q3502" s="28"/>
      <c r="R3502" s="28"/>
      <c r="S3502" s="28"/>
    </row>
    <row r="3503" spans="1:19" x14ac:dyDescent="0.25">
      <c r="A3503" s="28"/>
      <c r="B3503" s="28"/>
      <c r="C3503" s="28"/>
      <c r="D3503" s="28"/>
      <c r="E3503" s="28"/>
      <c r="F3503" s="28"/>
      <c r="G3503" s="28"/>
      <c r="H3503" s="28"/>
      <c r="I3503" s="28"/>
      <c r="J3503" s="28"/>
      <c r="K3503" s="28"/>
      <c r="L3503" s="28"/>
      <c r="M3503" s="28"/>
      <c r="N3503" s="28"/>
      <c r="O3503" s="28"/>
      <c r="P3503" s="28"/>
      <c r="Q3503" s="28"/>
      <c r="R3503" s="28"/>
      <c r="S3503" s="28"/>
    </row>
    <row r="3504" spans="1:19" x14ac:dyDescent="0.25">
      <c r="A3504" s="28"/>
      <c r="B3504" s="28"/>
      <c r="C3504" s="28"/>
      <c r="D3504" s="28"/>
      <c r="E3504" s="28"/>
      <c r="F3504" s="28"/>
      <c r="G3504" s="28"/>
      <c r="H3504" s="28"/>
      <c r="I3504" s="28"/>
      <c r="J3504" s="28"/>
      <c r="K3504" s="28"/>
      <c r="L3504" s="28"/>
      <c r="M3504" s="28"/>
      <c r="N3504" s="28"/>
      <c r="O3504" s="28"/>
      <c r="P3504" s="28"/>
      <c r="Q3504" s="28"/>
      <c r="R3504" s="28"/>
      <c r="S3504" s="28"/>
    </row>
    <row r="3505" spans="1:19" x14ac:dyDescent="0.25">
      <c r="A3505" s="28"/>
      <c r="B3505" s="28"/>
      <c r="C3505" s="28"/>
      <c r="D3505" s="28"/>
      <c r="E3505" s="28"/>
      <c r="F3505" s="28"/>
      <c r="G3505" s="28"/>
      <c r="H3505" s="28"/>
      <c r="I3505" s="28"/>
      <c r="J3505" s="28"/>
      <c r="K3505" s="28"/>
      <c r="L3505" s="28"/>
      <c r="M3505" s="28"/>
      <c r="N3505" s="28"/>
      <c r="O3505" s="28"/>
      <c r="P3505" s="28"/>
      <c r="Q3505" s="28"/>
      <c r="R3505" s="28"/>
      <c r="S3505" s="28"/>
    </row>
    <row r="3506" spans="1:19" x14ac:dyDescent="0.25">
      <c r="A3506" s="28"/>
      <c r="B3506" s="28"/>
      <c r="C3506" s="28"/>
      <c r="D3506" s="28"/>
      <c r="E3506" s="28"/>
      <c r="F3506" s="28"/>
      <c r="G3506" s="28"/>
      <c r="H3506" s="28"/>
      <c r="I3506" s="28"/>
      <c r="J3506" s="28"/>
      <c r="K3506" s="28"/>
      <c r="L3506" s="28"/>
      <c r="M3506" s="28"/>
      <c r="N3506" s="28"/>
      <c r="O3506" s="28"/>
      <c r="P3506" s="28"/>
      <c r="Q3506" s="28"/>
      <c r="R3506" s="28"/>
      <c r="S3506" s="28"/>
    </row>
    <row r="3507" spans="1:19" x14ac:dyDescent="0.25">
      <c r="A3507" s="28"/>
      <c r="B3507" s="28"/>
      <c r="C3507" s="28"/>
      <c r="D3507" s="28"/>
      <c r="E3507" s="28"/>
      <c r="F3507" s="28"/>
      <c r="G3507" s="28"/>
      <c r="H3507" s="28"/>
      <c r="I3507" s="28"/>
      <c r="J3507" s="28"/>
      <c r="K3507" s="28"/>
      <c r="L3507" s="28"/>
      <c r="M3507" s="28"/>
      <c r="N3507" s="28"/>
      <c r="O3507" s="28"/>
      <c r="P3507" s="28"/>
      <c r="Q3507" s="28"/>
      <c r="R3507" s="28"/>
      <c r="S3507" s="28"/>
    </row>
    <row r="3508" spans="1:19" x14ac:dyDescent="0.25">
      <c r="A3508" s="28"/>
      <c r="B3508" s="28"/>
      <c r="C3508" s="28"/>
      <c r="D3508" s="28"/>
      <c r="E3508" s="28"/>
      <c r="F3508" s="28"/>
      <c r="G3508" s="28"/>
      <c r="H3508" s="28"/>
      <c r="I3508" s="28"/>
      <c r="J3508" s="28"/>
      <c r="K3508" s="28"/>
      <c r="L3508" s="28"/>
      <c r="M3508" s="28"/>
      <c r="N3508" s="28"/>
      <c r="O3508" s="28"/>
      <c r="P3508" s="28"/>
      <c r="Q3508" s="28"/>
      <c r="R3508" s="28"/>
      <c r="S3508" s="28"/>
    </row>
    <row r="3509" spans="1:19" x14ac:dyDescent="0.25">
      <c r="A3509" s="28"/>
      <c r="B3509" s="28"/>
      <c r="C3509" s="28"/>
      <c r="D3509" s="28"/>
      <c r="E3509" s="28"/>
      <c r="F3509" s="28"/>
      <c r="G3509" s="28"/>
      <c r="H3509" s="28"/>
      <c r="I3509" s="28"/>
      <c r="J3509" s="28"/>
      <c r="K3509" s="28"/>
      <c r="L3509" s="28"/>
      <c r="M3509" s="28"/>
      <c r="N3509" s="28"/>
      <c r="O3509" s="28"/>
      <c r="P3509" s="28"/>
      <c r="Q3509" s="28"/>
      <c r="R3509" s="28"/>
      <c r="S3509" s="28"/>
    </row>
    <row r="3510" spans="1:19" x14ac:dyDescent="0.25">
      <c r="A3510" s="28"/>
      <c r="B3510" s="28"/>
      <c r="C3510" s="28"/>
      <c r="D3510" s="28"/>
      <c r="E3510" s="28"/>
      <c r="F3510" s="28"/>
      <c r="G3510" s="28"/>
      <c r="H3510" s="28"/>
      <c r="I3510" s="28"/>
      <c r="J3510" s="28"/>
      <c r="K3510" s="28"/>
      <c r="L3510" s="28"/>
      <c r="M3510" s="28"/>
      <c r="N3510" s="28"/>
      <c r="O3510" s="28"/>
      <c r="P3510" s="28"/>
      <c r="Q3510" s="28"/>
      <c r="R3510" s="28"/>
      <c r="S3510" s="28"/>
    </row>
    <row r="3511" spans="1:19" x14ac:dyDescent="0.25">
      <c r="A3511" s="28"/>
      <c r="B3511" s="28"/>
      <c r="C3511" s="28"/>
      <c r="D3511" s="28"/>
      <c r="E3511" s="28"/>
      <c r="F3511" s="28"/>
      <c r="G3511" s="28"/>
      <c r="H3511" s="28"/>
      <c r="I3511" s="28"/>
      <c r="J3511" s="28"/>
      <c r="K3511" s="28"/>
      <c r="L3511" s="28"/>
      <c r="M3511" s="28"/>
      <c r="N3511" s="28"/>
      <c r="O3511" s="28"/>
      <c r="P3511" s="28"/>
      <c r="Q3511" s="28"/>
      <c r="R3511" s="28"/>
      <c r="S3511" s="28"/>
    </row>
    <row r="3512" spans="1:19" x14ac:dyDescent="0.25">
      <c r="A3512" s="28"/>
      <c r="B3512" s="28"/>
      <c r="C3512" s="28"/>
      <c r="D3512" s="28"/>
      <c r="E3512" s="28"/>
      <c r="F3512" s="28"/>
      <c r="G3512" s="28"/>
      <c r="H3512" s="28"/>
      <c r="I3512" s="28"/>
      <c r="J3512" s="28"/>
      <c r="K3512" s="28"/>
      <c r="L3512" s="28"/>
      <c r="M3512" s="28"/>
      <c r="N3512" s="28"/>
      <c r="O3512" s="28"/>
      <c r="P3512" s="28"/>
      <c r="Q3512" s="28"/>
      <c r="R3512" s="28"/>
      <c r="S3512" s="28"/>
    </row>
    <row r="3513" spans="1:19" x14ac:dyDescent="0.25">
      <c r="A3513" s="28"/>
      <c r="B3513" s="28"/>
      <c r="C3513" s="28"/>
      <c r="D3513" s="28"/>
      <c r="E3513" s="28"/>
      <c r="F3513" s="28"/>
      <c r="G3513" s="28"/>
      <c r="H3513" s="28"/>
      <c r="I3513" s="28"/>
      <c r="J3513" s="28"/>
      <c r="K3513" s="28"/>
      <c r="L3513" s="28"/>
      <c r="M3513" s="28"/>
      <c r="N3513" s="28"/>
      <c r="O3513" s="28"/>
      <c r="P3513" s="28"/>
      <c r="Q3513" s="28"/>
      <c r="R3513" s="28"/>
      <c r="S3513" s="28"/>
    </row>
    <row r="3514" spans="1:19" x14ac:dyDescent="0.25">
      <c r="A3514" s="28"/>
      <c r="B3514" s="28"/>
      <c r="C3514" s="28"/>
      <c r="D3514" s="28"/>
      <c r="E3514" s="28"/>
      <c r="F3514" s="28"/>
      <c r="G3514" s="28"/>
      <c r="H3514" s="28"/>
      <c r="I3514" s="28"/>
      <c r="J3514" s="28"/>
      <c r="K3514" s="28"/>
      <c r="L3514" s="28"/>
      <c r="M3514" s="28"/>
      <c r="N3514" s="28"/>
      <c r="O3514" s="28"/>
      <c r="P3514" s="28"/>
      <c r="Q3514" s="28"/>
      <c r="R3514" s="28"/>
      <c r="S3514" s="28"/>
    </row>
    <row r="3515" spans="1:19" x14ac:dyDescent="0.25">
      <c r="A3515" s="28"/>
      <c r="B3515" s="28"/>
      <c r="C3515" s="28"/>
      <c r="D3515" s="28"/>
      <c r="E3515" s="28"/>
      <c r="F3515" s="28"/>
      <c r="G3515" s="28"/>
      <c r="H3515" s="28"/>
      <c r="I3515" s="28"/>
      <c r="J3515" s="28"/>
      <c r="K3515" s="28"/>
      <c r="L3515" s="28"/>
      <c r="M3515" s="28"/>
      <c r="N3515" s="28"/>
      <c r="O3515" s="28"/>
      <c r="P3515" s="28"/>
      <c r="Q3515" s="28"/>
      <c r="R3515" s="28"/>
      <c r="S3515" s="28"/>
    </row>
    <row r="3516" spans="1:19" x14ac:dyDescent="0.25">
      <c r="A3516" s="28"/>
      <c r="B3516" s="28"/>
      <c r="C3516" s="28"/>
      <c r="D3516" s="28"/>
      <c r="E3516" s="28"/>
      <c r="F3516" s="28"/>
      <c r="G3516" s="28"/>
      <c r="H3516" s="28"/>
      <c r="I3516" s="28"/>
      <c r="J3516" s="28"/>
      <c r="K3516" s="28"/>
      <c r="L3516" s="28"/>
      <c r="M3516" s="28"/>
      <c r="N3516" s="28"/>
      <c r="O3516" s="28"/>
      <c r="P3516" s="28"/>
      <c r="Q3516" s="28"/>
      <c r="R3516" s="28"/>
      <c r="S3516" s="28"/>
    </row>
    <row r="3517" spans="1:19" x14ac:dyDescent="0.25">
      <c r="A3517" s="28"/>
      <c r="B3517" s="28"/>
      <c r="C3517" s="28"/>
      <c r="D3517" s="28"/>
      <c r="E3517" s="28"/>
      <c r="F3517" s="28"/>
      <c r="G3517" s="28"/>
      <c r="H3517" s="28"/>
      <c r="I3517" s="28"/>
      <c r="J3517" s="28"/>
      <c r="K3517" s="28"/>
      <c r="L3517" s="28"/>
      <c r="M3517" s="28"/>
      <c r="N3517" s="28"/>
      <c r="O3517" s="28"/>
      <c r="P3517" s="28"/>
      <c r="Q3517" s="28"/>
      <c r="R3517" s="28"/>
      <c r="S3517" s="28"/>
    </row>
    <row r="3518" spans="1:19" x14ac:dyDescent="0.25">
      <c r="A3518" s="28"/>
      <c r="B3518" s="28"/>
      <c r="C3518" s="28"/>
      <c r="D3518" s="28"/>
      <c r="E3518" s="28"/>
      <c r="F3518" s="28"/>
      <c r="G3518" s="28"/>
      <c r="H3518" s="28"/>
      <c r="I3518" s="28"/>
      <c r="J3518" s="28"/>
      <c r="K3518" s="28"/>
      <c r="L3518" s="28"/>
      <c r="M3518" s="28"/>
      <c r="N3518" s="28"/>
      <c r="O3518" s="28"/>
      <c r="P3518" s="28"/>
      <c r="Q3518" s="28"/>
      <c r="R3518" s="28"/>
      <c r="S3518" s="28"/>
    </row>
    <row r="3519" spans="1:19" x14ac:dyDescent="0.25">
      <c r="A3519" s="28"/>
      <c r="B3519" s="28"/>
      <c r="C3519" s="28"/>
      <c r="D3519" s="28"/>
      <c r="E3519" s="28"/>
      <c r="F3519" s="28"/>
      <c r="G3519" s="28"/>
      <c r="H3519" s="28"/>
      <c r="I3519" s="28"/>
      <c r="J3519" s="28"/>
      <c r="K3519" s="28"/>
      <c r="L3519" s="28"/>
      <c r="M3519" s="28"/>
      <c r="N3519" s="28"/>
      <c r="O3519" s="28"/>
      <c r="P3519" s="28"/>
      <c r="Q3519" s="28"/>
      <c r="R3519" s="28"/>
      <c r="S3519" s="28"/>
    </row>
    <row r="3520" spans="1:19" x14ac:dyDescent="0.25">
      <c r="A3520" s="28"/>
      <c r="B3520" s="28"/>
      <c r="C3520" s="28"/>
      <c r="D3520" s="28"/>
      <c r="E3520" s="28"/>
      <c r="F3520" s="28"/>
      <c r="G3520" s="28"/>
      <c r="H3520" s="28"/>
      <c r="I3520" s="28"/>
      <c r="J3520" s="28"/>
      <c r="K3520" s="28"/>
      <c r="L3520" s="28"/>
      <c r="M3520" s="28"/>
      <c r="N3520" s="28"/>
      <c r="O3520" s="28"/>
      <c r="P3520" s="28"/>
      <c r="Q3520" s="28"/>
      <c r="R3520" s="28"/>
      <c r="S3520" s="28"/>
    </row>
    <row r="3521" spans="1:19" x14ac:dyDescent="0.25">
      <c r="A3521" s="28"/>
      <c r="B3521" s="28"/>
      <c r="C3521" s="28"/>
      <c r="D3521" s="28"/>
      <c r="E3521" s="28"/>
      <c r="F3521" s="28"/>
      <c r="G3521" s="28"/>
      <c r="H3521" s="28"/>
      <c r="I3521" s="28"/>
      <c r="J3521" s="28"/>
      <c r="K3521" s="28"/>
      <c r="L3521" s="28"/>
      <c r="M3521" s="28"/>
      <c r="N3521" s="28"/>
      <c r="O3521" s="28"/>
      <c r="P3521" s="28"/>
      <c r="Q3521" s="28"/>
      <c r="R3521" s="28"/>
      <c r="S3521" s="28"/>
    </row>
    <row r="3522" spans="1:19" x14ac:dyDescent="0.25">
      <c r="A3522" s="28"/>
      <c r="B3522" s="28"/>
      <c r="C3522" s="28"/>
      <c r="D3522" s="28"/>
      <c r="E3522" s="28"/>
      <c r="F3522" s="28"/>
      <c r="G3522" s="28"/>
      <c r="H3522" s="28"/>
      <c r="I3522" s="28"/>
      <c r="J3522" s="28"/>
      <c r="K3522" s="28"/>
      <c r="L3522" s="28"/>
      <c r="M3522" s="28"/>
      <c r="N3522" s="28"/>
      <c r="O3522" s="28"/>
      <c r="P3522" s="28"/>
      <c r="Q3522" s="28"/>
      <c r="R3522" s="28"/>
      <c r="S3522" s="28"/>
    </row>
    <row r="3523" spans="1:19" x14ac:dyDescent="0.25">
      <c r="A3523" s="28"/>
      <c r="B3523" s="28"/>
      <c r="C3523" s="28"/>
      <c r="D3523" s="28"/>
      <c r="E3523" s="28"/>
      <c r="F3523" s="28"/>
      <c r="G3523" s="28"/>
      <c r="H3523" s="28"/>
      <c r="I3523" s="28"/>
      <c r="J3523" s="28"/>
      <c r="K3523" s="28"/>
      <c r="L3523" s="28"/>
      <c r="M3523" s="28"/>
      <c r="N3523" s="28"/>
      <c r="O3523" s="28"/>
      <c r="P3523" s="28"/>
      <c r="Q3523" s="28"/>
      <c r="R3523" s="28"/>
      <c r="S3523" s="28"/>
    </row>
    <row r="3524" spans="1:19" x14ac:dyDescent="0.25">
      <c r="A3524" s="28"/>
      <c r="B3524" s="28"/>
      <c r="C3524" s="28"/>
      <c r="D3524" s="28"/>
      <c r="E3524" s="28"/>
      <c r="F3524" s="28"/>
      <c r="G3524" s="28"/>
      <c r="H3524" s="28"/>
      <c r="I3524" s="28"/>
      <c r="J3524" s="28"/>
      <c r="K3524" s="28"/>
      <c r="L3524" s="28"/>
      <c r="M3524" s="28"/>
      <c r="N3524" s="28"/>
      <c r="O3524" s="28"/>
      <c r="P3524" s="28"/>
      <c r="Q3524" s="28"/>
      <c r="R3524" s="28"/>
      <c r="S3524" s="28"/>
    </row>
    <row r="3525" spans="1:19" x14ac:dyDescent="0.25">
      <c r="A3525" s="28"/>
      <c r="B3525" s="28"/>
      <c r="C3525" s="28"/>
      <c r="D3525" s="28"/>
      <c r="E3525" s="28"/>
      <c r="F3525" s="28"/>
      <c r="G3525" s="28"/>
      <c r="H3525" s="28"/>
      <c r="I3525" s="28"/>
      <c r="J3525" s="28"/>
      <c r="K3525" s="28"/>
      <c r="L3525" s="28"/>
      <c r="M3525" s="28"/>
      <c r="N3525" s="28"/>
      <c r="O3525" s="28"/>
      <c r="P3525" s="28"/>
      <c r="Q3525" s="28"/>
      <c r="R3525" s="28"/>
      <c r="S3525" s="28"/>
    </row>
    <row r="3526" spans="1:19" x14ac:dyDescent="0.25">
      <c r="A3526" s="28"/>
      <c r="B3526" s="28"/>
      <c r="C3526" s="28"/>
      <c r="D3526" s="28"/>
      <c r="E3526" s="28"/>
      <c r="F3526" s="28"/>
      <c r="G3526" s="28"/>
      <c r="H3526" s="28"/>
      <c r="I3526" s="28"/>
      <c r="J3526" s="28"/>
      <c r="K3526" s="28"/>
      <c r="L3526" s="28"/>
      <c r="M3526" s="28"/>
      <c r="N3526" s="28"/>
      <c r="O3526" s="28"/>
      <c r="P3526" s="28"/>
      <c r="Q3526" s="28"/>
      <c r="R3526" s="28"/>
      <c r="S3526" s="28"/>
    </row>
    <row r="3527" spans="1:19" x14ac:dyDescent="0.25">
      <c r="A3527" s="28"/>
      <c r="B3527" s="28"/>
      <c r="C3527" s="28"/>
      <c r="D3527" s="28"/>
      <c r="E3527" s="28"/>
      <c r="F3527" s="28"/>
      <c r="G3527" s="28"/>
      <c r="H3527" s="28"/>
      <c r="I3527" s="28"/>
      <c r="J3527" s="28"/>
      <c r="K3527" s="28"/>
      <c r="L3527" s="28"/>
      <c r="M3527" s="28"/>
      <c r="N3527" s="28"/>
      <c r="O3527" s="28"/>
      <c r="P3527" s="28"/>
      <c r="Q3527" s="28"/>
      <c r="R3527" s="28"/>
      <c r="S3527" s="28"/>
    </row>
    <row r="3528" spans="1:19" x14ac:dyDescent="0.25">
      <c r="A3528" s="28"/>
      <c r="B3528" s="28"/>
      <c r="C3528" s="28"/>
      <c r="D3528" s="28"/>
      <c r="E3528" s="28"/>
      <c r="F3528" s="28"/>
      <c r="G3528" s="28"/>
      <c r="H3528" s="28"/>
      <c r="I3528" s="28"/>
      <c r="J3528" s="28"/>
      <c r="K3528" s="28"/>
      <c r="L3528" s="28"/>
      <c r="M3528" s="28"/>
      <c r="N3528" s="28"/>
      <c r="O3528" s="28"/>
      <c r="P3528" s="28"/>
      <c r="Q3528" s="28"/>
      <c r="R3528" s="28"/>
      <c r="S3528" s="28"/>
    </row>
    <row r="3529" spans="1:19" x14ac:dyDescent="0.25">
      <c r="A3529" s="28"/>
      <c r="B3529" s="28"/>
      <c r="C3529" s="28"/>
      <c r="D3529" s="28"/>
      <c r="E3529" s="28"/>
      <c r="F3529" s="28"/>
      <c r="G3529" s="28"/>
      <c r="H3529" s="28"/>
      <c r="I3529" s="28"/>
      <c r="J3529" s="28"/>
      <c r="K3529" s="28"/>
      <c r="L3529" s="28"/>
      <c r="M3529" s="28"/>
      <c r="N3529" s="28"/>
      <c r="O3529" s="28"/>
      <c r="P3529" s="28"/>
      <c r="Q3529" s="28"/>
      <c r="R3529" s="28"/>
      <c r="S3529" s="28"/>
    </row>
    <row r="3530" spans="1:19" x14ac:dyDescent="0.25">
      <c r="A3530" s="28"/>
      <c r="B3530" s="28"/>
      <c r="C3530" s="28"/>
      <c r="D3530" s="28"/>
      <c r="E3530" s="28"/>
      <c r="F3530" s="28"/>
      <c r="G3530" s="28"/>
      <c r="H3530" s="28"/>
      <c r="I3530" s="28"/>
      <c r="J3530" s="28"/>
      <c r="K3530" s="28"/>
      <c r="L3530" s="28"/>
      <c r="M3530" s="28"/>
      <c r="N3530" s="28"/>
      <c r="O3530" s="28"/>
      <c r="P3530" s="28"/>
      <c r="Q3530" s="28"/>
      <c r="R3530" s="28"/>
      <c r="S3530" s="28"/>
    </row>
    <row r="3531" spans="1:19" x14ac:dyDescent="0.25">
      <c r="A3531" s="28"/>
      <c r="B3531" s="28"/>
      <c r="C3531" s="28"/>
      <c r="D3531" s="28"/>
      <c r="E3531" s="28"/>
      <c r="F3531" s="28"/>
      <c r="G3531" s="28"/>
      <c r="H3531" s="28"/>
      <c r="I3531" s="28"/>
      <c r="J3531" s="28"/>
      <c r="K3531" s="28"/>
      <c r="L3531" s="28"/>
      <c r="M3531" s="28"/>
      <c r="N3531" s="28"/>
      <c r="O3531" s="28"/>
      <c r="P3531" s="28"/>
      <c r="Q3531" s="28"/>
      <c r="R3531" s="28"/>
      <c r="S3531" s="28"/>
    </row>
    <row r="3532" spans="1:19" x14ac:dyDescent="0.25">
      <c r="A3532" s="28"/>
      <c r="B3532" s="28"/>
      <c r="C3532" s="28"/>
      <c r="D3532" s="28"/>
      <c r="E3532" s="28"/>
      <c r="F3532" s="28"/>
      <c r="G3532" s="28"/>
      <c r="H3532" s="28"/>
      <c r="I3532" s="28"/>
      <c r="J3532" s="28"/>
      <c r="K3532" s="28"/>
      <c r="L3532" s="28"/>
      <c r="M3532" s="28"/>
      <c r="N3532" s="28"/>
      <c r="O3532" s="28"/>
      <c r="P3532" s="28"/>
      <c r="Q3532" s="28"/>
      <c r="R3532" s="28"/>
      <c r="S3532" s="28"/>
    </row>
    <row r="3533" spans="1:19" x14ac:dyDescent="0.25">
      <c r="A3533" s="28"/>
      <c r="B3533" s="28"/>
      <c r="C3533" s="28"/>
      <c r="D3533" s="28"/>
      <c r="E3533" s="28"/>
      <c r="F3533" s="28"/>
      <c r="G3533" s="28"/>
      <c r="H3533" s="28"/>
      <c r="I3533" s="28"/>
      <c r="J3533" s="28"/>
      <c r="K3533" s="28"/>
      <c r="L3533" s="28"/>
      <c r="M3533" s="28"/>
      <c r="N3533" s="28"/>
      <c r="O3533" s="28"/>
      <c r="P3533" s="28"/>
      <c r="Q3533" s="28"/>
      <c r="R3533" s="28"/>
      <c r="S3533" s="28"/>
    </row>
    <row r="3534" spans="1:19" x14ac:dyDescent="0.25">
      <c r="A3534" s="28"/>
      <c r="B3534" s="28"/>
      <c r="C3534" s="28"/>
      <c r="D3534" s="28"/>
      <c r="E3534" s="28"/>
      <c r="F3534" s="28"/>
      <c r="G3534" s="28"/>
      <c r="H3534" s="28"/>
      <c r="I3534" s="28"/>
      <c r="J3534" s="28"/>
      <c r="K3534" s="28"/>
      <c r="L3534" s="28"/>
      <c r="M3534" s="28"/>
      <c r="N3534" s="28"/>
      <c r="O3534" s="28"/>
      <c r="P3534" s="28"/>
      <c r="Q3534" s="28"/>
      <c r="R3534" s="28"/>
      <c r="S3534" s="28"/>
    </row>
    <row r="3535" spans="1:19" x14ac:dyDescent="0.25">
      <c r="A3535" s="28"/>
      <c r="B3535" s="28"/>
      <c r="C3535" s="28"/>
      <c r="D3535" s="28"/>
      <c r="E3535" s="28"/>
      <c r="F3535" s="28"/>
      <c r="G3535" s="28"/>
      <c r="H3535" s="28"/>
      <c r="I3535" s="28"/>
      <c r="J3535" s="28"/>
      <c r="K3535" s="28"/>
      <c r="L3535" s="28"/>
      <c r="M3535" s="28"/>
      <c r="N3535" s="28"/>
      <c r="O3535" s="28"/>
      <c r="P3535" s="28"/>
      <c r="Q3535" s="28"/>
      <c r="R3535" s="28"/>
      <c r="S3535" s="28"/>
    </row>
    <row r="3536" spans="1:19" x14ac:dyDescent="0.25">
      <c r="A3536" s="28"/>
      <c r="B3536" s="28"/>
      <c r="C3536" s="28"/>
      <c r="D3536" s="28"/>
      <c r="E3536" s="28"/>
      <c r="F3536" s="28"/>
      <c r="G3536" s="28"/>
      <c r="H3536" s="28"/>
      <c r="I3536" s="28"/>
      <c r="J3536" s="28"/>
      <c r="K3536" s="28"/>
      <c r="L3536" s="28"/>
      <c r="M3536" s="28"/>
      <c r="N3536" s="28"/>
      <c r="O3536" s="28"/>
      <c r="P3536" s="28"/>
      <c r="Q3536" s="28"/>
      <c r="R3536" s="28"/>
      <c r="S3536" s="28"/>
    </row>
    <row r="3537" spans="1:19" x14ac:dyDescent="0.25">
      <c r="A3537" s="28"/>
      <c r="B3537" s="28"/>
      <c r="C3537" s="28"/>
      <c r="D3537" s="28"/>
      <c r="E3537" s="28"/>
      <c r="F3537" s="28"/>
      <c r="G3537" s="28"/>
      <c r="H3537" s="28"/>
      <c r="I3537" s="28"/>
      <c r="J3537" s="28"/>
      <c r="K3537" s="28"/>
      <c r="L3537" s="28"/>
      <c r="M3537" s="28"/>
      <c r="N3537" s="28"/>
      <c r="O3537" s="28"/>
      <c r="P3537" s="28"/>
      <c r="Q3537" s="28"/>
      <c r="R3537" s="28"/>
      <c r="S3537" s="28"/>
    </row>
    <row r="3538" spans="1:19" x14ac:dyDescent="0.25">
      <c r="A3538" s="28"/>
      <c r="B3538" s="28"/>
      <c r="C3538" s="28"/>
      <c r="D3538" s="28"/>
      <c r="E3538" s="28"/>
      <c r="F3538" s="28"/>
      <c r="G3538" s="28"/>
      <c r="H3538" s="28"/>
      <c r="I3538" s="28"/>
      <c r="J3538" s="28"/>
      <c r="K3538" s="28"/>
      <c r="L3538" s="28"/>
      <c r="M3538" s="28"/>
      <c r="N3538" s="28"/>
      <c r="O3538" s="28"/>
      <c r="P3538" s="28"/>
      <c r="Q3538" s="28"/>
      <c r="R3538" s="28"/>
      <c r="S3538" s="28"/>
    </row>
    <row r="3539" spans="1:19" x14ac:dyDescent="0.25">
      <c r="A3539" s="28"/>
      <c r="B3539" s="28"/>
      <c r="C3539" s="28"/>
      <c r="D3539" s="28"/>
      <c r="E3539" s="28"/>
      <c r="F3539" s="28"/>
      <c r="G3539" s="28"/>
      <c r="H3539" s="28"/>
      <c r="I3539" s="28"/>
      <c r="J3539" s="28"/>
      <c r="K3539" s="28"/>
      <c r="L3539" s="28"/>
      <c r="M3539" s="28"/>
      <c r="N3539" s="28"/>
      <c r="O3539" s="28"/>
      <c r="P3539" s="28"/>
      <c r="Q3539" s="28"/>
      <c r="R3539" s="28"/>
      <c r="S3539" s="28"/>
    </row>
    <row r="3540" spans="1:19" x14ac:dyDescent="0.25">
      <c r="A3540" s="28"/>
      <c r="B3540" s="28"/>
      <c r="C3540" s="28"/>
      <c r="D3540" s="28"/>
      <c r="E3540" s="28"/>
      <c r="F3540" s="28"/>
      <c r="G3540" s="28"/>
      <c r="H3540" s="28"/>
      <c r="I3540" s="28"/>
      <c r="J3540" s="28"/>
      <c r="K3540" s="28"/>
      <c r="L3540" s="28"/>
      <c r="M3540" s="28"/>
      <c r="N3540" s="28"/>
      <c r="O3540" s="28"/>
      <c r="P3540" s="28"/>
      <c r="Q3540" s="28"/>
      <c r="R3540" s="28"/>
      <c r="S3540" s="28"/>
    </row>
    <row r="3541" spans="1:19" x14ac:dyDescent="0.25">
      <c r="A3541" s="28"/>
      <c r="B3541" s="28"/>
      <c r="C3541" s="28"/>
      <c r="D3541" s="28"/>
      <c r="E3541" s="28"/>
      <c r="F3541" s="28"/>
      <c r="G3541" s="28"/>
      <c r="H3541" s="28"/>
      <c r="I3541" s="28"/>
      <c r="J3541" s="28"/>
      <c r="K3541" s="28"/>
      <c r="L3541" s="28"/>
      <c r="M3541" s="28"/>
      <c r="N3541" s="28"/>
      <c r="O3541" s="28"/>
      <c r="P3541" s="28"/>
      <c r="Q3541" s="28"/>
      <c r="R3541" s="28"/>
      <c r="S3541" s="28"/>
    </row>
    <row r="3542" spans="1:19" x14ac:dyDescent="0.25">
      <c r="A3542" s="28"/>
      <c r="B3542" s="28"/>
      <c r="C3542" s="28"/>
      <c r="D3542" s="28"/>
      <c r="E3542" s="28"/>
      <c r="F3542" s="28"/>
      <c r="G3542" s="28"/>
      <c r="H3542" s="28"/>
      <c r="I3542" s="28"/>
      <c r="J3542" s="28"/>
      <c r="K3542" s="28"/>
      <c r="L3542" s="28"/>
      <c r="M3542" s="28"/>
      <c r="N3542" s="28"/>
      <c r="O3542" s="28"/>
      <c r="P3542" s="28"/>
      <c r="Q3542" s="28"/>
      <c r="R3542" s="28"/>
      <c r="S3542" s="28"/>
    </row>
    <row r="3543" spans="1:19" x14ac:dyDescent="0.25">
      <c r="A3543" s="28"/>
      <c r="B3543" s="28"/>
      <c r="C3543" s="28"/>
      <c r="D3543" s="28"/>
      <c r="E3543" s="28"/>
      <c r="F3543" s="28"/>
      <c r="G3543" s="28"/>
      <c r="H3543" s="28"/>
      <c r="I3543" s="28"/>
      <c r="J3543" s="28"/>
      <c r="K3543" s="28"/>
      <c r="L3543" s="28"/>
      <c r="M3543" s="28"/>
      <c r="N3543" s="28"/>
      <c r="O3543" s="28"/>
      <c r="P3543" s="28"/>
      <c r="Q3543" s="28"/>
      <c r="R3543" s="28"/>
      <c r="S3543" s="28"/>
    </row>
    <row r="3544" spans="1:19" x14ac:dyDescent="0.25">
      <c r="A3544" s="28"/>
      <c r="B3544" s="28"/>
      <c r="C3544" s="28"/>
      <c r="D3544" s="28"/>
      <c r="E3544" s="28"/>
      <c r="F3544" s="28"/>
      <c r="G3544" s="28"/>
      <c r="H3544" s="28"/>
      <c r="I3544" s="28"/>
      <c r="J3544" s="28"/>
      <c r="K3544" s="28"/>
      <c r="L3544" s="28"/>
      <c r="M3544" s="28"/>
      <c r="N3544" s="28"/>
      <c r="O3544" s="28"/>
      <c r="P3544" s="28"/>
      <c r="Q3544" s="28"/>
      <c r="R3544" s="28"/>
      <c r="S3544" s="28"/>
    </row>
    <row r="3545" spans="1:19" x14ac:dyDescent="0.25">
      <c r="A3545" s="28"/>
      <c r="B3545" s="28"/>
      <c r="C3545" s="28"/>
      <c r="D3545" s="28"/>
      <c r="E3545" s="28"/>
      <c r="F3545" s="28"/>
      <c r="G3545" s="28"/>
      <c r="H3545" s="28"/>
      <c r="I3545" s="28"/>
      <c r="J3545" s="28"/>
      <c r="K3545" s="28"/>
      <c r="L3545" s="28"/>
      <c r="M3545" s="28"/>
      <c r="N3545" s="28"/>
      <c r="O3545" s="28"/>
      <c r="P3545" s="28"/>
      <c r="Q3545" s="28"/>
      <c r="R3545" s="28"/>
      <c r="S3545" s="28"/>
    </row>
    <row r="3546" spans="1:19" x14ac:dyDescent="0.25">
      <c r="A3546" s="28"/>
      <c r="B3546" s="28"/>
      <c r="C3546" s="28"/>
      <c r="D3546" s="28"/>
      <c r="E3546" s="28"/>
      <c r="F3546" s="28"/>
      <c r="G3546" s="28"/>
      <c r="H3546" s="28"/>
      <c r="I3546" s="28"/>
      <c r="J3546" s="28"/>
      <c r="K3546" s="28"/>
      <c r="L3546" s="28"/>
      <c r="M3546" s="28"/>
      <c r="N3546" s="28"/>
      <c r="O3546" s="28"/>
      <c r="P3546" s="28"/>
      <c r="Q3546" s="28"/>
      <c r="R3546" s="28"/>
      <c r="S3546" s="28"/>
    </row>
    <row r="3547" spans="1:19" x14ac:dyDescent="0.25">
      <c r="A3547" s="28"/>
      <c r="B3547" s="28"/>
      <c r="C3547" s="28"/>
      <c r="D3547" s="28"/>
      <c r="E3547" s="28"/>
      <c r="F3547" s="28"/>
      <c r="G3547" s="28"/>
      <c r="H3547" s="28"/>
      <c r="I3547" s="28"/>
      <c r="J3547" s="28"/>
      <c r="K3547" s="28"/>
      <c r="L3547" s="28"/>
      <c r="M3547" s="28"/>
      <c r="N3547" s="28"/>
      <c r="O3547" s="28"/>
      <c r="P3547" s="28"/>
      <c r="Q3547" s="28"/>
      <c r="R3547" s="28"/>
      <c r="S3547" s="28"/>
    </row>
    <row r="3548" spans="1:19" x14ac:dyDescent="0.25">
      <c r="A3548" s="28"/>
      <c r="B3548" s="28"/>
      <c r="C3548" s="28"/>
      <c r="D3548" s="28"/>
      <c r="E3548" s="28"/>
      <c r="F3548" s="28"/>
      <c r="G3548" s="28"/>
      <c r="H3548" s="28"/>
      <c r="I3548" s="28"/>
      <c r="J3548" s="28"/>
      <c r="K3548" s="28"/>
      <c r="L3548" s="28"/>
      <c r="M3548" s="28"/>
      <c r="N3548" s="28"/>
      <c r="O3548" s="28"/>
      <c r="P3548" s="28"/>
      <c r="Q3548" s="28"/>
      <c r="R3548" s="28"/>
      <c r="S3548" s="28"/>
    </row>
    <row r="3549" spans="1:19" x14ac:dyDescent="0.25">
      <c r="A3549" s="28"/>
      <c r="B3549" s="28"/>
      <c r="C3549" s="28"/>
      <c r="D3549" s="28"/>
      <c r="E3549" s="28"/>
      <c r="F3549" s="28"/>
      <c r="G3549" s="28"/>
      <c r="H3549" s="28"/>
      <c r="I3549" s="28"/>
      <c r="J3549" s="28"/>
      <c r="K3549" s="28"/>
      <c r="L3549" s="28"/>
      <c r="M3549" s="28"/>
      <c r="N3549" s="28"/>
      <c r="O3549" s="28"/>
      <c r="P3549" s="28"/>
      <c r="Q3549" s="28"/>
      <c r="R3549" s="28"/>
      <c r="S3549" s="28"/>
    </row>
    <row r="3550" spans="1:19" x14ac:dyDescent="0.25">
      <c r="A3550" s="28"/>
      <c r="B3550" s="28"/>
      <c r="C3550" s="28"/>
      <c r="D3550" s="28"/>
      <c r="E3550" s="28"/>
      <c r="F3550" s="28"/>
      <c r="G3550" s="28"/>
      <c r="H3550" s="28"/>
      <c r="I3550" s="28"/>
      <c r="J3550" s="28"/>
      <c r="K3550" s="28"/>
      <c r="L3550" s="28"/>
      <c r="M3550" s="28"/>
      <c r="N3550" s="28"/>
      <c r="O3550" s="28"/>
      <c r="P3550" s="28"/>
      <c r="Q3550" s="28"/>
      <c r="R3550" s="28"/>
      <c r="S3550" s="28"/>
    </row>
    <row r="3551" spans="1:19" x14ac:dyDescent="0.25">
      <c r="A3551" s="28"/>
      <c r="B3551" s="28"/>
      <c r="C3551" s="28"/>
      <c r="D3551" s="28"/>
      <c r="E3551" s="28"/>
      <c r="F3551" s="28"/>
      <c r="G3551" s="28"/>
      <c r="H3551" s="28"/>
      <c r="I3551" s="28"/>
      <c r="J3551" s="28"/>
      <c r="K3551" s="28"/>
      <c r="L3551" s="28"/>
      <c r="M3551" s="28"/>
      <c r="N3551" s="28"/>
      <c r="O3551" s="28"/>
      <c r="P3551" s="28"/>
      <c r="Q3551" s="28"/>
      <c r="R3551" s="28"/>
      <c r="S3551" s="28"/>
    </row>
    <row r="3552" spans="1:19" x14ac:dyDescent="0.25">
      <c r="A3552" s="28"/>
      <c r="B3552" s="28"/>
      <c r="C3552" s="28"/>
      <c r="D3552" s="28"/>
      <c r="E3552" s="28"/>
      <c r="F3552" s="28"/>
      <c r="G3552" s="28"/>
      <c r="H3552" s="28"/>
      <c r="I3552" s="28"/>
      <c r="J3552" s="28"/>
      <c r="K3552" s="28"/>
      <c r="L3552" s="28"/>
      <c r="M3552" s="28"/>
      <c r="N3552" s="28"/>
      <c r="O3552" s="28"/>
      <c r="P3552" s="28"/>
      <c r="Q3552" s="28"/>
      <c r="R3552" s="28"/>
      <c r="S3552" s="28"/>
    </row>
    <row r="3553" spans="1:19" x14ac:dyDescent="0.25">
      <c r="A3553" s="28"/>
      <c r="B3553" s="28"/>
      <c r="C3553" s="28"/>
      <c r="D3553" s="28"/>
      <c r="E3553" s="28"/>
      <c r="F3553" s="28"/>
      <c r="G3553" s="28"/>
      <c r="H3553" s="28"/>
      <c r="I3553" s="28"/>
      <c r="J3553" s="28"/>
      <c r="K3553" s="28"/>
      <c r="L3553" s="28"/>
      <c r="M3553" s="28"/>
      <c r="N3553" s="28"/>
      <c r="O3553" s="28"/>
      <c r="P3553" s="28"/>
      <c r="Q3553" s="28"/>
      <c r="R3553" s="28"/>
      <c r="S3553" s="28"/>
    </row>
    <row r="3554" spans="1:19" x14ac:dyDescent="0.25">
      <c r="A3554" s="28"/>
      <c r="B3554" s="28"/>
      <c r="C3554" s="28"/>
      <c r="D3554" s="28"/>
      <c r="E3554" s="28"/>
      <c r="F3554" s="28"/>
      <c r="G3554" s="28"/>
      <c r="H3554" s="28"/>
      <c r="I3554" s="28"/>
      <c r="J3554" s="28"/>
      <c r="K3554" s="28"/>
      <c r="L3554" s="28"/>
      <c r="M3554" s="28"/>
      <c r="N3554" s="28"/>
      <c r="O3554" s="28"/>
      <c r="P3554" s="28"/>
      <c r="Q3554" s="28"/>
      <c r="R3554" s="28"/>
      <c r="S3554" s="28"/>
    </row>
    <row r="3555" spans="1:19" x14ac:dyDescent="0.25">
      <c r="A3555" s="28"/>
      <c r="B3555" s="28"/>
      <c r="C3555" s="28"/>
      <c r="D3555" s="28"/>
      <c r="E3555" s="28"/>
      <c r="F3555" s="28"/>
      <c r="G3555" s="28"/>
      <c r="H3555" s="28"/>
      <c r="I3555" s="28"/>
      <c r="J3555" s="28"/>
      <c r="K3555" s="28"/>
      <c r="L3555" s="28"/>
      <c r="M3555" s="28"/>
      <c r="N3555" s="28"/>
      <c r="O3555" s="28"/>
      <c r="P3555" s="28"/>
      <c r="Q3555" s="28"/>
      <c r="R3555" s="28"/>
      <c r="S3555" s="28"/>
    </row>
    <row r="3556" spans="1:19" x14ac:dyDescent="0.25">
      <c r="A3556" s="28"/>
      <c r="B3556" s="28"/>
      <c r="C3556" s="28"/>
      <c r="D3556" s="28"/>
      <c r="E3556" s="28"/>
      <c r="F3556" s="28"/>
      <c r="G3556" s="28"/>
      <c r="H3556" s="28"/>
      <c r="I3556" s="28"/>
      <c r="J3556" s="28"/>
      <c r="K3556" s="28"/>
      <c r="L3556" s="28"/>
      <c r="M3556" s="28"/>
      <c r="N3556" s="28"/>
      <c r="O3556" s="28"/>
      <c r="P3556" s="28"/>
      <c r="Q3556" s="28"/>
      <c r="R3556" s="28"/>
      <c r="S3556" s="28"/>
    </row>
    <row r="3557" spans="1:19" x14ac:dyDescent="0.25">
      <c r="A3557" s="28"/>
      <c r="B3557" s="28"/>
      <c r="C3557" s="28"/>
      <c r="D3557" s="28"/>
      <c r="E3557" s="28"/>
      <c r="F3557" s="28"/>
      <c r="G3557" s="28"/>
      <c r="H3557" s="28"/>
      <c r="I3557" s="28"/>
      <c r="J3557" s="28"/>
      <c r="K3557" s="28"/>
      <c r="L3557" s="28"/>
      <c r="M3557" s="28"/>
      <c r="N3557" s="28"/>
      <c r="O3557" s="28"/>
      <c r="P3557" s="28"/>
      <c r="Q3557" s="28"/>
      <c r="R3557" s="28"/>
      <c r="S3557" s="28"/>
    </row>
    <row r="3558" spans="1:19" x14ac:dyDescent="0.25">
      <c r="A3558" s="28"/>
      <c r="B3558" s="28"/>
      <c r="C3558" s="28"/>
      <c r="D3558" s="28"/>
      <c r="E3558" s="28"/>
      <c r="F3558" s="28"/>
      <c r="G3558" s="28"/>
      <c r="H3558" s="28"/>
      <c r="I3558" s="28"/>
      <c r="J3558" s="28"/>
      <c r="K3558" s="28"/>
      <c r="L3558" s="28"/>
      <c r="M3558" s="28"/>
      <c r="N3558" s="28"/>
      <c r="O3558" s="28"/>
      <c r="P3558" s="28"/>
      <c r="Q3558" s="28"/>
      <c r="R3558" s="28"/>
      <c r="S3558" s="28"/>
    </row>
    <row r="3559" spans="1:19" x14ac:dyDescent="0.25">
      <c r="A3559" s="28"/>
      <c r="B3559" s="28"/>
      <c r="C3559" s="28"/>
      <c r="D3559" s="28"/>
      <c r="E3559" s="28"/>
      <c r="F3559" s="28"/>
      <c r="G3559" s="28"/>
      <c r="H3559" s="28"/>
      <c r="I3559" s="28"/>
      <c r="J3559" s="28"/>
      <c r="K3559" s="28"/>
      <c r="L3559" s="28"/>
      <c r="M3559" s="28"/>
      <c r="N3559" s="28"/>
      <c r="O3559" s="28"/>
      <c r="P3559" s="28"/>
      <c r="Q3559" s="28"/>
      <c r="R3559" s="28"/>
      <c r="S3559" s="28"/>
    </row>
    <row r="3560" spans="1:19" x14ac:dyDescent="0.25">
      <c r="A3560" s="28"/>
      <c r="B3560" s="28"/>
      <c r="C3560" s="28"/>
      <c r="D3560" s="28"/>
      <c r="E3560" s="28"/>
      <c r="F3560" s="28"/>
      <c r="G3560" s="28"/>
      <c r="H3560" s="28"/>
      <c r="I3560" s="28"/>
      <c r="J3560" s="28"/>
      <c r="K3560" s="28"/>
      <c r="L3560" s="28"/>
      <c r="M3560" s="28"/>
      <c r="N3560" s="28"/>
      <c r="O3560" s="28"/>
      <c r="P3560" s="28"/>
      <c r="Q3560" s="28"/>
      <c r="R3560" s="28"/>
      <c r="S3560" s="28"/>
    </row>
    <row r="3561" spans="1:19" x14ac:dyDescent="0.25">
      <c r="A3561" s="28"/>
      <c r="B3561" s="28"/>
      <c r="C3561" s="28"/>
      <c r="D3561" s="28"/>
      <c r="E3561" s="28"/>
      <c r="F3561" s="28"/>
      <c r="G3561" s="28"/>
      <c r="H3561" s="28"/>
      <c r="I3561" s="28"/>
      <c r="J3561" s="28"/>
      <c r="K3561" s="28"/>
      <c r="L3561" s="28"/>
      <c r="M3561" s="28"/>
      <c r="N3561" s="28"/>
      <c r="O3561" s="28"/>
      <c r="P3561" s="28"/>
      <c r="Q3561" s="28"/>
      <c r="R3561" s="28"/>
      <c r="S3561" s="28"/>
    </row>
    <row r="3562" spans="1:19" x14ac:dyDescent="0.25">
      <c r="A3562" s="28"/>
      <c r="B3562" s="28"/>
      <c r="C3562" s="28"/>
      <c r="D3562" s="28"/>
      <c r="E3562" s="28"/>
      <c r="F3562" s="28"/>
      <c r="G3562" s="28"/>
      <c r="H3562" s="28"/>
      <c r="I3562" s="28"/>
      <c r="J3562" s="28"/>
      <c r="K3562" s="28"/>
      <c r="L3562" s="28"/>
      <c r="M3562" s="28"/>
      <c r="N3562" s="28"/>
      <c r="O3562" s="28"/>
      <c r="P3562" s="28"/>
      <c r="Q3562" s="28"/>
      <c r="R3562" s="28"/>
      <c r="S3562" s="28"/>
    </row>
    <row r="3563" spans="1:19" x14ac:dyDescent="0.25">
      <c r="A3563" s="28"/>
      <c r="B3563" s="28"/>
      <c r="C3563" s="28"/>
      <c r="D3563" s="28"/>
      <c r="E3563" s="28"/>
      <c r="F3563" s="28"/>
      <c r="G3563" s="28"/>
      <c r="H3563" s="28"/>
      <c r="I3563" s="28"/>
      <c r="J3563" s="28"/>
      <c r="K3563" s="28"/>
      <c r="L3563" s="28"/>
      <c r="M3563" s="28"/>
      <c r="N3563" s="28"/>
      <c r="O3563" s="28"/>
      <c r="P3563" s="28"/>
      <c r="Q3563" s="28"/>
      <c r="R3563" s="28"/>
      <c r="S3563" s="28"/>
    </row>
    <row r="3564" spans="1:19" x14ac:dyDescent="0.25">
      <c r="A3564" s="28"/>
      <c r="B3564" s="28"/>
      <c r="C3564" s="28"/>
      <c r="D3564" s="28"/>
      <c r="E3564" s="28"/>
      <c r="F3564" s="28"/>
      <c r="G3564" s="28"/>
      <c r="H3564" s="28"/>
      <c r="I3564" s="28"/>
      <c r="J3564" s="28"/>
      <c r="K3564" s="28"/>
      <c r="L3564" s="28"/>
      <c r="M3564" s="28"/>
      <c r="N3564" s="28"/>
      <c r="O3564" s="28"/>
      <c r="P3564" s="28"/>
      <c r="Q3564" s="28"/>
      <c r="R3564" s="28"/>
      <c r="S3564" s="28"/>
    </row>
    <row r="3565" spans="1:19" x14ac:dyDescent="0.25">
      <c r="A3565" s="28"/>
      <c r="B3565" s="28"/>
      <c r="C3565" s="28"/>
      <c r="D3565" s="28"/>
      <c r="E3565" s="28"/>
      <c r="F3565" s="28"/>
      <c r="G3565" s="28"/>
      <c r="H3565" s="28"/>
      <c r="I3565" s="28"/>
      <c r="J3565" s="28"/>
      <c r="K3565" s="28"/>
      <c r="L3565" s="28"/>
      <c r="M3565" s="28"/>
      <c r="N3565" s="28"/>
      <c r="O3565" s="28"/>
      <c r="P3565" s="28"/>
      <c r="Q3565" s="28"/>
      <c r="R3565" s="28"/>
      <c r="S3565" s="28"/>
    </row>
    <row r="3566" spans="1:19" x14ac:dyDescent="0.25">
      <c r="A3566" s="28"/>
      <c r="B3566" s="28"/>
      <c r="C3566" s="28"/>
      <c r="D3566" s="28"/>
      <c r="E3566" s="28"/>
      <c r="F3566" s="28"/>
      <c r="G3566" s="28"/>
      <c r="H3566" s="28"/>
      <c r="I3566" s="28"/>
      <c r="J3566" s="28"/>
      <c r="K3566" s="28"/>
      <c r="L3566" s="28"/>
      <c r="M3566" s="28"/>
      <c r="N3566" s="28"/>
      <c r="O3566" s="28"/>
      <c r="P3566" s="28"/>
      <c r="Q3566" s="28"/>
      <c r="R3566" s="28"/>
      <c r="S3566" s="28"/>
    </row>
    <row r="3567" spans="1:19" x14ac:dyDescent="0.25">
      <c r="A3567" s="28"/>
      <c r="B3567" s="28"/>
      <c r="C3567" s="28"/>
      <c r="D3567" s="28"/>
      <c r="E3567" s="28"/>
      <c r="F3567" s="28"/>
      <c r="G3567" s="28"/>
      <c r="H3567" s="28"/>
      <c r="I3567" s="28"/>
      <c r="J3567" s="28"/>
      <c r="K3567" s="28"/>
      <c r="L3567" s="28"/>
      <c r="M3567" s="28"/>
      <c r="N3567" s="28"/>
      <c r="O3567" s="28"/>
      <c r="P3567" s="28"/>
      <c r="Q3567" s="28"/>
      <c r="R3567" s="28"/>
      <c r="S3567" s="28"/>
    </row>
    <row r="3568" spans="1:19" x14ac:dyDescent="0.25">
      <c r="A3568" s="28"/>
      <c r="B3568" s="28"/>
      <c r="C3568" s="28"/>
      <c r="D3568" s="28"/>
      <c r="E3568" s="28"/>
      <c r="F3568" s="28"/>
      <c r="G3568" s="28"/>
      <c r="H3568" s="28"/>
      <c r="I3568" s="28"/>
      <c r="J3568" s="28"/>
      <c r="K3568" s="28"/>
      <c r="L3568" s="28"/>
      <c r="M3568" s="28"/>
      <c r="N3568" s="28"/>
      <c r="O3568" s="28"/>
      <c r="P3568" s="28"/>
      <c r="Q3568" s="28"/>
      <c r="R3568" s="28"/>
      <c r="S3568" s="28"/>
    </row>
    <row r="3569" spans="1:19" x14ac:dyDescent="0.25">
      <c r="A3569" s="28"/>
      <c r="B3569" s="28"/>
      <c r="C3569" s="28"/>
      <c r="D3569" s="28"/>
      <c r="E3569" s="28"/>
      <c r="F3569" s="28"/>
      <c r="G3569" s="28"/>
      <c r="H3569" s="28"/>
      <c r="I3569" s="28"/>
      <c r="J3569" s="28"/>
      <c r="K3569" s="28"/>
      <c r="L3569" s="28"/>
      <c r="M3569" s="28"/>
      <c r="N3569" s="28"/>
      <c r="O3569" s="28"/>
      <c r="P3569" s="28"/>
      <c r="Q3569" s="28"/>
      <c r="R3569" s="28"/>
      <c r="S3569" s="28"/>
    </row>
    <row r="3570" spans="1:19" x14ac:dyDescent="0.25">
      <c r="A3570" s="28"/>
      <c r="B3570" s="28"/>
      <c r="C3570" s="28"/>
      <c r="D3570" s="28"/>
      <c r="E3570" s="28"/>
      <c r="F3570" s="28"/>
      <c r="G3570" s="28"/>
      <c r="H3570" s="28"/>
      <c r="I3570" s="28"/>
      <c r="J3570" s="28"/>
      <c r="K3570" s="28"/>
      <c r="L3570" s="28"/>
      <c r="M3570" s="28"/>
      <c r="N3570" s="28"/>
      <c r="O3570" s="28"/>
      <c r="P3570" s="28"/>
      <c r="Q3570" s="28"/>
      <c r="R3570" s="28"/>
      <c r="S3570" s="28"/>
    </row>
    <row r="3571" spans="1:19" x14ac:dyDescent="0.25">
      <c r="A3571" s="28"/>
      <c r="B3571" s="28"/>
      <c r="C3571" s="28"/>
      <c r="D3571" s="28"/>
      <c r="E3571" s="28"/>
      <c r="F3571" s="28"/>
      <c r="G3571" s="28"/>
      <c r="H3571" s="28"/>
      <c r="I3571" s="28"/>
      <c r="J3571" s="28"/>
      <c r="K3571" s="28"/>
      <c r="L3571" s="28"/>
      <c r="M3571" s="28"/>
      <c r="N3571" s="28"/>
      <c r="O3571" s="28"/>
      <c r="P3571" s="28"/>
      <c r="Q3571" s="28"/>
      <c r="R3571" s="28"/>
      <c r="S3571" s="28"/>
    </row>
    <row r="3572" spans="1:19" x14ac:dyDescent="0.25">
      <c r="A3572" s="28"/>
      <c r="B3572" s="28"/>
      <c r="C3572" s="28"/>
      <c r="D3572" s="28"/>
      <c r="E3572" s="28"/>
      <c r="F3572" s="28"/>
      <c r="G3572" s="28"/>
      <c r="H3572" s="28"/>
      <c r="I3572" s="28"/>
      <c r="J3572" s="28"/>
      <c r="K3572" s="28"/>
      <c r="L3572" s="28"/>
      <c r="M3572" s="28"/>
      <c r="N3572" s="28"/>
      <c r="O3572" s="28"/>
      <c r="P3572" s="28"/>
      <c r="Q3572" s="28"/>
      <c r="R3572" s="28"/>
      <c r="S3572" s="28"/>
    </row>
    <row r="3573" spans="1:19" x14ac:dyDescent="0.25">
      <c r="A3573" s="28"/>
      <c r="B3573" s="28"/>
      <c r="C3573" s="28"/>
      <c r="D3573" s="28"/>
      <c r="E3573" s="28"/>
      <c r="F3573" s="28"/>
      <c r="G3573" s="28"/>
      <c r="H3573" s="28"/>
      <c r="I3573" s="28"/>
      <c r="J3573" s="28"/>
      <c r="K3573" s="28"/>
      <c r="L3573" s="28"/>
      <c r="M3573" s="28"/>
      <c r="N3573" s="28"/>
      <c r="O3573" s="28"/>
      <c r="P3573" s="28"/>
      <c r="Q3573" s="28"/>
      <c r="R3573" s="28"/>
      <c r="S3573" s="28"/>
    </row>
    <row r="3574" spans="1:19" x14ac:dyDescent="0.25">
      <c r="A3574" s="28"/>
      <c r="B3574" s="28"/>
      <c r="C3574" s="28"/>
      <c r="D3574" s="28"/>
      <c r="E3574" s="28"/>
      <c r="F3574" s="28"/>
      <c r="G3574" s="28"/>
      <c r="H3574" s="28"/>
      <c r="I3574" s="28"/>
      <c r="J3574" s="28"/>
      <c r="K3574" s="28"/>
      <c r="L3574" s="28"/>
      <c r="M3574" s="28"/>
      <c r="N3574" s="28"/>
      <c r="O3574" s="28"/>
      <c r="P3574" s="28"/>
      <c r="Q3574" s="28"/>
      <c r="R3574" s="28"/>
      <c r="S3574" s="28"/>
    </row>
    <row r="3575" spans="1:19" x14ac:dyDescent="0.25">
      <c r="A3575" s="28"/>
      <c r="B3575" s="28"/>
      <c r="C3575" s="28"/>
      <c r="D3575" s="28"/>
      <c r="E3575" s="28"/>
      <c r="F3575" s="28"/>
      <c r="G3575" s="28"/>
      <c r="H3575" s="28"/>
      <c r="I3575" s="28"/>
      <c r="J3575" s="28"/>
      <c r="K3575" s="28"/>
      <c r="L3575" s="28"/>
      <c r="M3575" s="28"/>
      <c r="N3575" s="28"/>
      <c r="O3575" s="28"/>
      <c r="P3575" s="28"/>
      <c r="Q3575" s="28"/>
      <c r="R3575" s="28"/>
      <c r="S3575" s="28"/>
    </row>
    <row r="3576" spans="1:19" x14ac:dyDescent="0.25">
      <c r="A3576" s="28"/>
      <c r="B3576" s="28"/>
      <c r="C3576" s="28"/>
      <c r="D3576" s="28"/>
      <c r="E3576" s="28"/>
      <c r="F3576" s="28"/>
      <c r="G3576" s="28"/>
      <c r="H3576" s="28"/>
      <c r="I3576" s="28"/>
      <c r="J3576" s="28"/>
      <c r="K3576" s="28"/>
      <c r="L3576" s="28"/>
      <c r="M3576" s="28"/>
      <c r="N3576" s="28"/>
      <c r="O3576" s="28"/>
      <c r="P3576" s="28"/>
      <c r="Q3576" s="28"/>
      <c r="R3576" s="28"/>
      <c r="S3576" s="28"/>
    </row>
    <row r="3577" spans="1:19" x14ac:dyDescent="0.25">
      <c r="A3577" s="28"/>
      <c r="B3577" s="28"/>
      <c r="C3577" s="28"/>
      <c r="D3577" s="28"/>
      <c r="E3577" s="28"/>
      <c r="F3577" s="28"/>
      <c r="G3577" s="28"/>
      <c r="H3577" s="28"/>
      <c r="I3577" s="28"/>
      <c r="J3577" s="28"/>
      <c r="K3577" s="28"/>
      <c r="L3577" s="28"/>
      <c r="M3577" s="28"/>
      <c r="N3577" s="28"/>
      <c r="O3577" s="28"/>
      <c r="P3577" s="28"/>
      <c r="Q3577" s="28"/>
      <c r="R3577" s="28"/>
      <c r="S3577" s="28"/>
    </row>
    <row r="3578" spans="1:19" x14ac:dyDescent="0.25">
      <c r="A3578" s="28"/>
      <c r="B3578" s="28"/>
      <c r="C3578" s="28"/>
      <c r="D3578" s="28"/>
      <c r="E3578" s="28"/>
      <c r="F3578" s="28"/>
      <c r="G3578" s="28"/>
      <c r="H3578" s="28"/>
      <c r="I3578" s="28"/>
      <c r="J3578" s="28"/>
      <c r="K3578" s="28"/>
      <c r="L3578" s="28"/>
      <c r="M3578" s="28"/>
      <c r="N3578" s="28"/>
      <c r="O3578" s="28"/>
      <c r="P3578" s="28"/>
      <c r="Q3578" s="28"/>
      <c r="R3578" s="28"/>
      <c r="S3578" s="28"/>
    </row>
    <row r="3579" spans="1:19" x14ac:dyDescent="0.25">
      <c r="A3579" s="28"/>
      <c r="B3579" s="28"/>
      <c r="C3579" s="28"/>
      <c r="D3579" s="28"/>
      <c r="E3579" s="28"/>
      <c r="F3579" s="28"/>
      <c r="G3579" s="28"/>
      <c r="H3579" s="28"/>
      <c r="I3579" s="28"/>
      <c r="J3579" s="28"/>
      <c r="K3579" s="28"/>
      <c r="L3579" s="28"/>
      <c r="M3579" s="28"/>
      <c r="N3579" s="28"/>
      <c r="O3579" s="28"/>
      <c r="P3579" s="28"/>
      <c r="Q3579" s="28"/>
      <c r="R3579" s="28"/>
      <c r="S3579" s="28"/>
    </row>
    <row r="3580" spans="1:19" x14ac:dyDescent="0.25">
      <c r="A3580" s="28"/>
      <c r="B3580" s="28"/>
      <c r="C3580" s="28"/>
      <c r="D3580" s="28"/>
      <c r="E3580" s="28"/>
      <c r="F3580" s="28"/>
      <c r="G3580" s="28"/>
      <c r="H3580" s="28"/>
      <c r="I3580" s="28"/>
      <c r="J3580" s="28"/>
      <c r="K3580" s="28"/>
      <c r="L3580" s="28"/>
      <c r="M3580" s="28"/>
      <c r="N3580" s="28"/>
      <c r="O3580" s="28"/>
      <c r="P3580" s="28"/>
      <c r="Q3580" s="28"/>
      <c r="R3580" s="28"/>
      <c r="S3580" s="28"/>
    </row>
    <row r="3581" spans="1:19" x14ac:dyDescent="0.25">
      <c r="A3581" s="28"/>
      <c r="B3581" s="28"/>
      <c r="C3581" s="28"/>
      <c r="D3581" s="28"/>
      <c r="E3581" s="28"/>
      <c r="F3581" s="28"/>
      <c r="G3581" s="28"/>
      <c r="H3581" s="28"/>
      <c r="I3581" s="28"/>
      <c r="J3581" s="28"/>
      <c r="K3581" s="28"/>
      <c r="L3581" s="28"/>
      <c r="M3581" s="28"/>
      <c r="N3581" s="28"/>
      <c r="O3581" s="28"/>
      <c r="P3581" s="28"/>
      <c r="Q3581" s="28"/>
      <c r="R3581" s="28"/>
      <c r="S3581" s="28"/>
    </row>
    <row r="3582" spans="1:19" x14ac:dyDescent="0.25">
      <c r="A3582" s="28"/>
      <c r="B3582" s="28"/>
      <c r="C3582" s="28"/>
      <c r="D3582" s="28"/>
      <c r="E3582" s="28"/>
      <c r="F3582" s="28"/>
      <c r="G3582" s="28"/>
      <c r="H3582" s="28"/>
      <c r="I3582" s="28"/>
      <c r="J3582" s="28"/>
      <c r="K3582" s="28"/>
      <c r="L3582" s="28"/>
      <c r="M3582" s="28"/>
      <c r="N3582" s="28"/>
      <c r="O3582" s="28"/>
      <c r="P3582" s="28"/>
      <c r="Q3582" s="28"/>
      <c r="R3582" s="28"/>
      <c r="S3582" s="28"/>
    </row>
    <row r="3583" spans="1:19" x14ac:dyDescent="0.25">
      <c r="A3583" s="28"/>
      <c r="B3583" s="28"/>
      <c r="C3583" s="28"/>
      <c r="D3583" s="28"/>
      <c r="E3583" s="28"/>
      <c r="F3583" s="28"/>
      <c r="G3583" s="28"/>
      <c r="H3583" s="28"/>
      <c r="I3583" s="28"/>
      <c r="J3583" s="28"/>
      <c r="K3583" s="28"/>
      <c r="L3583" s="28"/>
      <c r="M3583" s="28"/>
      <c r="N3583" s="28"/>
      <c r="O3583" s="28"/>
      <c r="P3583" s="28"/>
      <c r="Q3583" s="28"/>
      <c r="R3583" s="28"/>
      <c r="S3583" s="28"/>
    </row>
    <row r="3584" spans="1:19" x14ac:dyDescent="0.25">
      <c r="A3584" s="28"/>
      <c r="B3584" s="28"/>
      <c r="C3584" s="28"/>
      <c r="D3584" s="28"/>
      <c r="E3584" s="28"/>
      <c r="F3584" s="28"/>
      <c r="G3584" s="28"/>
      <c r="H3584" s="28"/>
      <c r="I3584" s="28"/>
      <c r="J3584" s="28"/>
      <c r="K3584" s="28"/>
      <c r="L3584" s="28"/>
      <c r="M3584" s="28"/>
      <c r="N3584" s="28"/>
      <c r="O3584" s="28"/>
      <c r="P3584" s="28"/>
      <c r="Q3584" s="28"/>
      <c r="R3584" s="28"/>
      <c r="S3584" s="28"/>
    </row>
    <row r="3585" spans="1:19" x14ac:dyDescent="0.25">
      <c r="A3585" s="28"/>
      <c r="B3585" s="28"/>
      <c r="C3585" s="28"/>
      <c r="D3585" s="28"/>
      <c r="E3585" s="28"/>
      <c r="F3585" s="28"/>
      <c r="G3585" s="28"/>
      <c r="H3585" s="28"/>
      <c r="I3585" s="28"/>
      <c r="J3585" s="28"/>
      <c r="K3585" s="28"/>
      <c r="L3585" s="28"/>
      <c r="M3585" s="28"/>
      <c r="N3585" s="28"/>
      <c r="O3585" s="28"/>
      <c r="P3585" s="28"/>
      <c r="Q3585" s="28"/>
      <c r="R3585" s="28"/>
      <c r="S3585" s="28"/>
    </row>
    <row r="3586" spans="1:19" x14ac:dyDescent="0.25">
      <c r="A3586" s="28"/>
      <c r="B3586" s="28"/>
      <c r="C3586" s="28"/>
      <c r="D3586" s="28"/>
      <c r="E3586" s="28"/>
      <c r="F3586" s="28"/>
      <c r="G3586" s="28"/>
      <c r="H3586" s="28"/>
      <c r="I3586" s="28"/>
      <c r="J3586" s="28"/>
      <c r="K3586" s="28"/>
      <c r="L3586" s="28"/>
      <c r="M3586" s="28"/>
      <c r="N3586" s="28"/>
      <c r="O3586" s="28"/>
      <c r="P3586" s="28"/>
      <c r="Q3586" s="28"/>
      <c r="R3586" s="28"/>
      <c r="S3586" s="28"/>
    </row>
    <row r="3587" spans="1:19" x14ac:dyDescent="0.25">
      <c r="A3587" s="28"/>
      <c r="B3587" s="28"/>
      <c r="C3587" s="28"/>
      <c r="D3587" s="28"/>
      <c r="E3587" s="28"/>
      <c r="F3587" s="28"/>
      <c r="G3587" s="28"/>
      <c r="H3587" s="28"/>
      <c r="I3587" s="28"/>
      <c r="J3587" s="28"/>
      <c r="K3587" s="28"/>
      <c r="L3587" s="28"/>
      <c r="M3587" s="28"/>
      <c r="N3587" s="28"/>
      <c r="O3587" s="28"/>
      <c r="P3587" s="28"/>
      <c r="Q3587" s="28"/>
      <c r="R3587" s="28"/>
      <c r="S3587" s="28"/>
    </row>
    <row r="3588" spans="1:19" x14ac:dyDescent="0.25">
      <c r="A3588" s="28"/>
      <c r="B3588" s="28"/>
      <c r="C3588" s="28"/>
      <c r="D3588" s="28"/>
      <c r="E3588" s="28"/>
      <c r="F3588" s="28"/>
      <c r="G3588" s="28"/>
      <c r="H3588" s="28"/>
      <c r="I3588" s="28"/>
      <c r="J3588" s="28"/>
      <c r="K3588" s="28"/>
      <c r="L3588" s="28"/>
      <c r="M3588" s="28"/>
      <c r="N3588" s="28"/>
      <c r="O3588" s="28"/>
      <c r="P3588" s="28"/>
      <c r="Q3588" s="28"/>
      <c r="R3588" s="28"/>
      <c r="S3588" s="28"/>
    </row>
    <row r="3589" spans="1:19" x14ac:dyDescent="0.25">
      <c r="A3589" s="28"/>
      <c r="B3589" s="28"/>
      <c r="C3589" s="28"/>
      <c r="D3589" s="28"/>
      <c r="E3589" s="28"/>
      <c r="F3589" s="28"/>
      <c r="G3589" s="28"/>
      <c r="H3589" s="28"/>
      <c r="I3589" s="28"/>
      <c r="J3589" s="28"/>
      <c r="K3589" s="28"/>
      <c r="L3589" s="28"/>
      <c r="M3589" s="28"/>
      <c r="N3589" s="28"/>
      <c r="O3589" s="28"/>
      <c r="P3589" s="28"/>
      <c r="Q3589" s="28"/>
      <c r="R3589" s="28"/>
      <c r="S3589" s="28"/>
    </row>
    <row r="3590" spans="1:19" x14ac:dyDescent="0.25">
      <c r="A3590" s="28"/>
      <c r="B3590" s="28"/>
      <c r="C3590" s="28"/>
      <c r="D3590" s="28"/>
      <c r="E3590" s="28"/>
      <c r="F3590" s="28"/>
      <c r="G3590" s="28"/>
      <c r="H3590" s="28"/>
      <c r="I3590" s="28"/>
      <c r="J3590" s="28"/>
      <c r="K3590" s="28"/>
      <c r="L3590" s="28"/>
      <c r="M3590" s="28"/>
      <c r="N3590" s="28"/>
      <c r="O3590" s="28"/>
      <c r="P3590" s="28"/>
      <c r="Q3590" s="28"/>
      <c r="R3590" s="28"/>
      <c r="S3590" s="28"/>
    </row>
    <row r="3591" spans="1:19" x14ac:dyDescent="0.25">
      <c r="A3591" s="28"/>
      <c r="B3591" s="28"/>
      <c r="C3591" s="28"/>
      <c r="D3591" s="28"/>
      <c r="E3591" s="28"/>
      <c r="F3591" s="28"/>
      <c r="G3591" s="28"/>
      <c r="H3591" s="28"/>
      <c r="I3591" s="28"/>
      <c r="J3591" s="28"/>
      <c r="K3591" s="28"/>
      <c r="L3591" s="28"/>
      <c r="M3591" s="28"/>
      <c r="N3591" s="28"/>
      <c r="O3591" s="28"/>
      <c r="P3591" s="28"/>
      <c r="Q3591" s="28"/>
      <c r="R3591" s="28"/>
      <c r="S3591" s="28"/>
    </row>
    <row r="3592" spans="1:19" x14ac:dyDescent="0.25">
      <c r="A3592" s="28"/>
      <c r="B3592" s="28"/>
      <c r="C3592" s="28"/>
      <c r="D3592" s="28"/>
      <c r="E3592" s="28"/>
      <c r="F3592" s="28"/>
      <c r="G3592" s="28"/>
      <c r="H3592" s="28"/>
      <c r="I3592" s="28"/>
      <c r="J3592" s="28"/>
      <c r="K3592" s="28"/>
      <c r="L3592" s="28"/>
      <c r="M3592" s="28"/>
      <c r="N3592" s="28"/>
      <c r="O3592" s="28"/>
      <c r="P3592" s="28"/>
      <c r="Q3592" s="28"/>
      <c r="R3592" s="28"/>
      <c r="S3592" s="28"/>
    </row>
    <row r="3593" spans="1:19" x14ac:dyDescent="0.25">
      <c r="A3593" s="28"/>
      <c r="B3593" s="28"/>
      <c r="C3593" s="28"/>
      <c r="D3593" s="28"/>
      <c r="E3593" s="28"/>
      <c r="F3593" s="28"/>
      <c r="G3593" s="28"/>
      <c r="H3593" s="28"/>
      <c r="I3593" s="28"/>
      <c r="J3593" s="28"/>
      <c r="K3593" s="28"/>
      <c r="L3593" s="28"/>
      <c r="M3593" s="28"/>
      <c r="N3593" s="28"/>
      <c r="O3593" s="28"/>
      <c r="P3593" s="28"/>
      <c r="Q3593" s="28"/>
      <c r="R3593" s="28"/>
      <c r="S3593" s="28"/>
    </row>
    <row r="3594" spans="1:19" x14ac:dyDescent="0.25">
      <c r="A3594" s="28"/>
      <c r="B3594" s="28"/>
      <c r="C3594" s="28"/>
      <c r="D3594" s="28"/>
      <c r="E3594" s="28"/>
      <c r="F3594" s="28"/>
      <c r="G3594" s="28"/>
      <c r="H3594" s="28"/>
      <c r="I3594" s="28"/>
      <c r="J3594" s="28"/>
      <c r="K3594" s="28"/>
      <c r="L3594" s="28"/>
      <c r="M3594" s="28"/>
      <c r="N3594" s="28"/>
      <c r="O3594" s="28"/>
      <c r="P3594" s="28"/>
      <c r="Q3594" s="28"/>
      <c r="R3594" s="28"/>
      <c r="S3594" s="28"/>
    </row>
    <row r="3595" spans="1:19" x14ac:dyDescent="0.25">
      <c r="A3595" s="28"/>
      <c r="B3595" s="28"/>
      <c r="C3595" s="28"/>
      <c r="D3595" s="28"/>
      <c r="E3595" s="28"/>
      <c r="F3595" s="28"/>
      <c r="G3595" s="28"/>
      <c r="H3595" s="28"/>
      <c r="I3595" s="28"/>
      <c r="J3595" s="28"/>
      <c r="K3595" s="28"/>
      <c r="L3595" s="28"/>
      <c r="M3595" s="28"/>
      <c r="N3595" s="28"/>
      <c r="O3595" s="28"/>
      <c r="P3595" s="28"/>
      <c r="Q3595" s="28"/>
      <c r="R3595" s="28"/>
      <c r="S3595" s="28"/>
    </row>
    <row r="3596" spans="1:19" x14ac:dyDescent="0.25">
      <c r="A3596" s="28"/>
      <c r="B3596" s="28"/>
      <c r="C3596" s="28"/>
      <c r="D3596" s="28"/>
      <c r="E3596" s="28"/>
      <c r="F3596" s="28"/>
      <c r="G3596" s="28"/>
      <c r="H3596" s="28"/>
      <c r="I3596" s="28"/>
      <c r="J3596" s="28"/>
      <c r="K3596" s="28"/>
      <c r="L3596" s="28"/>
      <c r="M3596" s="28"/>
      <c r="N3596" s="28"/>
      <c r="O3596" s="28"/>
      <c r="P3596" s="28"/>
      <c r="Q3596" s="28"/>
      <c r="R3596" s="28"/>
      <c r="S3596" s="28"/>
    </row>
    <row r="3597" spans="1:19" x14ac:dyDescent="0.25">
      <c r="A3597" s="28"/>
      <c r="B3597" s="28"/>
      <c r="C3597" s="28"/>
      <c r="D3597" s="28"/>
      <c r="E3597" s="28"/>
      <c r="F3597" s="28"/>
      <c r="G3597" s="28"/>
      <c r="H3597" s="28"/>
      <c r="I3597" s="28"/>
      <c r="J3597" s="28"/>
      <c r="K3597" s="28"/>
      <c r="L3597" s="28"/>
      <c r="M3597" s="28"/>
      <c r="N3597" s="28"/>
      <c r="O3597" s="28"/>
      <c r="P3597" s="28"/>
      <c r="Q3597" s="28"/>
      <c r="R3597" s="28"/>
      <c r="S3597" s="28"/>
    </row>
    <row r="3598" spans="1:19" x14ac:dyDescent="0.25">
      <c r="A3598" s="28"/>
      <c r="B3598" s="28"/>
      <c r="C3598" s="28"/>
      <c r="D3598" s="28"/>
      <c r="E3598" s="28"/>
      <c r="F3598" s="28"/>
      <c r="G3598" s="28"/>
      <c r="H3598" s="28"/>
      <c r="I3598" s="28"/>
      <c r="J3598" s="28"/>
      <c r="K3598" s="28"/>
      <c r="L3598" s="28"/>
      <c r="M3598" s="28"/>
      <c r="N3598" s="28"/>
      <c r="O3598" s="28"/>
      <c r="P3598" s="28"/>
      <c r="Q3598" s="28"/>
      <c r="R3598" s="28"/>
      <c r="S3598" s="28"/>
    </row>
    <row r="3599" spans="1:19" x14ac:dyDescent="0.25">
      <c r="A3599" s="28"/>
      <c r="B3599" s="28"/>
      <c r="C3599" s="28"/>
      <c r="D3599" s="28"/>
      <c r="E3599" s="28"/>
      <c r="F3599" s="28"/>
      <c r="G3599" s="28"/>
      <c r="H3599" s="28"/>
      <c r="I3599" s="28"/>
      <c r="J3599" s="28"/>
      <c r="K3599" s="28"/>
      <c r="L3599" s="28"/>
      <c r="M3599" s="28"/>
      <c r="N3599" s="28"/>
      <c r="O3599" s="28"/>
      <c r="P3599" s="28"/>
      <c r="Q3599" s="28"/>
      <c r="R3599" s="28"/>
      <c r="S3599" s="28"/>
    </row>
    <row r="3600" spans="1:19" x14ac:dyDescent="0.25">
      <c r="A3600" s="28"/>
      <c r="B3600" s="28"/>
      <c r="C3600" s="28"/>
      <c r="D3600" s="28"/>
      <c r="E3600" s="28"/>
      <c r="F3600" s="28"/>
      <c r="G3600" s="28"/>
      <c r="H3600" s="28"/>
      <c r="I3600" s="28"/>
      <c r="J3600" s="28"/>
      <c r="K3600" s="28"/>
      <c r="L3600" s="28"/>
      <c r="M3600" s="28"/>
      <c r="N3600" s="28"/>
      <c r="O3600" s="28"/>
      <c r="P3600" s="28"/>
      <c r="Q3600" s="28"/>
      <c r="R3600" s="28"/>
      <c r="S3600" s="28"/>
    </row>
    <row r="3601" spans="1:19" x14ac:dyDescent="0.25">
      <c r="A3601" s="28"/>
      <c r="B3601" s="28"/>
      <c r="C3601" s="28"/>
      <c r="D3601" s="28"/>
      <c r="E3601" s="28"/>
      <c r="F3601" s="28"/>
      <c r="G3601" s="28"/>
      <c r="H3601" s="28"/>
      <c r="I3601" s="28"/>
      <c r="J3601" s="28"/>
      <c r="K3601" s="28"/>
      <c r="L3601" s="28"/>
      <c r="M3601" s="28"/>
      <c r="N3601" s="28"/>
      <c r="O3601" s="28"/>
      <c r="P3601" s="28"/>
      <c r="Q3601" s="28"/>
      <c r="R3601" s="28"/>
      <c r="S3601" s="28"/>
    </row>
    <row r="3602" spans="1:19" x14ac:dyDescent="0.25">
      <c r="A3602" s="28"/>
      <c r="B3602" s="28"/>
      <c r="C3602" s="28"/>
      <c r="D3602" s="28"/>
      <c r="E3602" s="28"/>
      <c r="F3602" s="28"/>
      <c r="G3602" s="28"/>
      <c r="H3602" s="28"/>
      <c r="I3602" s="28"/>
      <c r="J3602" s="28"/>
      <c r="K3602" s="28"/>
      <c r="L3602" s="28"/>
      <c r="M3602" s="28"/>
      <c r="N3602" s="28"/>
      <c r="O3602" s="28"/>
      <c r="P3602" s="28"/>
      <c r="Q3602" s="28"/>
      <c r="R3602" s="28"/>
      <c r="S3602" s="28"/>
    </row>
    <row r="3603" spans="1:19" x14ac:dyDescent="0.25">
      <c r="A3603" s="28"/>
      <c r="B3603" s="28"/>
      <c r="C3603" s="28"/>
      <c r="D3603" s="28"/>
      <c r="E3603" s="28"/>
      <c r="F3603" s="28"/>
      <c r="G3603" s="28"/>
      <c r="H3603" s="28"/>
      <c r="I3603" s="28"/>
      <c r="J3603" s="28"/>
      <c r="K3603" s="28"/>
      <c r="L3603" s="28"/>
      <c r="M3603" s="28"/>
      <c r="N3603" s="28"/>
      <c r="O3603" s="28"/>
      <c r="P3603" s="28"/>
      <c r="Q3603" s="28"/>
      <c r="R3603" s="28"/>
      <c r="S3603" s="28"/>
    </row>
    <row r="3604" spans="1:19" x14ac:dyDescent="0.25">
      <c r="A3604" s="28"/>
      <c r="B3604" s="28"/>
      <c r="C3604" s="28"/>
      <c r="D3604" s="28"/>
      <c r="E3604" s="28"/>
      <c r="F3604" s="28"/>
      <c r="G3604" s="28"/>
      <c r="H3604" s="28"/>
      <c r="I3604" s="28"/>
      <c r="J3604" s="28"/>
      <c r="K3604" s="28"/>
      <c r="L3604" s="28"/>
      <c r="M3604" s="28"/>
      <c r="N3604" s="28"/>
      <c r="O3604" s="28"/>
      <c r="P3604" s="28"/>
      <c r="Q3604" s="28"/>
      <c r="R3604" s="28"/>
      <c r="S3604" s="28"/>
    </row>
    <row r="3605" spans="1:19" x14ac:dyDescent="0.25">
      <c r="A3605" s="28"/>
      <c r="B3605" s="28"/>
      <c r="C3605" s="28"/>
      <c r="D3605" s="28"/>
      <c r="E3605" s="28"/>
      <c r="F3605" s="28"/>
      <c r="G3605" s="28"/>
      <c r="H3605" s="28"/>
      <c r="I3605" s="28"/>
      <c r="J3605" s="28"/>
      <c r="K3605" s="28"/>
      <c r="L3605" s="28"/>
      <c r="M3605" s="28"/>
      <c r="N3605" s="28"/>
      <c r="O3605" s="28"/>
      <c r="P3605" s="28"/>
      <c r="Q3605" s="28"/>
      <c r="R3605" s="28"/>
      <c r="S3605" s="28"/>
    </row>
    <row r="3606" spans="1:19" x14ac:dyDescent="0.25">
      <c r="A3606" s="28"/>
      <c r="B3606" s="28"/>
      <c r="C3606" s="28"/>
      <c r="D3606" s="28"/>
      <c r="E3606" s="28"/>
      <c r="F3606" s="28"/>
      <c r="G3606" s="28"/>
      <c r="H3606" s="28"/>
      <c r="I3606" s="28"/>
      <c r="J3606" s="28"/>
      <c r="K3606" s="28"/>
      <c r="L3606" s="28"/>
      <c r="M3606" s="28"/>
      <c r="N3606" s="28"/>
      <c r="O3606" s="28"/>
      <c r="P3606" s="28"/>
      <c r="Q3606" s="28"/>
      <c r="R3606" s="28"/>
      <c r="S3606" s="28"/>
    </row>
    <row r="3607" spans="1:19" x14ac:dyDescent="0.25">
      <c r="A3607" s="28"/>
      <c r="B3607" s="28"/>
      <c r="C3607" s="28"/>
      <c r="D3607" s="28"/>
      <c r="E3607" s="28"/>
      <c r="F3607" s="28"/>
      <c r="G3607" s="28"/>
      <c r="H3607" s="28"/>
      <c r="I3607" s="28"/>
      <c r="J3607" s="28"/>
      <c r="K3607" s="28"/>
      <c r="L3607" s="28"/>
      <c r="M3607" s="28"/>
      <c r="N3607" s="28"/>
      <c r="O3607" s="28"/>
      <c r="P3607" s="28"/>
      <c r="Q3607" s="28"/>
      <c r="R3607" s="28"/>
      <c r="S3607" s="28"/>
    </row>
    <row r="3608" spans="1:19" x14ac:dyDescent="0.25">
      <c r="A3608" s="28"/>
      <c r="B3608" s="28"/>
      <c r="C3608" s="28"/>
      <c r="D3608" s="28"/>
      <c r="E3608" s="28"/>
      <c r="F3608" s="28"/>
      <c r="G3608" s="28"/>
      <c r="H3608" s="28"/>
      <c r="I3608" s="28"/>
      <c r="J3608" s="28"/>
      <c r="K3608" s="28"/>
      <c r="L3608" s="28"/>
      <c r="M3608" s="28"/>
      <c r="N3608" s="28"/>
      <c r="O3608" s="28"/>
      <c r="P3608" s="28"/>
      <c r="Q3608" s="28"/>
      <c r="R3608" s="28"/>
      <c r="S3608" s="28"/>
    </row>
    <row r="3609" spans="1:19" x14ac:dyDescent="0.25">
      <c r="A3609" s="28"/>
      <c r="B3609" s="28"/>
      <c r="C3609" s="28"/>
      <c r="D3609" s="28"/>
      <c r="E3609" s="28"/>
      <c r="F3609" s="28"/>
      <c r="G3609" s="28"/>
      <c r="H3609" s="28"/>
      <c r="I3609" s="28"/>
      <c r="J3609" s="28"/>
      <c r="K3609" s="28"/>
      <c r="L3609" s="28"/>
      <c r="M3609" s="28"/>
      <c r="N3609" s="28"/>
      <c r="O3609" s="28"/>
      <c r="P3609" s="28"/>
      <c r="Q3609" s="28"/>
      <c r="R3609" s="28"/>
      <c r="S3609" s="28"/>
    </row>
    <row r="3610" spans="1:19" x14ac:dyDescent="0.25">
      <c r="A3610" s="28"/>
      <c r="B3610" s="28"/>
      <c r="C3610" s="28"/>
      <c r="D3610" s="28"/>
      <c r="E3610" s="28"/>
      <c r="F3610" s="28"/>
      <c r="G3610" s="28"/>
      <c r="H3610" s="28"/>
      <c r="I3610" s="28"/>
      <c r="J3610" s="28"/>
      <c r="K3610" s="28"/>
      <c r="L3610" s="28"/>
      <c r="M3610" s="28"/>
      <c r="N3610" s="28"/>
      <c r="O3610" s="28"/>
      <c r="P3610" s="28"/>
      <c r="Q3610" s="28"/>
      <c r="R3610" s="28"/>
      <c r="S3610" s="28"/>
    </row>
    <row r="3611" spans="1:19" x14ac:dyDescent="0.25">
      <c r="A3611" s="28"/>
      <c r="B3611" s="28"/>
      <c r="C3611" s="28"/>
      <c r="D3611" s="28"/>
      <c r="E3611" s="28"/>
      <c r="F3611" s="28"/>
      <c r="G3611" s="28"/>
      <c r="H3611" s="28"/>
      <c r="I3611" s="28"/>
      <c r="J3611" s="28"/>
      <c r="K3611" s="28"/>
      <c r="L3611" s="28"/>
      <c r="M3611" s="28"/>
      <c r="N3611" s="28"/>
      <c r="O3611" s="28"/>
      <c r="P3611" s="28"/>
      <c r="Q3611" s="28"/>
      <c r="R3611" s="28"/>
      <c r="S3611" s="28"/>
    </row>
    <row r="3612" spans="1:19" x14ac:dyDescent="0.25">
      <c r="A3612" s="28"/>
      <c r="B3612" s="28"/>
      <c r="C3612" s="28"/>
      <c r="D3612" s="28"/>
      <c r="E3612" s="28"/>
      <c r="F3612" s="28"/>
      <c r="G3612" s="28"/>
      <c r="H3612" s="28"/>
      <c r="I3612" s="28"/>
      <c r="J3612" s="28"/>
      <c r="K3612" s="28"/>
      <c r="L3612" s="28"/>
      <c r="M3612" s="28"/>
      <c r="N3612" s="28"/>
      <c r="O3612" s="28"/>
      <c r="P3612" s="28"/>
      <c r="Q3612" s="28"/>
      <c r="R3612" s="28"/>
      <c r="S3612" s="28"/>
    </row>
    <row r="3613" spans="1:19" x14ac:dyDescent="0.25">
      <c r="A3613" s="28"/>
      <c r="B3613" s="28"/>
      <c r="C3613" s="28"/>
      <c r="D3613" s="28"/>
      <c r="E3613" s="28"/>
      <c r="F3613" s="28"/>
      <c r="G3613" s="28"/>
      <c r="H3613" s="28"/>
      <c r="I3613" s="28"/>
      <c r="J3613" s="28"/>
      <c r="K3613" s="28"/>
      <c r="L3613" s="28"/>
      <c r="M3613" s="28"/>
      <c r="N3613" s="28"/>
      <c r="O3613" s="28"/>
      <c r="P3613" s="28"/>
      <c r="Q3613" s="28"/>
      <c r="R3613" s="28"/>
      <c r="S3613" s="28"/>
    </row>
    <row r="3614" spans="1:19" x14ac:dyDescent="0.25">
      <c r="A3614" s="28"/>
      <c r="B3614" s="28"/>
      <c r="C3614" s="28"/>
      <c r="D3614" s="28"/>
      <c r="E3614" s="28"/>
      <c r="F3614" s="28"/>
      <c r="G3614" s="28"/>
      <c r="H3614" s="28"/>
      <c r="I3614" s="28"/>
      <c r="J3614" s="28"/>
      <c r="K3614" s="28"/>
      <c r="L3614" s="28"/>
      <c r="M3614" s="28"/>
      <c r="N3614" s="28"/>
      <c r="O3614" s="28"/>
      <c r="P3614" s="28"/>
      <c r="Q3614" s="28"/>
      <c r="R3614" s="28"/>
      <c r="S3614" s="28"/>
    </row>
    <row r="3615" spans="1:19" x14ac:dyDescent="0.25">
      <c r="A3615" s="28"/>
      <c r="B3615" s="28"/>
      <c r="C3615" s="28"/>
      <c r="D3615" s="28"/>
      <c r="E3615" s="28"/>
      <c r="F3615" s="28"/>
      <c r="G3615" s="28"/>
      <c r="H3615" s="28"/>
      <c r="I3615" s="28"/>
      <c r="J3615" s="28"/>
      <c r="K3615" s="28"/>
      <c r="L3615" s="28"/>
      <c r="M3615" s="28"/>
      <c r="N3615" s="28"/>
      <c r="O3615" s="28"/>
      <c r="P3615" s="28"/>
      <c r="Q3615" s="28"/>
      <c r="R3615" s="28"/>
      <c r="S3615" s="28"/>
    </row>
    <row r="3616" spans="1:19" x14ac:dyDescent="0.25">
      <c r="A3616" s="28"/>
      <c r="B3616" s="28"/>
      <c r="C3616" s="28"/>
      <c r="D3616" s="28"/>
      <c r="E3616" s="28"/>
      <c r="F3616" s="28"/>
      <c r="G3616" s="28"/>
      <c r="H3616" s="28"/>
      <c r="I3616" s="28"/>
      <c r="J3616" s="28"/>
      <c r="K3616" s="28"/>
      <c r="L3616" s="28"/>
      <c r="M3616" s="28"/>
      <c r="N3616" s="28"/>
      <c r="O3616" s="28"/>
      <c r="P3616" s="28"/>
      <c r="Q3616" s="28"/>
      <c r="R3616" s="28"/>
      <c r="S3616" s="28"/>
    </row>
    <row r="3617" spans="1:19" x14ac:dyDescent="0.25">
      <c r="A3617" s="28"/>
      <c r="B3617" s="28"/>
      <c r="C3617" s="28"/>
      <c r="D3617" s="28"/>
      <c r="E3617" s="28"/>
      <c r="F3617" s="28"/>
      <c r="G3617" s="28"/>
      <c r="H3617" s="28"/>
      <c r="I3617" s="28"/>
      <c r="J3617" s="28"/>
      <c r="K3617" s="28"/>
      <c r="L3617" s="28"/>
      <c r="M3617" s="28"/>
      <c r="N3617" s="28"/>
      <c r="O3617" s="28"/>
      <c r="P3617" s="28"/>
      <c r="Q3617" s="28"/>
      <c r="R3617" s="28"/>
      <c r="S3617" s="28"/>
    </row>
    <row r="3618" spans="1:19" x14ac:dyDescent="0.25">
      <c r="A3618" s="28"/>
      <c r="B3618" s="28"/>
      <c r="C3618" s="28"/>
      <c r="D3618" s="28"/>
      <c r="E3618" s="28"/>
      <c r="F3618" s="28"/>
      <c r="G3618" s="28"/>
      <c r="H3618" s="28"/>
      <c r="I3618" s="28"/>
      <c r="J3618" s="28"/>
      <c r="K3618" s="28"/>
      <c r="L3618" s="28"/>
      <c r="M3618" s="28"/>
      <c r="N3618" s="28"/>
      <c r="O3618" s="28"/>
      <c r="P3618" s="28"/>
      <c r="Q3618" s="28"/>
      <c r="R3618" s="28"/>
      <c r="S3618" s="28"/>
    </row>
    <row r="3619" spans="1:19" x14ac:dyDescent="0.25">
      <c r="A3619" s="28"/>
      <c r="B3619" s="28"/>
      <c r="C3619" s="28"/>
      <c r="D3619" s="28"/>
      <c r="E3619" s="28"/>
      <c r="F3619" s="28"/>
      <c r="G3619" s="28"/>
      <c r="H3619" s="28"/>
      <c r="I3619" s="28"/>
      <c r="J3619" s="28"/>
      <c r="K3619" s="28"/>
      <c r="L3619" s="28"/>
      <c r="M3619" s="28"/>
      <c r="N3619" s="28"/>
      <c r="O3619" s="28"/>
      <c r="P3619" s="28"/>
      <c r="Q3619" s="28"/>
      <c r="R3619" s="28"/>
      <c r="S3619" s="28"/>
    </row>
    <row r="3620" spans="1:19" x14ac:dyDescent="0.25">
      <c r="A3620" s="28"/>
      <c r="B3620" s="28"/>
      <c r="C3620" s="28"/>
      <c r="D3620" s="28"/>
      <c r="E3620" s="28"/>
      <c r="F3620" s="28"/>
      <c r="G3620" s="28"/>
      <c r="H3620" s="28"/>
      <c r="I3620" s="28"/>
      <c r="J3620" s="28"/>
      <c r="K3620" s="28"/>
      <c r="L3620" s="28"/>
      <c r="M3620" s="28"/>
      <c r="N3620" s="28"/>
      <c r="O3620" s="28"/>
      <c r="P3620" s="28"/>
      <c r="Q3620" s="28"/>
      <c r="R3620" s="28"/>
      <c r="S3620" s="28"/>
    </row>
    <row r="3621" spans="1:19" x14ac:dyDescent="0.25">
      <c r="A3621" s="28"/>
      <c r="B3621" s="28"/>
      <c r="C3621" s="28"/>
      <c r="D3621" s="28"/>
      <c r="E3621" s="28"/>
      <c r="F3621" s="28"/>
      <c r="G3621" s="28"/>
      <c r="H3621" s="28"/>
      <c r="I3621" s="28"/>
      <c r="J3621" s="28"/>
      <c r="K3621" s="28"/>
      <c r="L3621" s="28"/>
      <c r="M3621" s="28"/>
      <c r="N3621" s="28"/>
      <c r="O3621" s="28"/>
      <c r="P3621" s="28"/>
      <c r="Q3621" s="28"/>
      <c r="R3621" s="28"/>
      <c r="S3621" s="28"/>
    </row>
    <row r="3622" spans="1:19" x14ac:dyDescent="0.25">
      <c r="A3622" s="28"/>
      <c r="B3622" s="28"/>
      <c r="C3622" s="28"/>
      <c r="D3622" s="28"/>
      <c r="E3622" s="28"/>
      <c r="F3622" s="28"/>
      <c r="G3622" s="28"/>
      <c r="H3622" s="28"/>
      <c r="I3622" s="28"/>
      <c r="J3622" s="28"/>
      <c r="K3622" s="28"/>
      <c r="L3622" s="28"/>
      <c r="M3622" s="28"/>
      <c r="N3622" s="28"/>
      <c r="O3622" s="28"/>
      <c r="P3622" s="28"/>
      <c r="Q3622" s="28"/>
      <c r="R3622" s="28"/>
      <c r="S3622" s="28"/>
    </row>
    <row r="3623" spans="1:19" x14ac:dyDescent="0.25">
      <c r="A3623" s="28"/>
      <c r="B3623" s="28"/>
      <c r="C3623" s="28"/>
      <c r="D3623" s="28"/>
      <c r="E3623" s="28"/>
      <c r="F3623" s="28"/>
      <c r="G3623" s="28"/>
      <c r="H3623" s="28"/>
      <c r="I3623" s="28"/>
      <c r="J3623" s="28"/>
      <c r="K3623" s="28"/>
      <c r="L3623" s="28"/>
      <c r="M3623" s="28"/>
      <c r="N3623" s="28"/>
      <c r="O3623" s="28"/>
      <c r="P3623" s="28"/>
      <c r="Q3623" s="28"/>
      <c r="R3623" s="28"/>
      <c r="S3623" s="28"/>
    </row>
    <row r="3624" spans="1:19" x14ac:dyDescent="0.25">
      <c r="A3624" s="28"/>
      <c r="B3624" s="28"/>
      <c r="C3624" s="28"/>
      <c r="D3624" s="28"/>
      <c r="E3624" s="28"/>
      <c r="F3624" s="28"/>
      <c r="G3624" s="28"/>
      <c r="H3624" s="28"/>
      <c r="I3624" s="28"/>
      <c r="J3624" s="28"/>
      <c r="K3624" s="28"/>
      <c r="L3624" s="28"/>
      <c r="M3624" s="28"/>
      <c r="N3624" s="28"/>
      <c r="O3624" s="28"/>
      <c r="P3624" s="28"/>
      <c r="Q3624" s="28"/>
      <c r="R3624" s="28"/>
      <c r="S3624" s="28"/>
    </row>
    <row r="3625" spans="1:19" x14ac:dyDescent="0.25">
      <c r="A3625" s="28"/>
      <c r="B3625" s="28"/>
      <c r="C3625" s="28"/>
      <c r="D3625" s="28"/>
      <c r="E3625" s="28"/>
      <c r="F3625" s="28"/>
      <c r="G3625" s="28"/>
      <c r="H3625" s="28"/>
      <c r="I3625" s="28"/>
      <c r="J3625" s="28"/>
      <c r="K3625" s="28"/>
      <c r="L3625" s="28"/>
      <c r="M3625" s="28"/>
      <c r="N3625" s="28"/>
      <c r="O3625" s="28"/>
      <c r="P3625" s="28"/>
      <c r="Q3625" s="28"/>
      <c r="R3625" s="28"/>
      <c r="S3625" s="28"/>
    </row>
    <row r="3626" spans="1:19" x14ac:dyDescent="0.25">
      <c r="A3626" s="28"/>
      <c r="B3626" s="28"/>
      <c r="C3626" s="28"/>
      <c r="D3626" s="28"/>
      <c r="E3626" s="28"/>
      <c r="F3626" s="28"/>
      <c r="G3626" s="28"/>
      <c r="H3626" s="28"/>
      <c r="I3626" s="28"/>
      <c r="J3626" s="28"/>
      <c r="K3626" s="28"/>
      <c r="L3626" s="28"/>
      <c r="M3626" s="28"/>
      <c r="N3626" s="28"/>
      <c r="O3626" s="28"/>
      <c r="P3626" s="28"/>
      <c r="Q3626" s="28"/>
      <c r="R3626" s="28"/>
      <c r="S3626" s="28"/>
    </row>
    <row r="3627" spans="1:19" x14ac:dyDescent="0.25">
      <c r="A3627" s="28"/>
      <c r="B3627" s="28"/>
      <c r="C3627" s="28"/>
      <c r="D3627" s="28"/>
      <c r="E3627" s="28"/>
      <c r="F3627" s="28"/>
      <c r="G3627" s="28"/>
      <c r="H3627" s="28"/>
      <c r="I3627" s="28"/>
      <c r="J3627" s="28"/>
      <c r="K3627" s="28"/>
      <c r="L3627" s="28"/>
      <c r="M3627" s="28"/>
      <c r="N3627" s="28"/>
      <c r="O3627" s="28"/>
      <c r="P3627" s="28"/>
      <c r="Q3627" s="28"/>
      <c r="R3627" s="28"/>
      <c r="S3627" s="28"/>
    </row>
    <row r="3628" spans="1:19" x14ac:dyDescent="0.25">
      <c r="A3628" s="28"/>
      <c r="B3628" s="28"/>
      <c r="C3628" s="28"/>
      <c r="D3628" s="28"/>
      <c r="E3628" s="28"/>
      <c r="F3628" s="28"/>
      <c r="G3628" s="28"/>
      <c r="H3628" s="28"/>
      <c r="I3628" s="28"/>
      <c r="J3628" s="28"/>
      <c r="K3628" s="28"/>
      <c r="L3628" s="28"/>
      <c r="M3628" s="28"/>
      <c r="N3628" s="28"/>
      <c r="O3628" s="28"/>
      <c r="P3628" s="28"/>
      <c r="Q3628" s="28"/>
      <c r="R3628" s="28"/>
      <c r="S3628" s="28"/>
    </row>
    <row r="3629" spans="1:19" x14ac:dyDescent="0.25">
      <c r="A3629" s="28"/>
      <c r="B3629" s="28"/>
      <c r="C3629" s="28"/>
      <c r="D3629" s="28"/>
      <c r="E3629" s="28"/>
      <c r="F3629" s="28"/>
      <c r="G3629" s="28"/>
      <c r="H3629" s="28"/>
      <c r="I3629" s="28"/>
      <c r="J3629" s="28"/>
      <c r="K3629" s="28"/>
      <c r="L3629" s="28"/>
      <c r="M3629" s="28"/>
      <c r="N3629" s="28"/>
      <c r="O3629" s="28"/>
      <c r="P3629" s="28"/>
      <c r="Q3629" s="28"/>
      <c r="R3629" s="28"/>
      <c r="S3629" s="28"/>
    </row>
    <row r="3630" spans="1:19" x14ac:dyDescent="0.25">
      <c r="A3630" s="28"/>
      <c r="B3630" s="28"/>
      <c r="C3630" s="28"/>
      <c r="D3630" s="28"/>
      <c r="E3630" s="28"/>
      <c r="F3630" s="28"/>
      <c r="G3630" s="28"/>
      <c r="H3630" s="28"/>
      <c r="I3630" s="28"/>
      <c r="J3630" s="28"/>
      <c r="K3630" s="28"/>
      <c r="L3630" s="28"/>
      <c r="M3630" s="28"/>
      <c r="N3630" s="28"/>
      <c r="O3630" s="28"/>
      <c r="P3630" s="28"/>
      <c r="Q3630" s="28"/>
      <c r="R3630" s="28"/>
      <c r="S3630" s="28"/>
    </row>
    <row r="3631" spans="1:19" x14ac:dyDescent="0.25">
      <c r="A3631" s="28"/>
      <c r="B3631" s="28"/>
      <c r="C3631" s="28"/>
      <c r="D3631" s="28"/>
      <c r="E3631" s="28"/>
      <c r="F3631" s="28"/>
      <c r="G3631" s="28"/>
      <c r="H3631" s="28"/>
      <c r="I3631" s="28"/>
      <c r="J3631" s="28"/>
      <c r="K3631" s="28"/>
      <c r="L3631" s="28"/>
      <c r="M3631" s="28"/>
      <c r="N3631" s="28"/>
      <c r="O3631" s="28"/>
      <c r="P3631" s="28"/>
      <c r="Q3631" s="28"/>
      <c r="R3631" s="28"/>
      <c r="S3631" s="28"/>
    </row>
    <row r="3632" spans="1:19" x14ac:dyDescent="0.25">
      <c r="A3632" s="28"/>
      <c r="B3632" s="28"/>
      <c r="C3632" s="28"/>
      <c r="D3632" s="28"/>
      <c r="E3632" s="28"/>
      <c r="F3632" s="28"/>
      <c r="G3632" s="28"/>
      <c r="H3632" s="28"/>
      <c r="I3632" s="28"/>
      <c r="J3632" s="28"/>
      <c r="K3632" s="28"/>
      <c r="L3632" s="28"/>
      <c r="M3632" s="28"/>
      <c r="N3632" s="28"/>
      <c r="O3632" s="28"/>
      <c r="P3632" s="28"/>
      <c r="Q3632" s="28"/>
      <c r="R3632" s="28"/>
      <c r="S3632" s="28"/>
    </row>
    <row r="3633" spans="1:19" x14ac:dyDescent="0.25">
      <c r="A3633" s="28"/>
      <c r="B3633" s="28"/>
      <c r="C3633" s="28"/>
      <c r="D3633" s="28"/>
      <c r="E3633" s="28"/>
      <c r="F3633" s="28"/>
      <c r="G3633" s="28"/>
      <c r="H3633" s="28"/>
      <c r="I3633" s="28"/>
      <c r="J3633" s="28"/>
      <c r="K3633" s="28"/>
      <c r="L3633" s="28"/>
      <c r="M3633" s="28"/>
      <c r="N3633" s="28"/>
      <c r="O3633" s="28"/>
      <c r="P3633" s="28"/>
      <c r="Q3633" s="28"/>
      <c r="R3633" s="28"/>
      <c r="S3633" s="28"/>
    </row>
    <row r="3634" spans="1:19" x14ac:dyDescent="0.25">
      <c r="A3634" s="28"/>
      <c r="B3634" s="28"/>
      <c r="C3634" s="28"/>
      <c r="D3634" s="28"/>
      <c r="E3634" s="28"/>
      <c r="F3634" s="28"/>
      <c r="G3634" s="28"/>
      <c r="H3634" s="28"/>
      <c r="I3634" s="28"/>
      <c r="J3634" s="28"/>
      <c r="K3634" s="28"/>
      <c r="L3634" s="28"/>
      <c r="M3634" s="28"/>
      <c r="N3634" s="28"/>
      <c r="O3634" s="28"/>
      <c r="P3634" s="28"/>
      <c r="Q3634" s="28"/>
      <c r="R3634" s="28"/>
      <c r="S3634" s="28"/>
    </row>
    <row r="3635" spans="1:19" x14ac:dyDescent="0.25">
      <c r="A3635" s="28"/>
      <c r="B3635" s="28"/>
      <c r="C3635" s="28"/>
      <c r="D3635" s="28"/>
      <c r="E3635" s="28"/>
      <c r="F3635" s="28"/>
      <c r="G3635" s="28"/>
      <c r="H3635" s="28"/>
      <c r="I3635" s="28"/>
      <c r="J3635" s="28"/>
      <c r="K3635" s="28"/>
      <c r="L3635" s="28"/>
      <c r="M3635" s="28"/>
      <c r="N3635" s="28"/>
      <c r="O3635" s="28"/>
      <c r="P3635" s="28"/>
      <c r="Q3635" s="28"/>
      <c r="R3635" s="28"/>
      <c r="S3635" s="28"/>
    </row>
    <row r="3636" spans="1:19" x14ac:dyDescent="0.25">
      <c r="A3636" s="28"/>
      <c r="B3636" s="28"/>
      <c r="C3636" s="28"/>
      <c r="D3636" s="28"/>
      <c r="E3636" s="28"/>
      <c r="F3636" s="28"/>
      <c r="G3636" s="28"/>
      <c r="H3636" s="28"/>
      <c r="I3636" s="28"/>
      <c r="J3636" s="28"/>
      <c r="K3636" s="28"/>
      <c r="L3636" s="28"/>
      <c r="M3636" s="28"/>
      <c r="N3636" s="28"/>
      <c r="O3636" s="28"/>
      <c r="P3636" s="28"/>
      <c r="Q3636" s="28"/>
      <c r="R3636" s="28"/>
      <c r="S3636" s="28"/>
    </row>
    <row r="3637" spans="1:19" x14ac:dyDescent="0.25">
      <c r="A3637" s="28"/>
      <c r="B3637" s="28"/>
      <c r="C3637" s="28"/>
      <c r="D3637" s="28"/>
      <c r="E3637" s="28"/>
      <c r="F3637" s="28"/>
      <c r="G3637" s="28"/>
      <c r="H3637" s="28"/>
      <c r="I3637" s="28"/>
      <c r="J3637" s="28"/>
      <c r="K3637" s="28"/>
      <c r="L3637" s="28"/>
      <c r="M3637" s="28"/>
      <c r="N3637" s="28"/>
      <c r="O3637" s="28"/>
      <c r="P3637" s="28"/>
      <c r="Q3637" s="28"/>
      <c r="R3637" s="28"/>
      <c r="S3637" s="28"/>
    </row>
    <row r="3638" spans="1:19" x14ac:dyDescent="0.25">
      <c r="A3638" s="28"/>
      <c r="B3638" s="28"/>
      <c r="C3638" s="28"/>
      <c r="D3638" s="28"/>
      <c r="E3638" s="28"/>
      <c r="F3638" s="28"/>
      <c r="G3638" s="28"/>
      <c r="H3638" s="28"/>
      <c r="I3638" s="28"/>
      <c r="J3638" s="28"/>
      <c r="K3638" s="28"/>
      <c r="L3638" s="28"/>
      <c r="M3638" s="28"/>
      <c r="N3638" s="28"/>
      <c r="O3638" s="28"/>
      <c r="P3638" s="28"/>
      <c r="Q3638" s="28"/>
      <c r="R3638" s="28"/>
      <c r="S3638" s="28"/>
    </row>
    <row r="3639" spans="1:19" x14ac:dyDescent="0.25">
      <c r="A3639" s="28"/>
      <c r="B3639" s="28"/>
      <c r="C3639" s="28"/>
      <c r="D3639" s="28"/>
      <c r="E3639" s="28"/>
      <c r="F3639" s="28"/>
      <c r="G3639" s="28"/>
      <c r="H3639" s="28"/>
      <c r="I3639" s="28"/>
      <c r="J3639" s="28"/>
      <c r="K3639" s="28"/>
      <c r="L3639" s="28"/>
      <c r="M3639" s="28"/>
      <c r="N3639" s="28"/>
      <c r="O3639" s="28"/>
      <c r="P3639" s="28"/>
      <c r="Q3639" s="28"/>
      <c r="R3639" s="28"/>
      <c r="S3639" s="28"/>
    </row>
    <row r="3640" spans="1:19" x14ac:dyDescent="0.25">
      <c r="A3640" s="28"/>
      <c r="B3640" s="28"/>
      <c r="C3640" s="28"/>
      <c r="D3640" s="28"/>
      <c r="E3640" s="28"/>
      <c r="F3640" s="28"/>
      <c r="G3640" s="28"/>
      <c r="H3640" s="28"/>
      <c r="I3640" s="28"/>
      <c r="J3640" s="28"/>
      <c r="K3640" s="28"/>
      <c r="L3640" s="28"/>
      <c r="M3640" s="28"/>
      <c r="N3640" s="28"/>
      <c r="O3640" s="28"/>
      <c r="P3640" s="28"/>
      <c r="Q3640" s="28"/>
      <c r="R3640" s="28"/>
      <c r="S3640" s="28"/>
    </row>
    <row r="3641" spans="1:19" x14ac:dyDescent="0.25">
      <c r="A3641" s="28"/>
      <c r="B3641" s="28"/>
      <c r="C3641" s="28"/>
      <c r="D3641" s="28"/>
      <c r="E3641" s="28"/>
      <c r="F3641" s="28"/>
      <c r="G3641" s="28"/>
      <c r="H3641" s="28"/>
      <c r="I3641" s="28"/>
      <c r="J3641" s="28"/>
      <c r="K3641" s="28"/>
      <c r="L3641" s="28"/>
      <c r="M3641" s="28"/>
      <c r="N3641" s="28"/>
      <c r="O3641" s="28"/>
      <c r="P3641" s="28"/>
      <c r="Q3641" s="28"/>
      <c r="R3641" s="28"/>
      <c r="S3641" s="28"/>
    </row>
    <row r="3642" spans="1:19" x14ac:dyDescent="0.25">
      <c r="A3642" s="28"/>
      <c r="B3642" s="28"/>
      <c r="C3642" s="28"/>
      <c r="D3642" s="28"/>
      <c r="E3642" s="28"/>
      <c r="F3642" s="28"/>
      <c r="G3642" s="28"/>
      <c r="H3642" s="28"/>
      <c r="I3642" s="28"/>
      <c r="J3642" s="28"/>
      <c r="K3642" s="28"/>
      <c r="L3642" s="28"/>
      <c r="M3642" s="28"/>
      <c r="N3642" s="28"/>
      <c r="O3642" s="28"/>
      <c r="P3642" s="28"/>
      <c r="Q3642" s="28"/>
      <c r="R3642" s="28"/>
      <c r="S3642" s="28"/>
    </row>
    <row r="3643" spans="1:19" x14ac:dyDescent="0.25">
      <c r="A3643" s="28"/>
      <c r="B3643" s="28"/>
      <c r="C3643" s="28"/>
      <c r="D3643" s="28"/>
      <c r="E3643" s="28"/>
      <c r="F3643" s="28"/>
      <c r="G3643" s="28"/>
      <c r="H3643" s="28"/>
      <c r="I3643" s="28"/>
      <c r="J3643" s="28"/>
      <c r="K3643" s="28"/>
      <c r="L3643" s="28"/>
      <c r="M3643" s="28"/>
      <c r="N3643" s="28"/>
      <c r="O3643" s="28"/>
      <c r="P3643" s="28"/>
      <c r="Q3643" s="28"/>
      <c r="R3643" s="28"/>
      <c r="S3643" s="28"/>
    </row>
    <row r="3644" spans="1:19" x14ac:dyDescent="0.25">
      <c r="A3644" s="28"/>
      <c r="B3644" s="28"/>
      <c r="C3644" s="28"/>
      <c r="D3644" s="28"/>
      <c r="E3644" s="28"/>
      <c r="F3644" s="28"/>
      <c r="G3644" s="28"/>
      <c r="H3644" s="28"/>
      <c r="I3644" s="28"/>
      <c r="J3644" s="28"/>
      <c r="K3644" s="28"/>
      <c r="L3644" s="28"/>
      <c r="M3644" s="28"/>
      <c r="N3644" s="28"/>
      <c r="O3644" s="28"/>
      <c r="P3644" s="28"/>
      <c r="Q3644" s="28"/>
      <c r="R3644" s="28"/>
      <c r="S3644" s="28"/>
    </row>
    <row r="3645" spans="1:19" x14ac:dyDescent="0.25">
      <c r="A3645" s="28"/>
      <c r="B3645" s="28"/>
      <c r="C3645" s="28"/>
      <c r="D3645" s="28"/>
      <c r="E3645" s="28"/>
      <c r="F3645" s="28"/>
      <c r="G3645" s="28"/>
      <c r="H3645" s="28"/>
      <c r="I3645" s="28"/>
      <c r="J3645" s="28"/>
      <c r="K3645" s="28"/>
      <c r="L3645" s="28"/>
      <c r="M3645" s="28"/>
      <c r="N3645" s="28"/>
      <c r="O3645" s="28"/>
      <c r="P3645" s="28"/>
      <c r="Q3645" s="28"/>
      <c r="R3645" s="28"/>
      <c r="S3645" s="28"/>
    </row>
    <row r="3646" spans="1:19" x14ac:dyDescent="0.25">
      <c r="A3646" s="28"/>
      <c r="B3646" s="28"/>
      <c r="C3646" s="28"/>
      <c r="D3646" s="28"/>
      <c r="E3646" s="28"/>
      <c r="F3646" s="28"/>
      <c r="G3646" s="28"/>
      <c r="H3646" s="28"/>
      <c r="I3646" s="28"/>
      <c r="J3646" s="28"/>
      <c r="K3646" s="28"/>
      <c r="L3646" s="28"/>
      <c r="M3646" s="28"/>
      <c r="N3646" s="28"/>
      <c r="O3646" s="28"/>
      <c r="P3646" s="28"/>
      <c r="Q3646" s="28"/>
      <c r="R3646" s="28"/>
      <c r="S3646" s="28"/>
    </row>
    <row r="3647" spans="1:19" x14ac:dyDescent="0.25">
      <c r="A3647" s="28"/>
      <c r="B3647" s="28"/>
      <c r="C3647" s="28"/>
      <c r="D3647" s="28"/>
      <c r="E3647" s="28"/>
      <c r="F3647" s="28"/>
      <c r="G3647" s="28"/>
      <c r="H3647" s="28"/>
      <c r="I3647" s="28"/>
      <c r="J3647" s="28"/>
      <c r="K3647" s="28"/>
      <c r="L3647" s="28"/>
      <c r="M3647" s="28"/>
      <c r="N3647" s="28"/>
      <c r="O3647" s="28"/>
      <c r="P3647" s="28"/>
      <c r="Q3647" s="28"/>
      <c r="R3647" s="28"/>
      <c r="S3647" s="28"/>
    </row>
    <row r="3648" spans="1:19" x14ac:dyDescent="0.25">
      <c r="A3648" s="28"/>
      <c r="B3648" s="28"/>
      <c r="C3648" s="28"/>
      <c r="D3648" s="28"/>
      <c r="E3648" s="28"/>
      <c r="F3648" s="28"/>
      <c r="G3648" s="28"/>
      <c r="H3648" s="28"/>
      <c r="I3648" s="28"/>
      <c r="J3648" s="28"/>
      <c r="K3648" s="28"/>
      <c r="L3648" s="28"/>
      <c r="M3648" s="28"/>
      <c r="N3648" s="28"/>
      <c r="O3648" s="28"/>
      <c r="P3648" s="28"/>
      <c r="Q3648" s="28"/>
      <c r="R3648" s="28"/>
      <c r="S3648" s="28"/>
    </row>
    <row r="3649" spans="1:19" x14ac:dyDescent="0.25">
      <c r="A3649" s="28"/>
      <c r="B3649" s="28"/>
      <c r="C3649" s="28"/>
      <c r="D3649" s="28"/>
      <c r="E3649" s="28"/>
      <c r="F3649" s="28"/>
      <c r="G3649" s="28"/>
      <c r="H3649" s="28"/>
      <c r="I3649" s="28"/>
      <c r="J3649" s="28"/>
      <c r="K3649" s="28"/>
      <c r="L3649" s="28"/>
      <c r="M3649" s="28"/>
      <c r="N3649" s="28"/>
      <c r="O3649" s="28"/>
      <c r="P3649" s="28"/>
      <c r="Q3649" s="28"/>
      <c r="R3649" s="28"/>
      <c r="S3649" s="28"/>
    </row>
    <row r="3650" spans="1:19" x14ac:dyDescent="0.25">
      <c r="A3650" s="28"/>
      <c r="B3650" s="28"/>
      <c r="C3650" s="28"/>
      <c r="D3650" s="28"/>
      <c r="E3650" s="28"/>
      <c r="F3650" s="28"/>
      <c r="G3650" s="28"/>
      <c r="H3650" s="28"/>
      <c r="I3650" s="28"/>
      <c r="J3650" s="28"/>
      <c r="K3650" s="28"/>
      <c r="L3650" s="28"/>
      <c r="M3650" s="28"/>
      <c r="N3650" s="28"/>
      <c r="O3650" s="28"/>
      <c r="P3650" s="28"/>
      <c r="Q3650" s="28"/>
      <c r="R3650" s="28"/>
      <c r="S3650" s="28"/>
    </row>
    <row r="3651" spans="1:19" x14ac:dyDescent="0.25">
      <c r="A3651" s="28"/>
      <c r="B3651" s="28"/>
      <c r="C3651" s="28"/>
      <c r="D3651" s="28"/>
      <c r="E3651" s="28"/>
      <c r="F3651" s="28"/>
      <c r="G3651" s="28"/>
      <c r="H3651" s="28"/>
      <c r="I3651" s="28"/>
      <c r="J3651" s="28"/>
      <c r="K3651" s="28"/>
      <c r="L3651" s="28"/>
      <c r="M3651" s="28"/>
      <c r="N3651" s="28"/>
      <c r="O3651" s="28"/>
      <c r="P3651" s="28"/>
      <c r="Q3651" s="28"/>
      <c r="R3651" s="28"/>
      <c r="S3651" s="28"/>
    </row>
    <row r="3652" spans="1:19" x14ac:dyDescent="0.25">
      <c r="A3652" s="28"/>
      <c r="B3652" s="28"/>
      <c r="C3652" s="28"/>
      <c r="D3652" s="28"/>
      <c r="E3652" s="28"/>
      <c r="F3652" s="28"/>
      <c r="G3652" s="28"/>
      <c r="H3652" s="28"/>
      <c r="I3652" s="28"/>
      <c r="J3652" s="28"/>
      <c r="K3652" s="28"/>
      <c r="L3652" s="28"/>
      <c r="M3652" s="28"/>
      <c r="N3652" s="28"/>
      <c r="O3652" s="28"/>
      <c r="P3652" s="28"/>
      <c r="Q3652" s="28"/>
      <c r="R3652" s="28"/>
      <c r="S3652" s="28"/>
    </row>
    <row r="3653" spans="1:19" x14ac:dyDescent="0.25">
      <c r="A3653" s="28"/>
      <c r="B3653" s="28"/>
      <c r="C3653" s="28"/>
      <c r="D3653" s="28"/>
      <c r="E3653" s="28"/>
      <c r="F3653" s="28"/>
      <c r="G3653" s="28"/>
      <c r="H3653" s="28"/>
      <c r="I3653" s="28"/>
      <c r="J3653" s="28"/>
      <c r="K3653" s="28"/>
      <c r="L3653" s="28"/>
      <c r="M3653" s="28"/>
      <c r="N3653" s="28"/>
      <c r="O3653" s="28"/>
      <c r="P3653" s="28"/>
      <c r="Q3653" s="28"/>
      <c r="R3653" s="28"/>
      <c r="S3653" s="28"/>
    </row>
    <row r="3654" spans="1:19" x14ac:dyDescent="0.25">
      <c r="A3654" s="28"/>
      <c r="B3654" s="28"/>
      <c r="C3654" s="28"/>
      <c r="D3654" s="28"/>
      <c r="E3654" s="28"/>
      <c r="F3654" s="28"/>
      <c r="G3654" s="28"/>
      <c r="H3654" s="28"/>
      <c r="I3654" s="28"/>
      <c r="J3654" s="28"/>
      <c r="K3654" s="28"/>
      <c r="L3654" s="28"/>
      <c r="M3654" s="28"/>
      <c r="N3654" s="28"/>
      <c r="O3654" s="28"/>
      <c r="P3654" s="28"/>
      <c r="Q3654" s="28"/>
      <c r="R3654" s="28"/>
      <c r="S3654" s="28"/>
    </row>
    <row r="3655" spans="1:19" x14ac:dyDescent="0.25">
      <c r="A3655" s="28"/>
      <c r="B3655" s="28"/>
      <c r="C3655" s="28"/>
      <c r="D3655" s="28"/>
      <c r="E3655" s="28"/>
      <c r="F3655" s="28"/>
      <c r="G3655" s="28"/>
      <c r="H3655" s="28"/>
      <c r="I3655" s="28"/>
      <c r="J3655" s="28"/>
      <c r="K3655" s="28"/>
      <c r="L3655" s="28"/>
      <c r="M3655" s="28"/>
      <c r="N3655" s="28"/>
      <c r="O3655" s="28"/>
      <c r="P3655" s="28"/>
      <c r="Q3655" s="28"/>
      <c r="R3655" s="28"/>
      <c r="S3655" s="28"/>
    </row>
    <row r="3656" spans="1:19" x14ac:dyDescent="0.25">
      <c r="A3656" s="28"/>
      <c r="B3656" s="28"/>
      <c r="C3656" s="28"/>
      <c r="D3656" s="28"/>
      <c r="E3656" s="28"/>
      <c r="F3656" s="28"/>
      <c r="G3656" s="28"/>
      <c r="H3656" s="28"/>
      <c r="I3656" s="28"/>
      <c r="J3656" s="28"/>
      <c r="K3656" s="28"/>
      <c r="L3656" s="28"/>
      <c r="M3656" s="28"/>
      <c r="N3656" s="28"/>
      <c r="O3656" s="28"/>
      <c r="P3656" s="28"/>
      <c r="Q3656" s="28"/>
      <c r="R3656" s="28"/>
      <c r="S3656" s="28"/>
    </row>
    <row r="3657" spans="1:19" x14ac:dyDescent="0.25">
      <c r="A3657" s="28"/>
      <c r="B3657" s="28"/>
      <c r="C3657" s="28"/>
      <c r="D3657" s="28"/>
      <c r="E3657" s="28"/>
      <c r="F3657" s="28"/>
      <c r="G3657" s="28"/>
      <c r="H3657" s="28"/>
      <c r="I3657" s="28"/>
      <c r="J3657" s="28"/>
      <c r="K3657" s="28"/>
      <c r="L3657" s="28"/>
      <c r="M3657" s="28"/>
      <c r="N3657" s="28"/>
      <c r="O3657" s="28"/>
      <c r="P3657" s="28"/>
      <c r="Q3657" s="28"/>
      <c r="R3657" s="28"/>
      <c r="S3657" s="28"/>
    </row>
    <row r="3658" spans="1:19" x14ac:dyDescent="0.25">
      <c r="A3658" s="28"/>
      <c r="B3658" s="28"/>
      <c r="C3658" s="28"/>
      <c r="D3658" s="28"/>
      <c r="E3658" s="28"/>
      <c r="F3658" s="28"/>
      <c r="G3658" s="28"/>
      <c r="H3658" s="28"/>
      <c r="I3658" s="28"/>
      <c r="J3658" s="28"/>
      <c r="K3658" s="28"/>
      <c r="L3658" s="28"/>
      <c r="M3658" s="28"/>
      <c r="N3658" s="28"/>
      <c r="O3658" s="28"/>
      <c r="P3658" s="28"/>
      <c r="Q3658" s="28"/>
      <c r="R3658" s="28"/>
      <c r="S3658" s="28"/>
    </row>
    <row r="3659" spans="1:19" x14ac:dyDescent="0.25">
      <c r="A3659" s="28"/>
      <c r="B3659" s="28"/>
      <c r="C3659" s="28"/>
      <c r="D3659" s="28"/>
      <c r="E3659" s="28"/>
      <c r="F3659" s="28"/>
      <c r="G3659" s="28"/>
      <c r="H3659" s="28"/>
      <c r="I3659" s="28"/>
      <c r="J3659" s="28"/>
      <c r="K3659" s="28"/>
      <c r="L3659" s="28"/>
      <c r="M3659" s="28"/>
      <c r="N3659" s="28"/>
      <c r="O3659" s="28"/>
      <c r="P3659" s="28"/>
      <c r="Q3659" s="28"/>
      <c r="R3659" s="28"/>
      <c r="S3659" s="28"/>
    </row>
    <row r="3660" spans="1:19" x14ac:dyDescent="0.25">
      <c r="A3660" s="28"/>
      <c r="B3660" s="28"/>
      <c r="C3660" s="28"/>
      <c r="D3660" s="28"/>
      <c r="E3660" s="28"/>
      <c r="F3660" s="28"/>
      <c r="G3660" s="28"/>
      <c r="H3660" s="28"/>
      <c r="I3660" s="28"/>
      <c r="J3660" s="28"/>
      <c r="K3660" s="28"/>
      <c r="L3660" s="28"/>
      <c r="M3660" s="28"/>
      <c r="N3660" s="28"/>
      <c r="O3660" s="28"/>
      <c r="P3660" s="28"/>
      <c r="Q3660" s="28"/>
      <c r="R3660" s="28"/>
      <c r="S3660" s="28"/>
    </row>
    <row r="3661" spans="1:19" x14ac:dyDescent="0.25">
      <c r="A3661" s="28"/>
      <c r="B3661" s="28"/>
      <c r="C3661" s="28"/>
      <c r="D3661" s="28"/>
      <c r="E3661" s="28"/>
      <c r="F3661" s="28"/>
      <c r="G3661" s="28"/>
      <c r="H3661" s="28"/>
      <c r="I3661" s="28"/>
      <c r="J3661" s="28"/>
      <c r="K3661" s="28"/>
      <c r="L3661" s="28"/>
      <c r="M3661" s="28"/>
      <c r="N3661" s="28"/>
      <c r="O3661" s="28"/>
      <c r="P3661" s="28"/>
      <c r="Q3661" s="28"/>
      <c r="R3661" s="28"/>
      <c r="S3661" s="28"/>
    </row>
    <row r="3662" spans="1:19" x14ac:dyDescent="0.25">
      <c r="A3662" s="28"/>
      <c r="B3662" s="28"/>
      <c r="C3662" s="28"/>
      <c r="D3662" s="28"/>
      <c r="E3662" s="28"/>
      <c r="F3662" s="28"/>
      <c r="G3662" s="28"/>
      <c r="H3662" s="28"/>
      <c r="I3662" s="28"/>
      <c r="J3662" s="28"/>
      <c r="K3662" s="28"/>
      <c r="L3662" s="28"/>
      <c r="M3662" s="28"/>
      <c r="N3662" s="28"/>
      <c r="O3662" s="28"/>
      <c r="P3662" s="28"/>
      <c r="Q3662" s="28"/>
      <c r="R3662" s="28"/>
      <c r="S3662" s="28"/>
    </row>
    <row r="3663" spans="1:19" x14ac:dyDescent="0.25">
      <c r="A3663" s="28"/>
      <c r="B3663" s="28"/>
      <c r="C3663" s="28"/>
      <c r="D3663" s="28"/>
      <c r="E3663" s="28"/>
      <c r="F3663" s="28"/>
      <c r="G3663" s="28"/>
      <c r="H3663" s="28"/>
      <c r="I3663" s="28"/>
      <c r="J3663" s="28"/>
      <c r="K3663" s="28"/>
      <c r="L3663" s="28"/>
      <c r="M3663" s="28"/>
      <c r="N3663" s="28"/>
      <c r="O3663" s="28"/>
      <c r="P3663" s="28"/>
      <c r="Q3663" s="28"/>
      <c r="R3663" s="28"/>
      <c r="S3663" s="28"/>
    </row>
    <row r="3664" spans="1:19" x14ac:dyDescent="0.25">
      <c r="A3664" s="28"/>
      <c r="B3664" s="28"/>
      <c r="C3664" s="28"/>
      <c r="D3664" s="28"/>
      <c r="E3664" s="28"/>
      <c r="F3664" s="28"/>
      <c r="G3664" s="28"/>
      <c r="H3664" s="28"/>
      <c r="I3664" s="28"/>
      <c r="J3664" s="28"/>
      <c r="K3664" s="28"/>
      <c r="L3664" s="28"/>
      <c r="M3664" s="28"/>
      <c r="N3664" s="28"/>
      <c r="O3664" s="28"/>
      <c r="P3664" s="28"/>
      <c r="Q3664" s="28"/>
      <c r="R3664" s="28"/>
      <c r="S3664" s="28"/>
    </row>
    <row r="3665" spans="1:19" x14ac:dyDescent="0.25">
      <c r="A3665" s="28"/>
      <c r="B3665" s="28"/>
      <c r="C3665" s="28"/>
      <c r="D3665" s="28"/>
      <c r="E3665" s="28"/>
      <c r="F3665" s="28"/>
      <c r="G3665" s="28"/>
      <c r="H3665" s="28"/>
      <c r="I3665" s="28"/>
      <c r="J3665" s="28"/>
      <c r="K3665" s="28"/>
      <c r="L3665" s="28"/>
      <c r="M3665" s="28"/>
      <c r="N3665" s="28"/>
      <c r="O3665" s="28"/>
      <c r="P3665" s="28"/>
      <c r="Q3665" s="28"/>
      <c r="R3665" s="28"/>
      <c r="S3665" s="28"/>
    </row>
    <row r="3666" spans="1:19" x14ac:dyDescent="0.25">
      <c r="A3666" s="28"/>
      <c r="B3666" s="28"/>
      <c r="C3666" s="28"/>
      <c r="D3666" s="28"/>
      <c r="E3666" s="28"/>
      <c r="F3666" s="28"/>
      <c r="G3666" s="28"/>
      <c r="H3666" s="28"/>
      <c r="I3666" s="28"/>
      <c r="J3666" s="28"/>
      <c r="K3666" s="28"/>
      <c r="L3666" s="28"/>
      <c r="M3666" s="28"/>
      <c r="N3666" s="28"/>
      <c r="O3666" s="28"/>
      <c r="P3666" s="28"/>
      <c r="Q3666" s="28"/>
      <c r="R3666" s="28"/>
      <c r="S3666" s="28"/>
    </row>
    <row r="3667" spans="1:19" x14ac:dyDescent="0.25">
      <c r="A3667" s="28"/>
      <c r="B3667" s="28"/>
      <c r="C3667" s="28"/>
      <c r="D3667" s="28"/>
      <c r="E3667" s="28"/>
      <c r="F3667" s="28"/>
      <c r="G3667" s="28"/>
      <c r="H3667" s="28"/>
      <c r="I3667" s="28"/>
      <c r="J3667" s="28"/>
      <c r="K3667" s="28"/>
      <c r="L3667" s="28"/>
      <c r="M3667" s="28"/>
      <c r="N3667" s="28"/>
      <c r="O3667" s="28"/>
      <c r="P3667" s="28"/>
      <c r="Q3667" s="28"/>
      <c r="R3667" s="28"/>
      <c r="S3667" s="28"/>
    </row>
    <row r="3668" spans="1:19" x14ac:dyDescent="0.25">
      <c r="A3668" s="28"/>
      <c r="B3668" s="28"/>
      <c r="C3668" s="28"/>
      <c r="D3668" s="28"/>
      <c r="E3668" s="28"/>
      <c r="F3668" s="28"/>
      <c r="G3668" s="28"/>
      <c r="H3668" s="28"/>
      <c r="I3668" s="28"/>
      <c r="J3668" s="28"/>
      <c r="K3668" s="28"/>
      <c r="L3668" s="28"/>
      <c r="M3668" s="28"/>
      <c r="N3668" s="28"/>
      <c r="O3668" s="28"/>
      <c r="P3668" s="28"/>
      <c r="Q3668" s="28"/>
      <c r="R3668" s="28"/>
      <c r="S3668" s="28"/>
    </row>
    <row r="3669" spans="1:19" x14ac:dyDescent="0.25">
      <c r="A3669" s="28"/>
      <c r="B3669" s="28"/>
      <c r="C3669" s="28"/>
      <c r="D3669" s="28"/>
      <c r="E3669" s="28"/>
      <c r="F3669" s="28"/>
      <c r="G3669" s="28"/>
      <c r="H3669" s="28"/>
      <c r="I3669" s="28"/>
      <c r="J3669" s="28"/>
      <c r="K3669" s="28"/>
      <c r="L3669" s="28"/>
      <c r="M3669" s="28"/>
      <c r="N3669" s="28"/>
      <c r="O3669" s="28"/>
      <c r="P3669" s="28"/>
      <c r="Q3669" s="28"/>
      <c r="R3669" s="28"/>
      <c r="S3669" s="28"/>
    </row>
    <row r="3670" spans="1:19" x14ac:dyDescent="0.25">
      <c r="A3670" s="28"/>
      <c r="B3670" s="28"/>
      <c r="C3670" s="28"/>
      <c r="D3670" s="28"/>
      <c r="E3670" s="28"/>
      <c r="F3670" s="28"/>
      <c r="G3670" s="28"/>
      <c r="H3670" s="28"/>
      <c r="I3670" s="28"/>
      <c r="J3670" s="28"/>
      <c r="K3670" s="28"/>
      <c r="L3670" s="28"/>
      <c r="M3670" s="28"/>
      <c r="N3670" s="28"/>
      <c r="O3670" s="28"/>
      <c r="P3670" s="28"/>
      <c r="Q3670" s="28"/>
      <c r="R3670" s="28"/>
      <c r="S3670" s="28"/>
    </row>
    <row r="3671" spans="1:19" x14ac:dyDescent="0.25">
      <c r="A3671" s="28"/>
      <c r="B3671" s="28"/>
      <c r="C3671" s="28"/>
      <c r="D3671" s="28"/>
      <c r="E3671" s="28"/>
      <c r="F3671" s="28"/>
      <c r="G3671" s="28"/>
      <c r="H3671" s="28"/>
      <c r="I3671" s="28"/>
      <c r="J3671" s="28"/>
      <c r="K3671" s="28"/>
      <c r="L3671" s="28"/>
      <c r="M3671" s="28"/>
      <c r="N3671" s="28"/>
      <c r="O3671" s="28"/>
      <c r="P3671" s="28"/>
      <c r="Q3671" s="28"/>
      <c r="R3671" s="28"/>
      <c r="S3671" s="28"/>
    </row>
    <row r="3672" spans="1:19" x14ac:dyDescent="0.25">
      <c r="A3672" s="28"/>
      <c r="B3672" s="28"/>
      <c r="C3672" s="28"/>
      <c r="D3672" s="28"/>
      <c r="E3672" s="28"/>
      <c r="F3672" s="28"/>
      <c r="G3672" s="28"/>
      <c r="H3672" s="28"/>
      <c r="I3672" s="28"/>
      <c r="J3672" s="28"/>
      <c r="K3672" s="28"/>
      <c r="L3672" s="28"/>
      <c r="M3672" s="28"/>
      <c r="N3672" s="28"/>
      <c r="O3672" s="28"/>
      <c r="P3672" s="28"/>
      <c r="Q3672" s="28"/>
      <c r="R3672" s="28"/>
      <c r="S3672" s="28"/>
    </row>
    <row r="3673" spans="1:19" x14ac:dyDescent="0.25">
      <c r="A3673" s="28"/>
      <c r="B3673" s="28"/>
      <c r="C3673" s="28"/>
      <c r="D3673" s="28"/>
      <c r="E3673" s="28"/>
      <c r="F3673" s="28"/>
      <c r="G3673" s="28"/>
      <c r="H3673" s="28"/>
      <c r="I3673" s="28"/>
      <c r="J3673" s="28"/>
      <c r="K3673" s="28"/>
      <c r="L3673" s="28"/>
      <c r="M3673" s="28"/>
      <c r="N3673" s="28"/>
      <c r="O3673" s="28"/>
      <c r="P3673" s="28"/>
      <c r="Q3673" s="28"/>
      <c r="R3673" s="28"/>
      <c r="S3673" s="28"/>
    </row>
    <row r="3674" spans="1:19" x14ac:dyDescent="0.25">
      <c r="A3674" s="28"/>
      <c r="B3674" s="28"/>
      <c r="C3674" s="28"/>
      <c r="D3674" s="28"/>
      <c r="E3674" s="28"/>
      <c r="F3674" s="28"/>
      <c r="G3674" s="28"/>
      <c r="H3674" s="28"/>
      <c r="I3674" s="28"/>
      <c r="J3674" s="28"/>
      <c r="K3674" s="28"/>
      <c r="L3674" s="28"/>
      <c r="M3674" s="28"/>
      <c r="N3674" s="28"/>
      <c r="O3674" s="28"/>
      <c r="P3674" s="28"/>
      <c r="Q3674" s="28"/>
      <c r="R3674" s="28"/>
      <c r="S3674" s="28"/>
    </row>
    <row r="3675" spans="1:19" x14ac:dyDescent="0.25">
      <c r="A3675" s="28"/>
      <c r="B3675" s="28"/>
      <c r="C3675" s="28"/>
      <c r="D3675" s="28"/>
      <c r="E3675" s="28"/>
      <c r="F3675" s="28"/>
      <c r="G3675" s="28"/>
      <c r="H3675" s="28"/>
      <c r="I3675" s="28"/>
      <c r="J3675" s="28"/>
      <c r="K3675" s="28"/>
      <c r="L3675" s="28"/>
      <c r="M3675" s="28"/>
      <c r="N3675" s="28"/>
      <c r="O3675" s="28"/>
      <c r="P3675" s="28"/>
      <c r="Q3675" s="28"/>
      <c r="R3675" s="28"/>
      <c r="S3675" s="28"/>
    </row>
    <row r="3676" spans="1:19" x14ac:dyDescent="0.25">
      <c r="A3676" s="28"/>
      <c r="B3676" s="28"/>
      <c r="C3676" s="28"/>
      <c r="D3676" s="28"/>
      <c r="E3676" s="28"/>
      <c r="F3676" s="28"/>
      <c r="G3676" s="28"/>
      <c r="H3676" s="28"/>
      <c r="I3676" s="28"/>
      <c r="J3676" s="28"/>
      <c r="K3676" s="28"/>
      <c r="L3676" s="28"/>
      <c r="M3676" s="28"/>
      <c r="N3676" s="28"/>
      <c r="O3676" s="28"/>
      <c r="P3676" s="28"/>
      <c r="Q3676" s="28"/>
      <c r="R3676" s="28"/>
      <c r="S3676" s="28"/>
    </row>
    <row r="3677" spans="1:19" x14ac:dyDescent="0.25">
      <c r="A3677" s="28"/>
      <c r="B3677" s="28"/>
      <c r="C3677" s="28"/>
      <c r="D3677" s="28"/>
      <c r="E3677" s="28"/>
      <c r="F3677" s="28"/>
      <c r="G3677" s="28"/>
      <c r="H3677" s="28"/>
      <c r="I3677" s="28"/>
      <c r="J3677" s="28"/>
      <c r="K3677" s="28"/>
      <c r="L3677" s="28"/>
      <c r="M3677" s="28"/>
      <c r="N3677" s="28"/>
      <c r="O3677" s="28"/>
      <c r="P3677" s="28"/>
      <c r="Q3677" s="28"/>
      <c r="R3677" s="28"/>
      <c r="S3677" s="28"/>
    </row>
    <row r="3678" spans="1:19" x14ac:dyDescent="0.25">
      <c r="A3678" s="28"/>
      <c r="B3678" s="28"/>
      <c r="C3678" s="28"/>
      <c r="D3678" s="28"/>
      <c r="E3678" s="28"/>
      <c r="F3678" s="28"/>
      <c r="G3678" s="28"/>
      <c r="H3678" s="28"/>
      <c r="I3678" s="28"/>
      <c r="J3678" s="28"/>
      <c r="K3678" s="28"/>
      <c r="L3678" s="28"/>
      <c r="M3678" s="28"/>
      <c r="N3678" s="28"/>
      <c r="O3678" s="28"/>
      <c r="P3678" s="28"/>
      <c r="Q3678" s="28"/>
      <c r="R3678" s="28"/>
      <c r="S3678" s="28"/>
    </row>
    <row r="3679" spans="1:19" x14ac:dyDescent="0.25">
      <c r="A3679" s="28"/>
      <c r="B3679" s="28"/>
      <c r="C3679" s="28"/>
      <c r="D3679" s="28"/>
      <c r="E3679" s="28"/>
      <c r="F3679" s="28"/>
      <c r="G3679" s="28"/>
      <c r="H3679" s="28"/>
      <c r="I3679" s="28"/>
      <c r="J3679" s="28"/>
      <c r="K3679" s="28"/>
      <c r="L3679" s="28"/>
      <c r="M3679" s="28"/>
      <c r="N3679" s="28"/>
      <c r="O3679" s="28"/>
      <c r="P3679" s="28"/>
      <c r="Q3679" s="28"/>
      <c r="R3679" s="28"/>
      <c r="S3679" s="28"/>
    </row>
    <row r="3680" spans="1:19" x14ac:dyDescent="0.25">
      <c r="A3680" s="28"/>
      <c r="B3680" s="28"/>
      <c r="C3680" s="28"/>
      <c r="D3680" s="28"/>
      <c r="E3680" s="28"/>
      <c r="F3680" s="28"/>
      <c r="G3680" s="28"/>
      <c r="H3680" s="28"/>
      <c r="I3680" s="28"/>
      <c r="J3680" s="28"/>
      <c r="K3680" s="28"/>
      <c r="L3680" s="28"/>
      <c r="M3680" s="28"/>
      <c r="N3680" s="28"/>
      <c r="O3680" s="28"/>
      <c r="P3680" s="28"/>
      <c r="Q3680" s="28"/>
      <c r="R3680" s="28"/>
      <c r="S3680" s="28"/>
    </row>
    <row r="3681" spans="1:19" x14ac:dyDescent="0.25">
      <c r="A3681" s="28"/>
      <c r="B3681" s="28"/>
      <c r="C3681" s="28"/>
      <c r="D3681" s="28"/>
      <c r="E3681" s="28"/>
      <c r="F3681" s="28"/>
      <c r="G3681" s="28"/>
      <c r="H3681" s="28"/>
      <c r="I3681" s="28"/>
      <c r="J3681" s="28"/>
      <c r="K3681" s="28"/>
      <c r="L3681" s="28"/>
      <c r="M3681" s="28"/>
      <c r="N3681" s="28"/>
      <c r="O3681" s="28"/>
      <c r="P3681" s="28"/>
      <c r="Q3681" s="28"/>
      <c r="R3681" s="28"/>
      <c r="S3681" s="28"/>
    </row>
    <row r="3682" spans="1:19" x14ac:dyDescent="0.25">
      <c r="A3682" s="28"/>
      <c r="B3682" s="28"/>
      <c r="C3682" s="28"/>
      <c r="D3682" s="28"/>
      <c r="E3682" s="28"/>
      <c r="F3682" s="28"/>
      <c r="G3682" s="28"/>
      <c r="H3682" s="28"/>
      <c r="I3682" s="28"/>
      <c r="J3682" s="28"/>
      <c r="K3682" s="28"/>
      <c r="L3682" s="28"/>
      <c r="M3682" s="28"/>
      <c r="N3682" s="28"/>
      <c r="O3682" s="28"/>
      <c r="P3682" s="28"/>
      <c r="Q3682" s="28"/>
      <c r="R3682" s="28"/>
      <c r="S3682" s="28"/>
    </row>
    <row r="3683" spans="1:19" x14ac:dyDescent="0.25">
      <c r="A3683" s="28"/>
      <c r="B3683" s="28"/>
      <c r="C3683" s="28"/>
      <c r="D3683" s="28"/>
      <c r="E3683" s="28"/>
      <c r="F3683" s="28"/>
      <c r="G3683" s="28"/>
      <c r="H3683" s="28"/>
      <c r="I3683" s="28"/>
      <c r="J3683" s="28"/>
      <c r="K3683" s="28"/>
      <c r="L3683" s="28"/>
      <c r="M3683" s="28"/>
      <c r="N3683" s="28"/>
      <c r="O3683" s="28"/>
      <c r="P3683" s="28"/>
      <c r="Q3683" s="28"/>
      <c r="R3683" s="28"/>
      <c r="S3683" s="28"/>
    </row>
    <row r="3684" spans="1:19" x14ac:dyDescent="0.25">
      <c r="A3684" s="28"/>
      <c r="B3684" s="28"/>
      <c r="C3684" s="28"/>
      <c r="D3684" s="28"/>
      <c r="E3684" s="28"/>
      <c r="F3684" s="28"/>
      <c r="G3684" s="28"/>
      <c r="H3684" s="28"/>
      <c r="I3684" s="28"/>
      <c r="J3684" s="28"/>
      <c r="K3684" s="28"/>
      <c r="L3684" s="28"/>
      <c r="M3684" s="28"/>
      <c r="N3684" s="28"/>
      <c r="O3684" s="28"/>
      <c r="P3684" s="28"/>
      <c r="Q3684" s="28"/>
      <c r="R3684" s="28"/>
      <c r="S3684" s="28"/>
    </row>
    <row r="3685" spans="1:19" x14ac:dyDescent="0.25">
      <c r="A3685" s="28"/>
      <c r="B3685" s="28"/>
      <c r="C3685" s="28"/>
      <c r="D3685" s="28"/>
      <c r="E3685" s="28"/>
      <c r="F3685" s="28"/>
      <c r="G3685" s="28"/>
      <c r="H3685" s="28"/>
      <c r="I3685" s="28"/>
      <c r="J3685" s="28"/>
      <c r="K3685" s="28"/>
      <c r="L3685" s="28"/>
      <c r="M3685" s="28"/>
      <c r="N3685" s="28"/>
      <c r="O3685" s="28"/>
      <c r="P3685" s="28"/>
      <c r="Q3685" s="28"/>
      <c r="R3685" s="28"/>
      <c r="S3685" s="28"/>
    </row>
    <row r="3686" spans="1:19" x14ac:dyDescent="0.25">
      <c r="A3686" s="28"/>
      <c r="B3686" s="28"/>
      <c r="C3686" s="28"/>
      <c r="D3686" s="28"/>
      <c r="E3686" s="28"/>
      <c r="F3686" s="28"/>
      <c r="G3686" s="28"/>
      <c r="H3686" s="28"/>
      <c r="I3686" s="28"/>
      <c r="J3686" s="28"/>
      <c r="K3686" s="28"/>
      <c r="L3686" s="28"/>
      <c r="M3686" s="28"/>
      <c r="N3686" s="28"/>
      <c r="O3686" s="28"/>
      <c r="P3686" s="28"/>
      <c r="Q3686" s="28"/>
      <c r="R3686" s="28"/>
      <c r="S3686" s="28"/>
    </row>
    <row r="3687" spans="1:19" x14ac:dyDescent="0.25">
      <c r="A3687" s="28"/>
      <c r="B3687" s="28"/>
      <c r="C3687" s="28"/>
      <c r="D3687" s="28"/>
      <c r="E3687" s="28"/>
      <c r="F3687" s="28"/>
      <c r="G3687" s="28"/>
      <c r="H3687" s="28"/>
      <c r="I3687" s="28"/>
      <c r="J3687" s="28"/>
      <c r="K3687" s="28"/>
      <c r="L3687" s="28"/>
      <c r="M3687" s="28"/>
      <c r="N3687" s="28"/>
      <c r="O3687" s="28"/>
      <c r="P3687" s="28"/>
      <c r="Q3687" s="28"/>
      <c r="R3687" s="28"/>
      <c r="S3687" s="28"/>
    </row>
    <row r="3688" spans="1:19" x14ac:dyDescent="0.25">
      <c r="A3688" s="28"/>
      <c r="B3688" s="28"/>
      <c r="C3688" s="28"/>
      <c r="D3688" s="28"/>
      <c r="E3688" s="28"/>
      <c r="F3688" s="28"/>
      <c r="G3688" s="28"/>
      <c r="H3688" s="28"/>
      <c r="I3688" s="28"/>
      <c r="J3688" s="28"/>
      <c r="K3688" s="28"/>
      <c r="L3688" s="28"/>
      <c r="M3688" s="28"/>
      <c r="N3688" s="28"/>
      <c r="O3688" s="28"/>
      <c r="P3688" s="28"/>
      <c r="Q3688" s="28"/>
      <c r="R3688" s="28"/>
      <c r="S3688" s="28"/>
    </row>
    <row r="3689" spans="1:19" x14ac:dyDescent="0.25">
      <c r="A3689" s="28"/>
      <c r="B3689" s="28"/>
      <c r="C3689" s="28"/>
      <c r="D3689" s="28"/>
      <c r="E3689" s="28"/>
      <c r="F3689" s="28"/>
      <c r="G3689" s="28"/>
      <c r="H3689" s="28"/>
      <c r="I3689" s="28"/>
      <c r="J3689" s="28"/>
      <c r="K3689" s="28"/>
      <c r="L3689" s="28"/>
      <c r="M3689" s="28"/>
      <c r="N3689" s="28"/>
      <c r="O3689" s="28"/>
      <c r="P3689" s="28"/>
      <c r="Q3689" s="28"/>
      <c r="R3689" s="28"/>
      <c r="S3689" s="28"/>
    </row>
    <row r="3690" spans="1:19" x14ac:dyDescent="0.25">
      <c r="A3690" s="28"/>
      <c r="B3690" s="28"/>
      <c r="C3690" s="28"/>
      <c r="D3690" s="28"/>
      <c r="E3690" s="28"/>
      <c r="F3690" s="28"/>
      <c r="G3690" s="28"/>
      <c r="H3690" s="28"/>
      <c r="I3690" s="28"/>
      <c r="J3690" s="28"/>
      <c r="K3690" s="28"/>
      <c r="L3690" s="28"/>
      <c r="M3690" s="28"/>
      <c r="N3690" s="28"/>
      <c r="O3690" s="28"/>
      <c r="P3690" s="28"/>
      <c r="Q3690" s="28"/>
      <c r="R3690" s="28"/>
      <c r="S3690" s="28"/>
    </row>
    <row r="3691" spans="1:19" x14ac:dyDescent="0.25">
      <c r="A3691" s="28"/>
      <c r="B3691" s="28"/>
      <c r="C3691" s="28"/>
      <c r="D3691" s="28"/>
      <c r="E3691" s="28"/>
      <c r="F3691" s="28"/>
      <c r="G3691" s="28"/>
      <c r="H3691" s="28"/>
      <c r="I3691" s="28"/>
      <c r="J3691" s="28"/>
      <c r="K3691" s="28"/>
      <c r="L3691" s="28"/>
      <c r="M3691" s="28"/>
      <c r="N3691" s="28"/>
      <c r="O3691" s="28"/>
      <c r="P3691" s="28"/>
      <c r="Q3691" s="28"/>
      <c r="R3691" s="28"/>
      <c r="S3691" s="28"/>
    </row>
    <row r="3692" spans="1:19" x14ac:dyDescent="0.25">
      <c r="A3692" s="28"/>
      <c r="B3692" s="28"/>
      <c r="C3692" s="28"/>
      <c r="D3692" s="28"/>
      <c r="E3692" s="28"/>
      <c r="F3692" s="28"/>
      <c r="G3692" s="28"/>
      <c r="H3692" s="28"/>
      <c r="I3692" s="28"/>
      <c r="J3692" s="28"/>
      <c r="K3692" s="28"/>
      <c r="L3692" s="28"/>
      <c r="M3692" s="28"/>
      <c r="N3692" s="28"/>
      <c r="O3692" s="28"/>
      <c r="P3692" s="28"/>
      <c r="Q3692" s="28"/>
      <c r="R3692" s="28"/>
      <c r="S3692" s="28"/>
    </row>
    <row r="3693" spans="1:19" x14ac:dyDescent="0.25">
      <c r="A3693" s="28"/>
      <c r="B3693" s="28"/>
      <c r="C3693" s="28"/>
      <c r="D3693" s="28"/>
      <c r="E3693" s="28"/>
      <c r="F3693" s="28"/>
      <c r="G3693" s="28"/>
      <c r="H3693" s="28"/>
      <c r="I3693" s="28"/>
      <c r="J3693" s="28"/>
      <c r="K3693" s="28"/>
      <c r="L3693" s="28"/>
      <c r="M3693" s="28"/>
      <c r="N3693" s="28"/>
      <c r="O3693" s="28"/>
      <c r="P3693" s="28"/>
      <c r="Q3693" s="28"/>
      <c r="R3693" s="28"/>
      <c r="S3693" s="28"/>
    </row>
    <row r="3694" spans="1:19" x14ac:dyDescent="0.25">
      <c r="A3694" s="28"/>
      <c r="B3694" s="28"/>
      <c r="C3694" s="28"/>
      <c r="D3694" s="28"/>
      <c r="E3694" s="28"/>
      <c r="F3694" s="28"/>
      <c r="G3694" s="28"/>
      <c r="H3694" s="28"/>
      <c r="I3694" s="28"/>
      <c r="J3694" s="28"/>
      <c r="K3694" s="28"/>
      <c r="L3694" s="28"/>
      <c r="M3694" s="28"/>
      <c r="N3694" s="28"/>
      <c r="O3694" s="28"/>
      <c r="P3694" s="28"/>
      <c r="Q3694" s="28"/>
      <c r="R3694" s="28"/>
      <c r="S3694" s="28"/>
    </row>
    <row r="3695" spans="1:19" x14ac:dyDescent="0.25">
      <c r="A3695" s="28"/>
      <c r="B3695" s="28"/>
      <c r="C3695" s="28"/>
      <c r="D3695" s="28"/>
      <c r="E3695" s="28"/>
      <c r="F3695" s="28"/>
      <c r="G3695" s="28"/>
      <c r="H3695" s="28"/>
      <c r="I3695" s="28"/>
      <c r="J3695" s="28"/>
      <c r="K3695" s="28"/>
      <c r="L3695" s="28"/>
      <c r="M3695" s="28"/>
      <c r="N3695" s="28"/>
      <c r="O3695" s="28"/>
      <c r="P3695" s="28"/>
      <c r="Q3695" s="28"/>
      <c r="R3695" s="28"/>
      <c r="S3695" s="28"/>
    </row>
    <row r="3696" spans="1:19" x14ac:dyDescent="0.25">
      <c r="A3696" s="28"/>
      <c r="B3696" s="28"/>
      <c r="C3696" s="28"/>
      <c r="D3696" s="28"/>
      <c r="E3696" s="28"/>
      <c r="F3696" s="28"/>
      <c r="G3696" s="28"/>
      <c r="H3696" s="28"/>
      <c r="I3696" s="28"/>
      <c r="J3696" s="28"/>
      <c r="K3696" s="28"/>
      <c r="L3696" s="28"/>
      <c r="M3696" s="28"/>
      <c r="N3696" s="28"/>
      <c r="O3696" s="28"/>
      <c r="P3696" s="28"/>
      <c r="Q3696" s="28"/>
      <c r="R3696" s="28"/>
      <c r="S3696" s="28"/>
    </row>
    <row r="3697" spans="1:19" x14ac:dyDescent="0.25">
      <c r="A3697" s="28"/>
      <c r="B3697" s="28"/>
      <c r="C3697" s="28"/>
      <c r="D3697" s="28"/>
      <c r="E3697" s="28"/>
      <c r="F3697" s="28"/>
      <c r="G3697" s="28"/>
      <c r="H3697" s="28"/>
      <c r="I3697" s="28"/>
      <c r="J3697" s="28"/>
      <c r="K3697" s="28"/>
      <c r="L3697" s="28"/>
      <c r="M3697" s="28"/>
      <c r="N3697" s="28"/>
      <c r="O3697" s="28"/>
      <c r="P3697" s="28"/>
      <c r="Q3697" s="28"/>
      <c r="R3697" s="28"/>
      <c r="S3697" s="28"/>
    </row>
    <row r="3698" spans="1:19" x14ac:dyDescent="0.25">
      <c r="A3698" s="28"/>
      <c r="B3698" s="28"/>
      <c r="C3698" s="28"/>
      <c r="D3698" s="28"/>
      <c r="E3698" s="28"/>
      <c r="F3698" s="28"/>
      <c r="G3698" s="28"/>
      <c r="H3698" s="28"/>
      <c r="I3698" s="28"/>
      <c r="J3698" s="28"/>
      <c r="K3698" s="28"/>
      <c r="L3698" s="28"/>
      <c r="M3698" s="28"/>
      <c r="N3698" s="28"/>
      <c r="O3698" s="28"/>
      <c r="P3698" s="28"/>
      <c r="Q3698" s="28"/>
      <c r="R3698" s="28"/>
      <c r="S3698" s="28"/>
    </row>
    <row r="3699" spans="1:19" x14ac:dyDescent="0.25">
      <c r="A3699" s="28"/>
      <c r="B3699" s="28"/>
      <c r="C3699" s="28"/>
      <c r="D3699" s="28"/>
      <c r="E3699" s="28"/>
      <c r="F3699" s="28"/>
      <c r="G3699" s="28"/>
      <c r="H3699" s="28"/>
      <c r="I3699" s="28"/>
      <c r="J3699" s="28"/>
      <c r="K3699" s="28"/>
      <c r="L3699" s="28"/>
      <c r="M3699" s="28"/>
      <c r="N3699" s="28"/>
      <c r="O3699" s="28"/>
      <c r="P3699" s="28"/>
      <c r="Q3699" s="28"/>
      <c r="R3699" s="28"/>
      <c r="S3699" s="28"/>
    </row>
    <row r="3700" spans="1:19" x14ac:dyDescent="0.25">
      <c r="A3700" s="28"/>
      <c r="B3700" s="28"/>
      <c r="C3700" s="28"/>
      <c r="D3700" s="28"/>
      <c r="E3700" s="28"/>
      <c r="F3700" s="28"/>
      <c r="G3700" s="28"/>
      <c r="H3700" s="28"/>
      <c r="I3700" s="28"/>
      <c r="J3700" s="28"/>
      <c r="K3700" s="28"/>
      <c r="L3700" s="28"/>
      <c r="M3700" s="28"/>
      <c r="N3700" s="28"/>
      <c r="O3700" s="28"/>
      <c r="P3700" s="28"/>
      <c r="Q3700" s="28"/>
      <c r="R3700" s="28"/>
      <c r="S3700" s="28"/>
    </row>
    <row r="3701" spans="1:19" x14ac:dyDescent="0.25">
      <c r="A3701" s="28"/>
      <c r="B3701" s="28"/>
      <c r="C3701" s="28"/>
      <c r="D3701" s="28"/>
      <c r="E3701" s="28"/>
      <c r="F3701" s="28"/>
      <c r="G3701" s="28"/>
      <c r="H3701" s="28"/>
      <c r="I3701" s="28"/>
      <c r="J3701" s="28"/>
      <c r="K3701" s="28"/>
      <c r="L3701" s="28"/>
      <c r="M3701" s="28"/>
      <c r="N3701" s="28"/>
      <c r="O3701" s="28"/>
      <c r="P3701" s="28"/>
      <c r="Q3701" s="28"/>
      <c r="R3701" s="28"/>
      <c r="S3701" s="28"/>
    </row>
    <row r="3702" spans="1:19" x14ac:dyDescent="0.25">
      <c r="A3702" s="28"/>
      <c r="B3702" s="28"/>
      <c r="C3702" s="28"/>
      <c r="D3702" s="28"/>
      <c r="E3702" s="28"/>
      <c r="F3702" s="28"/>
      <c r="G3702" s="28"/>
      <c r="H3702" s="28"/>
      <c r="I3702" s="28"/>
      <c r="J3702" s="28"/>
      <c r="K3702" s="28"/>
      <c r="L3702" s="28"/>
      <c r="M3702" s="28"/>
      <c r="N3702" s="28"/>
      <c r="O3702" s="28"/>
      <c r="P3702" s="28"/>
      <c r="Q3702" s="28"/>
      <c r="R3702" s="28"/>
      <c r="S3702" s="28"/>
    </row>
    <row r="3703" spans="1:19" x14ac:dyDescent="0.25">
      <c r="A3703" s="28"/>
      <c r="B3703" s="28"/>
      <c r="C3703" s="28"/>
      <c r="D3703" s="28"/>
      <c r="E3703" s="28"/>
      <c r="F3703" s="28"/>
      <c r="G3703" s="28"/>
      <c r="H3703" s="28"/>
      <c r="I3703" s="28"/>
      <c r="J3703" s="28"/>
      <c r="K3703" s="28"/>
      <c r="L3703" s="28"/>
      <c r="M3703" s="28"/>
      <c r="N3703" s="28"/>
      <c r="O3703" s="28"/>
      <c r="P3703" s="28"/>
      <c r="Q3703" s="28"/>
      <c r="R3703" s="28"/>
      <c r="S3703" s="28"/>
    </row>
    <row r="3704" spans="1:19" x14ac:dyDescent="0.25">
      <c r="A3704" s="28"/>
      <c r="B3704" s="28"/>
      <c r="C3704" s="28"/>
      <c r="D3704" s="28"/>
      <c r="E3704" s="28"/>
      <c r="F3704" s="28"/>
      <c r="G3704" s="28"/>
      <c r="H3704" s="28"/>
      <c r="I3704" s="28"/>
      <c r="J3704" s="28"/>
      <c r="K3704" s="28"/>
      <c r="L3704" s="28"/>
      <c r="M3704" s="28"/>
      <c r="N3704" s="28"/>
      <c r="O3704" s="28"/>
      <c r="P3704" s="28"/>
      <c r="Q3704" s="28"/>
      <c r="R3704" s="28"/>
      <c r="S3704" s="28"/>
    </row>
    <row r="3705" spans="1:19" x14ac:dyDescent="0.25">
      <c r="A3705" s="28"/>
      <c r="B3705" s="28"/>
      <c r="C3705" s="28"/>
      <c r="D3705" s="28"/>
      <c r="E3705" s="28"/>
      <c r="F3705" s="28"/>
      <c r="G3705" s="28"/>
      <c r="H3705" s="28"/>
      <c r="I3705" s="28"/>
      <c r="J3705" s="28"/>
      <c r="K3705" s="28"/>
      <c r="L3705" s="28"/>
      <c r="M3705" s="28"/>
      <c r="N3705" s="28"/>
      <c r="O3705" s="28"/>
      <c r="P3705" s="28"/>
      <c r="Q3705" s="28"/>
      <c r="R3705" s="28"/>
      <c r="S3705" s="28"/>
    </row>
    <row r="3706" spans="1:19" x14ac:dyDescent="0.25">
      <c r="A3706" s="28"/>
      <c r="B3706" s="28"/>
      <c r="C3706" s="28"/>
      <c r="D3706" s="28"/>
      <c r="E3706" s="28"/>
      <c r="F3706" s="28"/>
      <c r="G3706" s="28"/>
      <c r="H3706" s="28"/>
      <c r="I3706" s="28"/>
      <c r="J3706" s="28"/>
      <c r="K3706" s="28"/>
      <c r="L3706" s="28"/>
      <c r="M3706" s="28"/>
      <c r="N3706" s="28"/>
      <c r="O3706" s="28"/>
      <c r="P3706" s="28"/>
      <c r="Q3706" s="28"/>
      <c r="R3706" s="28"/>
      <c r="S3706" s="28"/>
    </row>
    <row r="3707" spans="1:19" x14ac:dyDescent="0.25">
      <c r="A3707" s="28"/>
      <c r="B3707" s="28"/>
      <c r="C3707" s="28"/>
      <c r="D3707" s="28"/>
      <c r="E3707" s="28"/>
      <c r="F3707" s="28"/>
      <c r="G3707" s="28"/>
      <c r="H3707" s="28"/>
      <c r="I3707" s="28"/>
      <c r="J3707" s="28"/>
      <c r="K3707" s="28"/>
      <c r="L3707" s="28"/>
      <c r="M3707" s="28"/>
      <c r="N3707" s="28"/>
      <c r="O3707" s="28"/>
      <c r="P3707" s="28"/>
      <c r="Q3707" s="28"/>
      <c r="R3707" s="28"/>
      <c r="S3707" s="28"/>
    </row>
    <row r="3708" spans="1:19" x14ac:dyDescent="0.25">
      <c r="A3708" s="28"/>
      <c r="B3708" s="28"/>
      <c r="C3708" s="28"/>
      <c r="D3708" s="28"/>
      <c r="E3708" s="28"/>
      <c r="F3708" s="28"/>
      <c r="G3708" s="28"/>
      <c r="H3708" s="28"/>
      <c r="I3708" s="28"/>
      <c r="J3708" s="28"/>
      <c r="K3708" s="28"/>
      <c r="L3708" s="28"/>
      <c r="M3708" s="28"/>
      <c r="N3708" s="28"/>
      <c r="O3708" s="28"/>
      <c r="P3708" s="28"/>
      <c r="Q3708" s="28"/>
      <c r="R3708" s="28"/>
      <c r="S3708" s="28"/>
    </row>
    <row r="3709" spans="1:19" x14ac:dyDescent="0.25">
      <c r="A3709" s="28"/>
      <c r="B3709" s="28"/>
      <c r="C3709" s="28"/>
      <c r="D3709" s="28"/>
      <c r="E3709" s="28"/>
      <c r="F3709" s="28"/>
      <c r="G3709" s="28"/>
      <c r="H3709" s="28"/>
      <c r="I3709" s="28"/>
      <c r="J3709" s="28"/>
      <c r="K3709" s="28"/>
      <c r="L3709" s="28"/>
      <c r="M3709" s="28"/>
      <c r="N3709" s="28"/>
      <c r="O3709" s="28"/>
      <c r="P3709" s="28"/>
      <c r="Q3709" s="28"/>
      <c r="R3709" s="28"/>
      <c r="S3709" s="28"/>
    </row>
    <row r="3710" spans="1:19" x14ac:dyDescent="0.25">
      <c r="A3710" s="28"/>
      <c r="B3710" s="28"/>
      <c r="C3710" s="28"/>
      <c r="D3710" s="28"/>
      <c r="E3710" s="28"/>
      <c r="F3710" s="28"/>
      <c r="G3710" s="28"/>
      <c r="H3710" s="28"/>
      <c r="I3710" s="28"/>
      <c r="J3710" s="28"/>
      <c r="K3710" s="28"/>
      <c r="L3710" s="28"/>
      <c r="M3710" s="28"/>
      <c r="N3710" s="28"/>
      <c r="O3710" s="28"/>
      <c r="P3710" s="28"/>
      <c r="Q3710" s="28"/>
      <c r="R3710" s="28"/>
      <c r="S3710" s="28"/>
    </row>
    <row r="3711" spans="1:19" x14ac:dyDescent="0.25">
      <c r="A3711" s="28"/>
      <c r="B3711" s="28"/>
      <c r="C3711" s="28"/>
      <c r="D3711" s="28"/>
      <c r="E3711" s="28"/>
      <c r="F3711" s="28"/>
      <c r="G3711" s="28"/>
      <c r="H3711" s="28"/>
      <c r="I3711" s="28"/>
      <c r="J3711" s="28"/>
      <c r="K3711" s="28"/>
      <c r="L3711" s="28"/>
      <c r="M3711" s="28"/>
      <c r="N3711" s="28"/>
      <c r="O3711" s="28"/>
      <c r="P3711" s="28"/>
      <c r="Q3711" s="28"/>
      <c r="R3711" s="28"/>
      <c r="S3711" s="28"/>
    </row>
    <row r="3712" spans="1:19" x14ac:dyDescent="0.25">
      <c r="A3712" s="28"/>
      <c r="B3712" s="28"/>
      <c r="C3712" s="28"/>
      <c r="D3712" s="28"/>
      <c r="E3712" s="28"/>
      <c r="F3712" s="28"/>
      <c r="G3712" s="28"/>
      <c r="H3712" s="28"/>
      <c r="I3712" s="28"/>
      <c r="J3712" s="28"/>
      <c r="K3712" s="28"/>
      <c r="L3712" s="28"/>
      <c r="M3712" s="28"/>
      <c r="N3712" s="28"/>
      <c r="O3712" s="28"/>
      <c r="P3712" s="28"/>
      <c r="Q3712" s="28"/>
      <c r="R3712" s="28"/>
      <c r="S3712" s="28"/>
    </row>
    <row r="3713" spans="1:19" x14ac:dyDescent="0.25">
      <c r="A3713" s="28"/>
      <c r="B3713" s="28"/>
      <c r="C3713" s="28"/>
      <c r="D3713" s="28"/>
      <c r="E3713" s="28"/>
      <c r="F3713" s="28"/>
      <c r="G3713" s="28"/>
      <c r="H3713" s="28"/>
      <c r="I3713" s="28"/>
      <c r="J3713" s="28"/>
      <c r="K3713" s="28"/>
      <c r="L3713" s="28"/>
      <c r="M3713" s="28"/>
      <c r="N3713" s="28"/>
      <c r="O3713" s="28"/>
      <c r="P3713" s="28"/>
      <c r="Q3713" s="28"/>
      <c r="R3713" s="28"/>
      <c r="S3713" s="28"/>
    </row>
    <row r="3714" spans="1:19" x14ac:dyDescent="0.25">
      <c r="A3714" s="28"/>
      <c r="B3714" s="28"/>
      <c r="C3714" s="28"/>
      <c r="D3714" s="28"/>
      <c r="E3714" s="28"/>
      <c r="F3714" s="28"/>
      <c r="G3714" s="28"/>
      <c r="H3714" s="28"/>
      <c r="I3714" s="28"/>
      <c r="J3714" s="28"/>
      <c r="K3714" s="28"/>
      <c r="L3714" s="28"/>
      <c r="M3714" s="28"/>
      <c r="N3714" s="28"/>
      <c r="O3714" s="28"/>
      <c r="P3714" s="28"/>
      <c r="Q3714" s="28"/>
      <c r="R3714" s="28"/>
      <c r="S3714" s="28"/>
    </row>
    <row r="3715" spans="1:19" x14ac:dyDescent="0.25">
      <c r="A3715" s="28"/>
      <c r="B3715" s="28"/>
      <c r="C3715" s="28"/>
      <c r="D3715" s="28"/>
      <c r="E3715" s="28"/>
      <c r="F3715" s="28"/>
      <c r="G3715" s="28"/>
      <c r="H3715" s="28"/>
      <c r="I3715" s="28"/>
      <c r="J3715" s="28"/>
      <c r="K3715" s="28"/>
      <c r="L3715" s="28"/>
      <c r="M3715" s="28"/>
      <c r="N3715" s="28"/>
      <c r="O3715" s="28"/>
      <c r="P3715" s="28"/>
      <c r="Q3715" s="28"/>
      <c r="R3715" s="28"/>
      <c r="S3715" s="28"/>
    </row>
    <row r="3716" spans="1:19" x14ac:dyDescent="0.25">
      <c r="A3716" s="28"/>
      <c r="B3716" s="28"/>
      <c r="C3716" s="28"/>
      <c r="D3716" s="28"/>
      <c r="E3716" s="28"/>
      <c r="F3716" s="28"/>
      <c r="G3716" s="28"/>
      <c r="H3716" s="28"/>
      <c r="I3716" s="28"/>
      <c r="J3716" s="28"/>
      <c r="K3716" s="28"/>
      <c r="L3716" s="28"/>
      <c r="M3716" s="28"/>
      <c r="N3716" s="28"/>
      <c r="O3716" s="28"/>
      <c r="P3716" s="28"/>
      <c r="Q3716" s="28"/>
      <c r="R3716" s="28"/>
      <c r="S3716" s="28"/>
    </row>
    <row r="3717" spans="1:19" x14ac:dyDescent="0.25">
      <c r="A3717" s="28"/>
      <c r="B3717" s="28"/>
      <c r="C3717" s="28"/>
      <c r="D3717" s="28"/>
      <c r="E3717" s="28"/>
      <c r="F3717" s="28"/>
      <c r="G3717" s="28"/>
      <c r="H3717" s="28"/>
      <c r="I3717" s="28"/>
      <c r="J3717" s="28"/>
      <c r="K3717" s="28"/>
      <c r="L3717" s="28"/>
      <c r="M3717" s="28"/>
      <c r="N3717" s="28"/>
      <c r="O3717" s="28"/>
      <c r="P3717" s="28"/>
      <c r="Q3717" s="28"/>
      <c r="R3717" s="28"/>
      <c r="S3717" s="28"/>
    </row>
    <row r="3718" spans="1:19" x14ac:dyDescent="0.25">
      <c r="A3718" s="28"/>
      <c r="B3718" s="28"/>
      <c r="C3718" s="28"/>
      <c r="D3718" s="28"/>
      <c r="E3718" s="28"/>
      <c r="F3718" s="28"/>
      <c r="G3718" s="28"/>
      <c r="H3718" s="28"/>
      <c r="I3718" s="28"/>
      <c r="J3718" s="28"/>
      <c r="K3718" s="28"/>
      <c r="L3718" s="28"/>
      <c r="M3718" s="28"/>
      <c r="N3718" s="28"/>
      <c r="O3718" s="28"/>
      <c r="P3718" s="28"/>
      <c r="Q3718" s="28"/>
      <c r="R3718" s="28"/>
      <c r="S3718" s="28"/>
    </row>
    <row r="3719" spans="1:19" x14ac:dyDescent="0.25">
      <c r="A3719" s="28"/>
      <c r="B3719" s="28"/>
      <c r="C3719" s="28"/>
      <c r="D3719" s="28"/>
      <c r="E3719" s="28"/>
      <c r="F3719" s="28"/>
      <c r="G3719" s="28"/>
      <c r="H3719" s="28"/>
      <c r="I3719" s="28"/>
      <c r="J3719" s="28"/>
      <c r="K3719" s="28"/>
      <c r="L3719" s="28"/>
      <c r="M3719" s="28"/>
      <c r="N3719" s="28"/>
      <c r="O3719" s="28"/>
      <c r="P3719" s="28"/>
      <c r="Q3719" s="28"/>
      <c r="R3719" s="28"/>
      <c r="S3719" s="28"/>
    </row>
    <row r="3720" spans="1:19" x14ac:dyDescent="0.25">
      <c r="A3720" s="28"/>
      <c r="B3720" s="28"/>
      <c r="C3720" s="28"/>
      <c r="D3720" s="28"/>
      <c r="E3720" s="28"/>
      <c r="F3720" s="28"/>
      <c r="G3720" s="28"/>
      <c r="H3720" s="28"/>
      <c r="I3720" s="28"/>
      <c r="J3720" s="28"/>
      <c r="K3720" s="28"/>
      <c r="L3720" s="28"/>
      <c r="M3720" s="28"/>
      <c r="N3720" s="28"/>
      <c r="O3720" s="28"/>
      <c r="P3720" s="28"/>
      <c r="Q3720" s="28"/>
      <c r="R3720" s="28"/>
      <c r="S3720" s="28"/>
    </row>
    <row r="3721" spans="1:19" x14ac:dyDescent="0.25">
      <c r="A3721" s="28"/>
      <c r="B3721" s="28"/>
      <c r="C3721" s="28"/>
      <c r="D3721" s="28"/>
      <c r="E3721" s="28"/>
      <c r="F3721" s="28"/>
      <c r="G3721" s="28"/>
      <c r="H3721" s="28"/>
      <c r="I3721" s="28"/>
      <c r="J3721" s="28"/>
      <c r="K3721" s="28"/>
      <c r="L3721" s="28"/>
      <c r="M3721" s="28"/>
      <c r="N3721" s="28"/>
      <c r="O3721" s="28"/>
      <c r="P3721" s="28"/>
      <c r="Q3721" s="28"/>
      <c r="R3721" s="28"/>
      <c r="S3721" s="28"/>
    </row>
    <row r="3722" spans="1:19" x14ac:dyDescent="0.25">
      <c r="A3722" s="28"/>
      <c r="B3722" s="28"/>
      <c r="C3722" s="28"/>
      <c r="D3722" s="28"/>
      <c r="E3722" s="28"/>
      <c r="F3722" s="28"/>
      <c r="G3722" s="28"/>
      <c r="H3722" s="28"/>
      <c r="I3722" s="28"/>
      <c r="J3722" s="28"/>
      <c r="K3722" s="28"/>
      <c r="L3722" s="28"/>
      <c r="M3722" s="28"/>
      <c r="N3722" s="28"/>
      <c r="O3722" s="28"/>
      <c r="P3722" s="28"/>
      <c r="Q3722" s="28"/>
      <c r="R3722" s="28"/>
      <c r="S3722" s="28"/>
    </row>
    <row r="3723" spans="1:19" x14ac:dyDescent="0.25">
      <c r="A3723" s="28"/>
      <c r="B3723" s="28"/>
      <c r="C3723" s="28"/>
      <c r="D3723" s="28"/>
      <c r="E3723" s="28"/>
      <c r="F3723" s="28"/>
      <c r="G3723" s="28"/>
      <c r="H3723" s="28"/>
      <c r="I3723" s="28"/>
      <c r="J3723" s="28"/>
      <c r="K3723" s="28"/>
      <c r="L3723" s="28"/>
      <c r="M3723" s="28"/>
      <c r="N3723" s="28"/>
      <c r="O3723" s="28"/>
      <c r="P3723" s="28"/>
      <c r="Q3723" s="28"/>
      <c r="R3723" s="28"/>
      <c r="S3723" s="28"/>
    </row>
    <row r="3724" spans="1:19" x14ac:dyDescent="0.25">
      <c r="A3724" s="28"/>
      <c r="B3724" s="28"/>
      <c r="C3724" s="28"/>
      <c r="D3724" s="28"/>
      <c r="E3724" s="28"/>
      <c r="F3724" s="28"/>
      <c r="G3724" s="28"/>
      <c r="H3724" s="28"/>
      <c r="I3724" s="28"/>
      <c r="J3724" s="28"/>
      <c r="K3724" s="28"/>
      <c r="L3724" s="28"/>
      <c r="M3724" s="28"/>
      <c r="N3724" s="28"/>
      <c r="O3724" s="28"/>
      <c r="P3724" s="28"/>
      <c r="Q3724" s="28"/>
      <c r="R3724" s="28"/>
      <c r="S3724" s="28"/>
    </row>
    <row r="3725" spans="1:19" x14ac:dyDescent="0.25">
      <c r="A3725" s="28"/>
      <c r="B3725" s="28"/>
      <c r="C3725" s="28"/>
      <c r="D3725" s="28"/>
      <c r="E3725" s="28"/>
      <c r="F3725" s="28"/>
      <c r="G3725" s="28"/>
      <c r="H3725" s="28"/>
      <c r="I3725" s="28"/>
      <c r="J3725" s="28"/>
      <c r="K3725" s="28"/>
      <c r="L3725" s="28"/>
      <c r="M3725" s="28"/>
      <c r="N3725" s="28"/>
      <c r="O3725" s="28"/>
      <c r="P3725" s="28"/>
      <c r="Q3725" s="28"/>
      <c r="R3725" s="28"/>
      <c r="S3725" s="28"/>
    </row>
    <row r="3726" spans="1:19" x14ac:dyDescent="0.25">
      <c r="A3726" s="28"/>
      <c r="B3726" s="28"/>
      <c r="C3726" s="28"/>
      <c r="D3726" s="28"/>
      <c r="E3726" s="28"/>
      <c r="F3726" s="28"/>
      <c r="G3726" s="28"/>
      <c r="H3726" s="28"/>
      <c r="I3726" s="28"/>
      <c r="J3726" s="28"/>
      <c r="K3726" s="28"/>
      <c r="L3726" s="28"/>
      <c r="M3726" s="28"/>
      <c r="N3726" s="28"/>
      <c r="O3726" s="28"/>
      <c r="P3726" s="28"/>
      <c r="Q3726" s="28"/>
      <c r="R3726" s="28"/>
      <c r="S3726" s="28"/>
    </row>
    <row r="3727" spans="1:19" x14ac:dyDescent="0.25">
      <c r="A3727" s="28"/>
      <c r="B3727" s="28"/>
      <c r="C3727" s="28"/>
      <c r="D3727" s="28"/>
      <c r="E3727" s="28"/>
      <c r="F3727" s="28"/>
      <c r="G3727" s="28"/>
      <c r="H3727" s="28"/>
      <c r="I3727" s="28"/>
      <c r="J3727" s="28"/>
      <c r="K3727" s="28"/>
      <c r="L3727" s="28"/>
      <c r="M3727" s="28"/>
      <c r="N3727" s="28"/>
      <c r="O3727" s="28"/>
      <c r="P3727" s="28"/>
      <c r="Q3727" s="28"/>
      <c r="R3727" s="28"/>
      <c r="S3727" s="28"/>
    </row>
    <row r="3728" spans="1:19" x14ac:dyDescent="0.25">
      <c r="A3728" s="28"/>
      <c r="B3728" s="28"/>
      <c r="C3728" s="28"/>
      <c r="D3728" s="28"/>
      <c r="E3728" s="28"/>
      <c r="F3728" s="28"/>
      <c r="G3728" s="28"/>
      <c r="H3728" s="28"/>
      <c r="I3728" s="28"/>
      <c r="J3728" s="28"/>
      <c r="K3728" s="28"/>
      <c r="L3728" s="28"/>
      <c r="M3728" s="28"/>
      <c r="N3728" s="28"/>
      <c r="O3728" s="28"/>
      <c r="P3728" s="28"/>
      <c r="Q3728" s="28"/>
      <c r="R3728" s="28"/>
      <c r="S3728" s="28"/>
    </row>
    <row r="3729" spans="1:19" x14ac:dyDescent="0.25">
      <c r="A3729" s="28"/>
      <c r="B3729" s="28"/>
      <c r="C3729" s="28"/>
      <c r="D3729" s="28"/>
      <c r="E3729" s="28"/>
      <c r="F3729" s="28"/>
      <c r="G3729" s="28"/>
      <c r="H3729" s="28"/>
      <c r="I3729" s="28"/>
      <c r="J3729" s="28"/>
      <c r="K3729" s="28"/>
      <c r="L3729" s="28"/>
      <c r="M3729" s="28"/>
      <c r="N3729" s="28"/>
      <c r="O3729" s="28"/>
      <c r="P3729" s="28"/>
      <c r="Q3729" s="28"/>
      <c r="R3729" s="28"/>
      <c r="S3729" s="28"/>
    </row>
    <row r="3730" spans="1:19" x14ac:dyDescent="0.25">
      <c r="A3730" s="28"/>
      <c r="B3730" s="28"/>
      <c r="C3730" s="28"/>
      <c r="D3730" s="28"/>
      <c r="E3730" s="28"/>
      <c r="F3730" s="28"/>
      <c r="G3730" s="28"/>
      <c r="H3730" s="28"/>
      <c r="I3730" s="28"/>
      <c r="J3730" s="28"/>
      <c r="K3730" s="28"/>
      <c r="L3730" s="28"/>
      <c r="M3730" s="28"/>
      <c r="N3730" s="28"/>
      <c r="O3730" s="28"/>
      <c r="P3730" s="28"/>
      <c r="Q3730" s="28"/>
      <c r="R3730" s="28"/>
      <c r="S3730" s="28"/>
    </row>
    <row r="3731" spans="1:19" x14ac:dyDescent="0.25">
      <c r="A3731" s="28"/>
      <c r="B3731" s="28"/>
      <c r="C3731" s="28"/>
      <c r="D3731" s="28"/>
      <c r="E3731" s="28"/>
      <c r="F3731" s="28"/>
      <c r="G3731" s="28"/>
      <c r="H3731" s="28"/>
      <c r="I3731" s="28"/>
      <c r="J3731" s="28"/>
      <c r="K3731" s="28"/>
      <c r="L3731" s="28"/>
      <c r="M3731" s="28"/>
      <c r="N3731" s="28"/>
      <c r="O3731" s="28"/>
      <c r="P3731" s="28"/>
      <c r="Q3731" s="28"/>
      <c r="R3731" s="28"/>
      <c r="S3731" s="28"/>
    </row>
    <row r="3732" spans="1:19" x14ac:dyDescent="0.25">
      <c r="A3732" s="28"/>
      <c r="B3732" s="28"/>
      <c r="C3732" s="28"/>
      <c r="D3732" s="28"/>
      <c r="E3732" s="28"/>
      <c r="F3732" s="28"/>
      <c r="G3732" s="28"/>
      <c r="H3732" s="28"/>
      <c r="I3732" s="28"/>
      <c r="J3732" s="28"/>
      <c r="K3732" s="28"/>
      <c r="L3732" s="28"/>
      <c r="M3732" s="28"/>
      <c r="N3732" s="28"/>
      <c r="O3732" s="28"/>
      <c r="P3732" s="28"/>
      <c r="Q3732" s="28"/>
      <c r="R3732" s="28"/>
      <c r="S3732" s="28"/>
    </row>
    <row r="3733" spans="1:19" x14ac:dyDescent="0.25">
      <c r="A3733" s="28"/>
      <c r="B3733" s="28"/>
      <c r="C3733" s="28"/>
      <c r="D3733" s="28"/>
      <c r="E3733" s="28"/>
      <c r="F3733" s="28"/>
      <c r="G3733" s="28"/>
      <c r="H3733" s="28"/>
      <c r="I3733" s="28"/>
      <c r="J3733" s="28"/>
      <c r="K3733" s="28"/>
      <c r="L3733" s="28"/>
      <c r="M3733" s="28"/>
      <c r="N3733" s="28"/>
      <c r="O3733" s="28"/>
      <c r="P3733" s="28"/>
      <c r="Q3733" s="28"/>
      <c r="R3733" s="28"/>
      <c r="S3733" s="28"/>
    </row>
    <row r="3734" spans="1:19" x14ac:dyDescent="0.25">
      <c r="A3734" s="28"/>
      <c r="B3734" s="28"/>
      <c r="C3734" s="28"/>
      <c r="D3734" s="28"/>
      <c r="E3734" s="28"/>
      <c r="F3734" s="28"/>
      <c r="G3734" s="28"/>
      <c r="H3734" s="28"/>
      <c r="I3734" s="28"/>
      <c r="J3734" s="28"/>
      <c r="K3734" s="28"/>
      <c r="L3734" s="28"/>
      <c r="M3734" s="28"/>
      <c r="N3734" s="28"/>
      <c r="O3734" s="28"/>
      <c r="P3734" s="28"/>
      <c r="Q3734" s="28"/>
      <c r="R3734" s="28"/>
      <c r="S3734" s="28"/>
    </row>
    <row r="3735" spans="1:19" x14ac:dyDescent="0.25">
      <c r="A3735" s="28"/>
      <c r="B3735" s="28"/>
      <c r="C3735" s="28"/>
      <c r="D3735" s="28"/>
      <c r="E3735" s="28"/>
      <c r="F3735" s="28"/>
      <c r="G3735" s="28"/>
      <c r="H3735" s="28"/>
      <c r="I3735" s="28"/>
      <c r="J3735" s="28"/>
      <c r="K3735" s="28"/>
      <c r="L3735" s="28"/>
      <c r="M3735" s="28"/>
      <c r="N3735" s="28"/>
      <c r="O3735" s="28"/>
      <c r="P3735" s="28"/>
      <c r="Q3735" s="28"/>
      <c r="R3735" s="28"/>
      <c r="S3735" s="28"/>
    </row>
    <row r="3736" spans="1:19" x14ac:dyDescent="0.25">
      <c r="A3736" s="28"/>
      <c r="B3736" s="28"/>
      <c r="C3736" s="28"/>
      <c r="D3736" s="28"/>
      <c r="E3736" s="28"/>
      <c r="F3736" s="28"/>
      <c r="G3736" s="28"/>
      <c r="H3736" s="28"/>
      <c r="I3736" s="28"/>
      <c r="J3736" s="28"/>
      <c r="K3736" s="28"/>
      <c r="L3736" s="28"/>
      <c r="M3736" s="28"/>
      <c r="N3736" s="28"/>
      <c r="O3736" s="28"/>
      <c r="P3736" s="28"/>
      <c r="Q3736" s="28"/>
      <c r="R3736" s="28"/>
      <c r="S3736" s="28"/>
    </row>
    <row r="3737" spans="1:19" x14ac:dyDescent="0.25">
      <c r="A3737" s="28"/>
      <c r="B3737" s="28"/>
      <c r="C3737" s="28"/>
      <c r="D3737" s="28"/>
      <c r="E3737" s="28"/>
      <c r="F3737" s="28"/>
      <c r="G3737" s="28"/>
      <c r="H3737" s="28"/>
      <c r="I3737" s="28"/>
      <c r="J3737" s="28"/>
      <c r="K3737" s="28"/>
      <c r="L3737" s="28"/>
      <c r="M3737" s="28"/>
      <c r="N3737" s="28"/>
      <c r="O3737" s="28"/>
      <c r="P3737" s="28"/>
      <c r="Q3737" s="28"/>
      <c r="R3737" s="28"/>
      <c r="S3737" s="28"/>
    </row>
    <row r="3738" spans="1:19" x14ac:dyDescent="0.25">
      <c r="A3738" s="28"/>
      <c r="B3738" s="28"/>
      <c r="C3738" s="28"/>
      <c r="D3738" s="28"/>
      <c r="E3738" s="28"/>
      <c r="F3738" s="28"/>
      <c r="G3738" s="28"/>
      <c r="H3738" s="28"/>
      <c r="I3738" s="28"/>
      <c r="J3738" s="28"/>
      <c r="K3738" s="28"/>
      <c r="L3738" s="28"/>
      <c r="M3738" s="28"/>
      <c r="N3738" s="28"/>
      <c r="O3738" s="28"/>
      <c r="P3738" s="28"/>
      <c r="Q3738" s="28"/>
      <c r="R3738" s="28"/>
      <c r="S3738" s="28"/>
    </row>
    <row r="3739" spans="1:19" x14ac:dyDescent="0.25">
      <c r="A3739" s="28"/>
      <c r="B3739" s="28"/>
      <c r="C3739" s="28"/>
      <c r="D3739" s="28"/>
      <c r="E3739" s="28"/>
      <c r="F3739" s="28"/>
      <c r="G3739" s="28"/>
      <c r="H3739" s="28"/>
      <c r="I3739" s="28"/>
      <c r="J3739" s="28"/>
      <c r="K3739" s="28"/>
      <c r="L3739" s="28"/>
      <c r="M3739" s="28"/>
      <c r="N3739" s="28"/>
      <c r="O3739" s="28"/>
      <c r="P3739" s="28"/>
      <c r="Q3739" s="28"/>
      <c r="R3739" s="28"/>
      <c r="S3739" s="28"/>
    </row>
    <row r="3740" spans="1:19" x14ac:dyDescent="0.25">
      <c r="A3740" s="28"/>
      <c r="B3740" s="28"/>
      <c r="C3740" s="28"/>
      <c r="D3740" s="28"/>
      <c r="E3740" s="28"/>
      <c r="F3740" s="28"/>
      <c r="G3740" s="28"/>
      <c r="H3740" s="28"/>
      <c r="I3740" s="28"/>
      <c r="J3740" s="28"/>
      <c r="K3740" s="28"/>
      <c r="L3740" s="28"/>
      <c r="M3740" s="28"/>
      <c r="N3740" s="28"/>
      <c r="O3740" s="28"/>
      <c r="P3740" s="28"/>
      <c r="Q3740" s="28"/>
      <c r="R3740" s="28"/>
      <c r="S3740" s="28"/>
    </row>
    <row r="3741" spans="1:19" x14ac:dyDescent="0.25">
      <c r="A3741" s="28"/>
      <c r="B3741" s="28"/>
      <c r="C3741" s="28"/>
      <c r="D3741" s="28"/>
      <c r="E3741" s="28"/>
      <c r="F3741" s="28"/>
      <c r="G3741" s="28"/>
      <c r="H3741" s="28"/>
      <c r="I3741" s="28"/>
      <c r="J3741" s="28"/>
      <c r="K3741" s="28"/>
      <c r="L3741" s="28"/>
      <c r="M3741" s="28"/>
      <c r="N3741" s="28"/>
      <c r="O3741" s="28"/>
      <c r="P3741" s="28"/>
      <c r="Q3741" s="28"/>
      <c r="R3741" s="28"/>
      <c r="S3741" s="28"/>
    </row>
    <row r="3742" spans="1:19" x14ac:dyDescent="0.25">
      <c r="A3742" s="28"/>
      <c r="B3742" s="28"/>
      <c r="C3742" s="28"/>
      <c r="D3742" s="28"/>
      <c r="E3742" s="28"/>
      <c r="F3742" s="28"/>
      <c r="G3742" s="28"/>
      <c r="H3742" s="28"/>
      <c r="I3742" s="28"/>
      <c r="J3742" s="28"/>
      <c r="K3742" s="28"/>
      <c r="L3742" s="28"/>
      <c r="M3742" s="28"/>
      <c r="N3742" s="28"/>
      <c r="O3742" s="28"/>
      <c r="P3742" s="28"/>
      <c r="Q3742" s="28"/>
      <c r="R3742" s="28"/>
      <c r="S3742" s="28"/>
    </row>
    <row r="3743" spans="1:19" x14ac:dyDescent="0.25">
      <c r="A3743" s="28"/>
      <c r="B3743" s="28"/>
      <c r="C3743" s="28"/>
      <c r="D3743" s="28"/>
      <c r="E3743" s="28"/>
      <c r="F3743" s="28"/>
      <c r="G3743" s="28"/>
      <c r="H3743" s="28"/>
      <c r="I3743" s="28"/>
      <c r="J3743" s="28"/>
      <c r="K3743" s="28"/>
      <c r="L3743" s="28"/>
      <c r="M3743" s="28"/>
      <c r="N3743" s="28"/>
      <c r="O3743" s="28"/>
      <c r="P3743" s="28"/>
      <c r="Q3743" s="28"/>
      <c r="R3743" s="28"/>
      <c r="S3743" s="28"/>
    </row>
    <row r="3744" spans="1:19" x14ac:dyDescent="0.25">
      <c r="A3744" s="28"/>
      <c r="B3744" s="28"/>
      <c r="C3744" s="28"/>
      <c r="D3744" s="28"/>
      <c r="E3744" s="28"/>
      <c r="F3744" s="28"/>
      <c r="G3744" s="28"/>
      <c r="H3744" s="28"/>
      <c r="I3744" s="28"/>
      <c r="J3744" s="28"/>
      <c r="K3744" s="28"/>
      <c r="L3744" s="28"/>
      <c r="M3744" s="28"/>
      <c r="N3744" s="28"/>
      <c r="O3744" s="28"/>
      <c r="P3744" s="28"/>
      <c r="Q3744" s="28"/>
      <c r="R3744" s="28"/>
      <c r="S3744" s="28"/>
    </row>
    <row r="3745" spans="1:19" x14ac:dyDescent="0.25">
      <c r="A3745" s="28"/>
      <c r="B3745" s="28"/>
      <c r="C3745" s="28"/>
      <c r="D3745" s="28"/>
      <c r="E3745" s="28"/>
      <c r="F3745" s="28"/>
      <c r="G3745" s="28"/>
      <c r="H3745" s="28"/>
      <c r="I3745" s="28"/>
      <c r="J3745" s="28"/>
      <c r="K3745" s="28"/>
      <c r="L3745" s="28"/>
      <c r="M3745" s="28"/>
      <c r="N3745" s="28"/>
      <c r="O3745" s="28"/>
      <c r="P3745" s="28"/>
      <c r="Q3745" s="28"/>
      <c r="R3745" s="28"/>
      <c r="S3745" s="28"/>
    </row>
    <row r="3746" spans="1:19" x14ac:dyDescent="0.25">
      <c r="A3746" s="28"/>
      <c r="B3746" s="28"/>
      <c r="C3746" s="28"/>
      <c r="D3746" s="28"/>
      <c r="E3746" s="28"/>
      <c r="F3746" s="28"/>
      <c r="G3746" s="28"/>
      <c r="H3746" s="28"/>
      <c r="I3746" s="28"/>
      <c r="J3746" s="28"/>
      <c r="K3746" s="28"/>
      <c r="L3746" s="28"/>
      <c r="M3746" s="28"/>
      <c r="N3746" s="28"/>
      <c r="O3746" s="28"/>
      <c r="P3746" s="28"/>
      <c r="Q3746" s="28"/>
      <c r="R3746" s="28"/>
      <c r="S3746" s="28"/>
    </row>
    <row r="3747" spans="1:19" x14ac:dyDescent="0.25">
      <c r="A3747" s="28"/>
      <c r="B3747" s="28"/>
      <c r="C3747" s="28"/>
      <c r="D3747" s="28"/>
      <c r="E3747" s="28"/>
      <c r="F3747" s="28"/>
      <c r="G3747" s="28"/>
      <c r="H3747" s="28"/>
      <c r="I3747" s="28"/>
      <c r="J3747" s="28"/>
      <c r="K3747" s="28"/>
      <c r="L3747" s="28"/>
      <c r="M3747" s="28"/>
      <c r="N3747" s="28"/>
      <c r="O3747" s="28"/>
      <c r="P3747" s="28"/>
      <c r="Q3747" s="28"/>
      <c r="R3747" s="28"/>
      <c r="S3747" s="28"/>
    </row>
    <row r="3748" spans="1:19" x14ac:dyDescent="0.25">
      <c r="A3748" s="28"/>
      <c r="B3748" s="28"/>
      <c r="C3748" s="28"/>
      <c r="D3748" s="28"/>
      <c r="E3748" s="28"/>
      <c r="F3748" s="28"/>
      <c r="G3748" s="28"/>
      <c r="H3748" s="28"/>
      <c r="I3748" s="28"/>
      <c r="J3748" s="28"/>
      <c r="K3748" s="28"/>
      <c r="L3748" s="28"/>
      <c r="M3748" s="28"/>
      <c r="N3748" s="28"/>
      <c r="O3748" s="28"/>
      <c r="P3748" s="28"/>
      <c r="Q3748" s="28"/>
      <c r="R3748" s="28"/>
      <c r="S3748" s="28"/>
    </row>
    <row r="3749" spans="1:19" x14ac:dyDescent="0.25">
      <c r="A3749" s="28"/>
      <c r="B3749" s="28"/>
      <c r="C3749" s="28"/>
      <c r="D3749" s="28"/>
      <c r="E3749" s="28"/>
      <c r="F3749" s="28"/>
      <c r="G3749" s="28"/>
      <c r="H3749" s="28"/>
      <c r="I3749" s="28"/>
      <c r="J3749" s="28"/>
      <c r="K3749" s="28"/>
      <c r="L3749" s="28"/>
      <c r="M3749" s="28"/>
      <c r="N3749" s="28"/>
      <c r="O3749" s="28"/>
      <c r="P3749" s="28"/>
      <c r="Q3749" s="28"/>
      <c r="R3749" s="28"/>
      <c r="S3749" s="28"/>
    </row>
    <row r="3750" spans="1:19" x14ac:dyDescent="0.25">
      <c r="A3750" s="28"/>
      <c r="B3750" s="28"/>
      <c r="C3750" s="28"/>
      <c r="D3750" s="28"/>
      <c r="E3750" s="28"/>
      <c r="F3750" s="28"/>
      <c r="G3750" s="28"/>
      <c r="H3750" s="28"/>
      <c r="I3750" s="28"/>
      <c r="J3750" s="28"/>
      <c r="K3750" s="28"/>
      <c r="L3750" s="28"/>
      <c r="M3750" s="28"/>
      <c r="N3750" s="28"/>
      <c r="O3750" s="28"/>
      <c r="P3750" s="28"/>
      <c r="Q3750" s="28"/>
      <c r="R3750" s="28"/>
      <c r="S3750" s="28"/>
    </row>
    <row r="3751" spans="1:19" x14ac:dyDescent="0.25">
      <c r="A3751" s="28"/>
      <c r="B3751" s="28"/>
      <c r="C3751" s="28"/>
      <c r="D3751" s="28"/>
      <c r="E3751" s="28"/>
      <c r="F3751" s="28"/>
      <c r="G3751" s="28"/>
      <c r="H3751" s="28"/>
      <c r="I3751" s="28"/>
      <c r="J3751" s="28"/>
      <c r="K3751" s="28"/>
      <c r="L3751" s="28"/>
      <c r="M3751" s="28"/>
      <c r="N3751" s="28"/>
      <c r="O3751" s="28"/>
      <c r="P3751" s="28"/>
      <c r="Q3751" s="28"/>
      <c r="R3751" s="28"/>
      <c r="S3751" s="28"/>
    </row>
    <row r="3752" spans="1:19" x14ac:dyDescent="0.25">
      <c r="A3752" s="28"/>
      <c r="B3752" s="28"/>
      <c r="C3752" s="28"/>
      <c r="D3752" s="28"/>
      <c r="E3752" s="28"/>
      <c r="F3752" s="28"/>
      <c r="G3752" s="28"/>
      <c r="H3752" s="28"/>
      <c r="I3752" s="28"/>
      <c r="J3752" s="28"/>
      <c r="K3752" s="28"/>
      <c r="L3752" s="28"/>
      <c r="M3752" s="28"/>
      <c r="N3752" s="28"/>
      <c r="O3752" s="28"/>
      <c r="P3752" s="28"/>
      <c r="Q3752" s="28"/>
      <c r="R3752" s="28"/>
      <c r="S3752" s="28"/>
    </row>
    <row r="3753" spans="1:19" x14ac:dyDescent="0.25">
      <c r="A3753" s="28"/>
      <c r="B3753" s="28"/>
      <c r="C3753" s="28"/>
      <c r="D3753" s="28"/>
      <c r="E3753" s="28"/>
      <c r="F3753" s="28"/>
      <c r="G3753" s="28"/>
      <c r="H3753" s="28"/>
      <c r="I3753" s="28"/>
      <c r="J3753" s="28"/>
      <c r="K3753" s="28"/>
      <c r="L3753" s="28"/>
      <c r="M3753" s="28"/>
      <c r="N3753" s="28"/>
      <c r="O3753" s="28"/>
      <c r="P3753" s="28"/>
      <c r="Q3753" s="28"/>
      <c r="R3753" s="28"/>
      <c r="S3753" s="28"/>
    </row>
    <row r="3754" spans="1:19" x14ac:dyDescent="0.25">
      <c r="A3754" s="28"/>
      <c r="B3754" s="28"/>
      <c r="C3754" s="28"/>
      <c r="D3754" s="28"/>
      <c r="E3754" s="28"/>
      <c r="F3754" s="28"/>
      <c r="G3754" s="28"/>
      <c r="H3754" s="28"/>
      <c r="I3754" s="28"/>
      <c r="J3754" s="28"/>
      <c r="K3754" s="28"/>
      <c r="L3754" s="28"/>
      <c r="M3754" s="28"/>
      <c r="N3754" s="28"/>
      <c r="O3754" s="28"/>
      <c r="P3754" s="28"/>
      <c r="Q3754" s="28"/>
      <c r="R3754" s="28"/>
      <c r="S3754" s="28"/>
    </row>
    <row r="3755" spans="1:19" x14ac:dyDescent="0.25">
      <c r="A3755" s="28"/>
      <c r="B3755" s="28"/>
      <c r="C3755" s="28"/>
      <c r="D3755" s="28"/>
      <c r="E3755" s="28"/>
      <c r="F3755" s="28"/>
      <c r="G3755" s="28"/>
      <c r="H3755" s="28"/>
      <c r="I3755" s="28"/>
      <c r="J3755" s="28"/>
      <c r="K3755" s="28"/>
      <c r="L3755" s="28"/>
      <c r="M3755" s="28"/>
      <c r="N3755" s="28"/>
      <c r="O3755" s="28"/>
      <c r="P3755" s="28"/>
      <c r="Q3755" s="28"/>
      <c r="R3755" s="28"/>
      <c r="S3755" s="28"/>
    </row>
    <row r="3756" spans="1:19" x14ac:dyDescent="0.25">
      <c r="A3756" s="28"/>
      <c r="B3756" s="28"/>
      <c r="C3756" s="28"/>
      <c r="D3756" s="28"/>
      <c r="E3756" s="28"/>
      <c r="F3756" s="28"/>
      <c r="G3756" s="28"/>
      <c r="H3756" s="28"/>
      <c r="I3756" s="28"/>
      <c r="J3756" s="28"/>
      <c r="K3756" s="28"/>
      <c r="L3756" s="28"/>
      <c r="M3756" s="28"/>
      <c r="N3756" s="28"/>
      <c r="O3756" s="28"/>
      <c r="P3756" s="28"/>
      <c r="Q3756" s="28"/>
      <c r="R3756" s="28"/>
      <c r="S3756" s="28"/>
    </row>
    <row r="3757" spans="1:19" x14ac:dyDescent="0.25">
      <c r="A3757" s="28"/>
      <c r="B3757" s="28"/>
      <c r="C3757" s="28"/>
      <c r="D3757" s="28"/>
      <c r="E3757" s="28"/>
      <c r="F3757" s="28"/>
      <c r="G3757" s="28"/>
      <c r="H3757" s="28"/>
      <c r="I3757" s="28"/>
      <c r="J3757" s="28"/>
      <c r="K3757" s="28"/>
      <c r="L3757" s="28"/>
      <c r="M3757" s="28"/>
      <c r="N3757" s="28"/>
      <c r="O3757" s="28"/>
      <c r="P3757" s="28"/>
      <c r="Q3757" s="28"/>
      <c r="R3757" s="28"/>
      <c r="S3757" s="28"/>
    </row>
    <row r="3758" spans="1:19" x14ac:dyDescent="0.25">
      <c r="A3758" s="28"/>
      <c r="B3758" s="28"/>
      <c r="C3758" s="28"/>
      <c r="D3758" s="28"/>
      <c r="E3758" s="28"/>
      <c r="F3758" s="28"/>
      <c r="G3758" s="28"/>
      <c r="H3758" s="28"/>
      <c r="I3758" s="28"/>
      <c r="J3758" s="28"/>
      <c r="K3758" s="28"/>
      <c r="L3758" s="28"/>
      <c r="M3758" s="28"/>
      <c r="N3758" s="28"/>
      <c r="O3758" s="28"/>
      <c r="P3758" s="28"/>
      <c r="Q3758" s="28"/>
      <c r="R3758" s="28"/>
      <c r="S3758" s="28"/>
    </row>
    <row r="3759" spans="1:19" x14ac:dyDescent="0.25">
      <c r="A3759" s="28"/>
      <c r="B3759" s="28"/>
      <c r="C3759" s="28"/>
      <c r="D3759" s="28"/>
      <c r="E3759" s="28"/>
      <c r="F3759" s="28"/>
      <c r="G3759" s="28"/>
      <c r="H3759" s="28"/>
      <c r="I3759" s="28"/>
      <c r="J3759" s="28"/>
      <c r="K3759" s="28"/>
      <c r="L3759" s="28"/>
      <c r="M3759" s="28"/>
      <c r="N3759" s="28"/>
      <c r="O3759" s="28"/>
      <c r="P3759" s="28"/>
      <c r="Q3759" s="28"/>
      <c r="R3759" s="28"/>
      <c r="S3759" s="28"/>
    </row>
    <row r="3760" spans="1:19" x14ac:dyDescent="0.25">
      <c r="A3760" s="28"/>
      <c r="B3760" s="28"/>
      <c r="C3760" s="28"/>
      <c r="D3760" s="28"/>
      <c r="E3760" s="28"/>
      <c r="F3760" s="28"/>
      <c r="G3760" s="28"/>
      <c r="H3760" s="28"/>
      <c r="I3760" s="28"/>
      <c r="J3760" s="28"/>
      <c r="K3760" s="28"/>
      <c r="L3760" s="28"/>
      <c r="M3760" s="28"/>
      <c r="N3760" s="28"/>
      <c r="O3760" s="28"/>
      <c r="P3760" s="28"/>
      <c r="Q3760" s="28"/>
      <c r="R3760" s="28"/>
      <c r="S3760" s="28"/>
    </row>
    <row r="3761" spans="1:19" x14ac:dyDescent="0.25">
      <c r="A3761" s="28"/>
      <c r="B3761" s="28"/>
      <c r="C3761" s="28"/>
      <c r="D3761" s="28"/>
      <c r="E3761" s="28"/>
      <c r="F3761" s="28"/>
      <c r="G3761" s="28"/>
      <c r="H3761" s="28"/>
      <c r="I3761" s="28"/>
      <c r="J3761" s="28"/>
      <c r="K3761" s="28"/>
      <c r="L3761" s="28"/>
      <c r="M3761" s="28"/>
      <c r="N3761" s="28"/>
      <c r="O3761" s="28"/>
      <c r="P3761" s="28"/>
      <c r="Q3761" s="28"/>
      <c r="R3761" s="28"/>
      <c r="S3761" s="28"/>
    </row>
    <row r="3762" spans="1:19" x14ac:dyDescent="0.25">
      <c r="A3762" s="28"/>
      <c r="B3762" s="28"/>
      <c r="C3762" s="28"/>
      <c r="D3762" s="28"/>
      <c r="E3762" s="28"/>
      <c r="F3762" s="28"/>
      <c r="G3762" s="28"/>
      <c r="H3762" s="28"/>
      <c r="I3762" s="28"/>
      <c r="J3762" s="28"/>
      <c r="K3762" s="28"/>
      <c r="L3762" s="28"/>
      <c r="M3762" s="28"/>
      <c r="N3762" s="28"/>
      <c r="O3762" s="28"/>
      <c r="P3762" s="28"/>
      <c r="Q3762" s="28"/>
      <c r="R3762" s="28"/>
      <c r="S3762" s="28"/>
    </row>
    <row r="3763" spans="1:19" x14ac:dyDescent="0.25">
      <c r="A3763" s="28"/>
      <c r="B3763" s="28"/>
      <c r="C3763" s="28"/>
      <c r="D3763" s="28"/>
      <c r="E3763" s="28"/>
      <c r="F3763" s="28"/>
      <c r="G3763" s="28"/>
      <c r="H3763" s="28"/>
      <c r="I3763" s="28"/>
      <c r="J3763" s="28"/>
      <c r="K3763" s="28"/>
      <c r="L3763" s="28"/>
      <c r="M3763" s="28"/>
      <c r="N3763" s="28"/>
      <c r="O3763" s="28"/>
      <c r="P3763" s="28"/>
      <c r="Q3763" s="28"/>
      <c r="R3763" s="28"/>
      <c r="S3763" s="28"/>
    </row>
    <row r="3764" spans="1:19" x14ac:dyDescent="0.25">
      <c r="A3764" s="28"/>
      <c r="B3764" s="28"/>
      <c r="C3764" s="28"/>
      <c r="D3764" s="28"/>
      <c r="E3764" s="28"/>
      <c r="F3764" s="28"/>
      <c r="G3764" s="28"/>
      <c r="H3764" s="28"/>
      <c r="I3764" s="28"/>
      <c r="J3764" s="28"/>
      <c r="K3764" s="28"/>
      <c r="L3764" s="28"/>
      <c r="M3764" s="28"/>
      <c r="N3764" s="28"/>
      <c r="O3764" s="28"/>
      <c r="P3764" s="28"/>
      <c r="Q3764" s="28"/>
      <c r="R3764" s="28"/>
      <c r="S3764" s="28"/>
    </row>
    <row r="3765" spans="1:19" x14ac:dyDescent="0.25">
      <c r="A3765" s="28"/>
      <c r="B3765" s="28"/>
      <c r="C3765" s="28"/>
      <c r="D3765" s="28"/>
      <c r="E3765" s="28"/>
      <c r="F3765" s="28"/>
      <c r="G3765" s="28"/>
      <c r="H3765" s="28"/>
      <c r="I3765" s="28"/>
      <c r="J3765" s="28"/>
      <c r="K3765" s="28"/>
      <c r="L3765" s="28"/>
      <c r="M3765" s="28"/>
      <c r="N3765" s="28"/>
      <c r="O3765" s="28"/>
      <c r="P3765" s="28"/>
      <c r="Q3765" s="28"/>
      <c r="R3765" s="28"/>
      <c r="S3765" s="28"/>
    </row>
    <row r="3766" spans="1:19" x14ac:dyDescent="0.25">
      <c r="A3766" s="28"/>
      <c r="B3766" s="28"/>
      <c r="C3766" s="28"/>
      <c r="D3766" s="28"/>
      <c r="E3766" s="28"/>
      <c r="F3766" s="28"/>
      <c r="G3766" s="28"/>
      <c r="H3766" s="28"/>
      <c r="I3766" s="28"/>
      <c r="J3766" s="28"/>
      <c r="K3766" s="28"/>
      <c r="L3766" s="28"/>
      <c r="M3766" s="28"/>
      <c r="N3766" s="28"/>
      <c r="O3766" s="28"/>
      <c r="P3766" s="28"/>
      <c r="Q3766" s="28"/>
      <c r="R3766" s="28"/>
      <c r="S3766" s="28"/>
    </row>
    <row r="3767" spans="1:19" x14ac:dyDescent="0.25">
      <c r="A3767" s="28"/>
      <c r="B3767" s="28"/>
      <c r="C3767" s="28"/>
      <c r="D3767" s="28"/>
      <c r="E3767" s="28"/>
      <c r="F3767" s="28"/>
      <c r="G3767" s="28"/>
      <c r="H3767" s="28"/>
      <c r="I3767" s="28"/>
      <c r="J3767" s="28"/>
      <c r="K3767" s="28"/>
      <c r="L3767" s="28"/>
      <c r="M3767" s="28"/>
      <c r="N3767" s="28"/>
      <c r="O3767" s="28"/>
      <c r="P3767" s="28"/>
      <c r="Q3767" s="28"/>
      <c r="R3767" s="28"/>
      <c r="S3767" s="28"/>
    </row>
    <row r="3768" spans="1:19" x14ac:dyDescent="0.25">
      <c r="A3768" s="28"/>
      <c r="B3768" s="28"/>
      <c r="C3768" s="28"/>
      <c r="D3768" s="28"/>
      <c r="E3768" s="28"/>
      <c r="F3768" s="28"/>
      <c r="G3768" s="28"/>
      <c r="H3768" s="28"/>
      <c r="I3768" s="28"/>
      <c r="J3768" s="28"/>
      <c r="K3768" s="28"/>
      <c r="L3768" s="28"/>
      <c r="M3768" s="28"/>
      <c r="N3768" s="28"/>
      <c r="O3768" s="28"/>
      <c r="P3768" s="28"/>
      <c r="Q3768" s="28"/>
      <c r="R3768" s="28"/>
      <c r="S3768" s="28"/>
    </row>
    <row r="3769" spans="1:19" x14ac:dyDescent="0.25">
      <c r="A3769" s="28"/>
      <c r="B3769" s="28"/>
      <c r="C3769" s="28"/>
      <c r="D3769" s="28"/>
      <c r="E3769" s="28"/>
      <c r="F3769" s="28"/>
      <c r="G3769" s="28"/>
      <c r="H3769" s="28"/>
      <c r="I3769" s="28"/>
      <c r="J3769" s="28"/>
      <c r="K3769" s="28"/>
      <c r="L3769" s="28"/>
      <c r="M3769" s="28"/>
      <c r="N3769" s="28"/>
      <c r="O3769" s="28"/>
      <c r="P3769" s="28"/>
      <c r="Q3769" s="28"/>
      <c r="R3769" s="28"/>
      <c r="S3769" s="28"/>
    </row>
    <row r="3770" spans="1:19" x14ac:dyDescent="0.25">
      <c r="A3770" s="28"/>
      <c r="B3770" s="28"/>
      <c r="C3770" s="28"/>
      <c r="D3770" s="28"/>
      <c r="E3770" s="28"/>
      <c r="F3770" s="28"/>
      <c r="G3770" s="28"/>
      <c r="H3770" s="28"/>
      <c r="I3770" s="28"/>
      <c r="J3770" s="28"/>
      <c r="K3770" s="28"/>
      <c r="L3770" s="28"/>
      <c r="M3770" s="28"/>
      <c r="N3770" s="28"/>
      <c r="O3770" s="28"/>
      <c r="P3770" s="28"/>
      <c r="Q3770" s="28"/>
      <c r="R3770" s="28"/>
      <c r="S3770" s="28"/>
    </row>
    <row r="3771" spans="1:19" x14ac:dyDescent="0.25">
      <c r="A3771" s="28"/>
      <c r="B3771" s="28"/>
      <c r="C3771" s="28"/>
      <c r="D3771" s="28"/>
      <c r="E3771" s="28"/>
      <c r="F3771" s="28"/>
      <c r="G3771" s="28"/>
      <c r="H3771" s="28"/>
      <c r="I3771" s="28"/>
      <c r="J3771" s="28"/>
      <c r="K3771" s="28"/>
      <c r="L3771" s="28"/>
      <c r="M3771" s="28"/>
      <c r="N3771" s="28"/>
      <c r="O3771" s="28"/>
      <c r="P3771" s="28"/>
      <c r="Q3771" s="28"/>
      <c r="R3771" s="28"/>
      <c r="S3771" s="28"/>
    </row>
    <row r="3772" spans="1:19" x14ac:dyDescent="0.25">
      <c r="A3772" s="28"/>
      <c r="B3772" s="28"/>
      <c r="C3772" s="28"/>
      <c r="D3772" s="28"/>
      <c r="E3772" s="28"/>
      <c r="F3772" s="28"/>
      <c r="G3772" s="28"/>
      <c r="H3772" s="28"/>
      <c r="I3772" s="28"/>
      <c r="J3772" s="28"/>
      <c r="K3772" s="28"/>
      <c r="L3772" s="28"/>
      <c r="M3772" s="28"/>
      <c r="N3772" s="28"/>
      <c r="O3772" s="28"/>
      <c r="P3772" s="28"/>
      <c r="Q3772" s="28"/>
      <c r="R3772" s="28"/>
      <c r="S3772" s="28"/>
    </row>
    <row r="3773" spans="1:19" x14ac:dyDescent="0.25">
      <c r="A3773" s="28"/>
      <c r="B3773" s="28"/>
      <c r="C3773" s="28"/>
      <c r="D3773" s="28"/>
      <c r="E3773" s="28"/>
      <c r="F3773" s="28"/>
      <c r="G3773" s="28"/>
      <c r="H3773" s="28"/>
      <c r="I3773" s="28"/>
      <c r="J3773" s="28"/>
      <c r="K3773" s="28"/>
      <c r="L3773" s="28"/>
      <c r="M3773" s="28"/>
      <c r="N3773" s="28"/>
      <c r="O3773" s="28"/>
      <c r="P3773" s="28"/>
      <c r="Q3773" s="28"/>
      <c r="R3773" s="28"/>
      <c r="S3773" s="28"/>
    </row>
    <row r="3774" spans="1:19" x14ac:dyDescent="0.25">
      <c r="A3774" s="28"/>
      <c r="B3774" s="28"/>
      <c r="C3774" s="28"/>
      <c r="D3774" s="28"/>
      <c r="E3774" s="28"/>
      <c r="F3774" s="28"/>
      <c r="G3774" s="28"/>
      <c r="H3774" s="28"/>
      <c r="I3774" s="28"/>
      <c r="J3774" s="28"/>
      <c r="K3774" s="28"/>
      <c r="L3774" s="28"/>
      <c r="M3774" s="28"/>
      <c r="N3774" s="28"/>
      <c r="O3774" s="28"/>
      <c r="P3774" s="28"/>
      <c r="Q3774" s="28"/>
      <c r="R3774" s="28"/>
      <c r="S3774" s="28"/>
    </row>
    <row r="3775" spans="1:19" x14ac:dyDescent="0.25">
      <c r="A3775" s="28"/>
      <c r="B3775" s="28"/>
      <c r="C3775" s="28"/>
      <c r="D3775" s="28"/>
      <c r="E3775" s="28"/>
      <c r="F3775" s="28"/>
      <c r="G3775" s="28"/>
      <c r="H3775" s="28"/>
      <c r="I3775" s="28"/>
      <c r="J3775" s="28"/>
      <c r="K3775" s="28"/>
      <c r="L3775" s="28"/>
      <c r="M3775" s="28"/>
      <c r="N3775" s="28"/>
      <c r="O3775" s="28"/>
      <c r="P3775" s="28"/>
      <c r="Q3775" s="28"/>
      <c r="R3775" s="28"/>
      <c r="S3775" s="28"/>
    </row>
    <row r="3776" spans="1:19" x14ac:dyDescent="0.25">
      <c r="A3776" s="28"/>
      <c r="B3776" s="28"/>
      <c r="C3776" s="28"/>
      <c r="D3776" s="28"/>
      <c r="E3776" s="28"/>
      <c r="F3776" s="28"/>
      <c r="G3776" s="28"/>
      <c r="H3776" s="28"/>
      <c r="I3776" s="28"/>
      <c r="J3776" s="28"/>
      <c r="K3776" s="28"/>
      <c r="L3776" s="28"/>
      <c r="M3776" s="28"/>
      <c r="N3776" s="28"/>
      <c r="O3776" s="28"/>
      <c r="P3776" s="28"/>
      <c r="Q3776" s="28"/>
      <c r="R3776" s="28"/>
      <c r="S3776" s="28"/>
    </row>
    <row r="3777" spans="1:19" x14ac:dyDescent="0.25">
      <c r="A3777" s="28"/>
      <c r="B3777" s="28"/>
      <c r="C3777" s="28"/>
      <c r="D3777" s="28"/>
      <c r="E3777" s="28"/>
      <c r="F3777" s="28"/>
      <c r="G3777" s="28"/>
      <c r="H3777" s="28"/>
      <c r="I3777" s="28"/>
      <c r="J3777" s="28"/>
      <c r="K3777" s="28"/>
      <c r="L3777" s="28"/>
      <c r="M3777" s="28"/>
      <c r="N3777" s="28"/>
      <c r="O3777" s="28"/>
      <c r="P3777" s="28"/>
      <c r="Q3777" s="28"/>
      <c r="R3777" s="28"/>
      <c r="S3777" s="28"/>
    </row>
    <row r="3778" spans="1:19" x14ac:dyDescent="0.25">
      <c r="A3778" s="28"/>
      <c r="B3778" s="28"/>
      <c r="C3778" s="28"/>
      <c r="D3778" s="28"/>
      <c r="E3778" s="28"/>
      <c r="F3778" s="28"/>
      <c r="G3778" s="28"/>
      <c r="H3778" s="28"/>
      <c r="I3778" s="28"/>
      <c r="J3778" s="28"/>
      <c r="K3778" s="28"/>
      <c r="L3778" s="28"/>
      <c r="M3778" s="28"/>
      <c r="N3778" s="28"/>
      <c r="O3778" s="28"/>
      <c r="P3778" s="28"/>
      <c r="Q3778" s="28"/>
      <c r="R3778" s="28"/>
      <c r="S3778" s="28"/>
    </row>
    <row r="3779" spans="1:19" x14ac:dyDescent="0.25">
      <c r="A3779" s="28"/>
      <c r="B3779" s="28"/>
      <c r="C3779" s="28"/>
      <c r="D3779" s="28"/>
      <c r="E3779" s="28"/>
      <c r="F3779" s="28"/>
      <c r="G3779" s="28"/>
      <c r="H3779" s="28"/>
      <c r="I3779" s="28"/>
      <c r="J3779" s="28"/>
      <c r="K3779" s="28"/>
      <c r="L3779" s="28"/>
      <c r="M3779" s="28"/>
      <c r="N3779" s="28"/>
      <c r="O3779" s="28"/>
      <c r="P3779" s="28"/>
      <c r="Q3779" s="28"/>
      <c r="R3779" s="28"/>
      <c r="S3779" s="28"/>
    </row>
    <row r="3780" spans="1:19" x14ac:dyDescent="0.25">
      <c r="A3780" s="28"/>
      <c r="B3780" s="28"/>
      <c r="C3780" s="28"/>
      <c r="D3780" s="28"/>
      <c r="E3780" s="28"/>
      <c r="F3780" s="28"/>
      <c r="G3780" s="28"/>
      <c r="H3780" s="28"/>
      <c r="I3780" s="28"/>
      <c r="J3780" s="28"/>
      <c r="K3780" s="28"/>
      <c r="L3780" s="28"/>
      <c r="M3780" s="28"/>
      <c r="N3780" s="28"/>
      <c r="O3780" s="28"/>
      <c r="P3780" s="28"/>
      <c r="Q3780" s="28"/>
      <c r="R3780" s="28"/>
      <c r="S3780" s="28"/>
    </row>
    <row r="3781" spans="1:19" x14ac:dyDescent="0.25">
      <c r="A3781" s="28"/>
      <c r="B3781" s="28"/>
      <c r="C3781" s="28"/>
      <c r="D3781" s="28"/>
      <c r="E3781" s="28"/>
      <c r="F3781" s="28"/>
      <c r="G3781" s="28"/>
      <c r="H3781" s="28"/>
      <c r="I3781" s="28"/>
      <c r="J3781" s="28"/>
      <c r="K3781" s="28"/>
      <c r="L3781" s="28"/>
      <c r="M3781" s="28"/>
      <c r="N3781" s="28"/>
      <c r="O3781" s="28"/>
      <c r="P3781" s="28"/>
      <c r="Q3781" s="28"/>
      <c r="R3781" s="28"/>
      <c r="S3781" s="28"/>
    </row>
    <row r="3782" spans="1:19" x14ac:dyDescent="0.25">
      <c r="A3782" s="28"/>
      <c r="B3782" s="28"/>
      <c r="C3782" s="28"/>
      <c r="D3782" s="28"/>
      <c r="E3782" s="28"/>
      <c r="F3782" s="28"/>
      <c r="G3782" s="28"/>
      <c r="H3782" s="28"/>
      <c r="I3782" s="28"/>
      <c r="J3782" s="28"/>
      <c r="K3782" s="28"/>
      <c r="L3782" s="28"/>
      <c r="M3782" s="28"/>
      <c r="N3782" s="28"/>
      <c r="O3782" s="28"/>
      <c r="P3782" s="28"/>
      <c r="Q3782" s="28"/>
      <c r="R3782" s="28"/>
      <c r="S3782" s="28"/>
    </row>
    <row r="3783" spans="1:19" x14ac:dyDescent="0.25">
      <c r="A3783" s="28"/>
      <c r="B3783" s="28"/>
      <c r="C3783" s="28"/>
      <c r="D3783" s="28"/>
      <c r="E3783" s="28"/>
      <c r="F3783" s="28"/>
      <c r="G3783" s="28"/>
      <c r="H3783" s="28"/>
      <c r="I3783" s="28"/>
      <c r="J3783" s="28"/>
      <c r="K3783" s="28"/>
      <c r="L3783" s="28"/>
      <c r="M3783" s="28"/>
      <c r="N3783" s="28"/>
      <c r="O3783" s="28"/>
      <c r="P3783" s="28"/>
      <c r="Q3783" s="28"/>
      <c r="R3783" s="28"/>
      <c r="S3783" s="28"/>
    </row>
    <row r="3784" spans="1:19" x14ac:dyDescent="0.25">
      <c r="A3784" s="28"/>
      <c r="B3784" s="28"/>
      <c r="C3784" s="28"/>
      <c r="D3784" s="28"/>
      <c r="E3784" s="28"/>
      <c r="F3784" s="28"/>
      <c r="G3784" s="28"/>
      <c r="H3784" s="28"/>
      <c r="I3784" s="28"/>
      <c r="J3784" s="28"/>
      <c r="K3784" s="28"/>
      <c r="L3784" s="28"/>
      <c r="M3784" s="28"/>
      <c r="N3784" s="28"/>
      <c r="O3784" s="28"/>
      <c r="P3784" s="28"/>
      <c r="Q3784" s="28"/>
      <c r="R3784" s="28"/>
      <c r="S3784" s="28"/>
    </row>
    <row r="3785" spans="1:19" x14ac:dyDescent="0.25">
      <c r="A3785" s="28"/>
      <c r="B3785" s="28"/>
      <c r="C3785" s="28"/>
      <c r="D3785" s="28"/>
      <c r="E3785" s="28"/>
      <c r="F3785" s="28"/>
      <c r="G3785" s="28"/>
      <c r="H3785" s="28"/>
      <c r="I3785" s="28"/>
      <c r="J3785" s="28"/>
      <c r="K3785" s="28"/>
      <c r="L3785" s="28"/>
      <c r="M3785" s="28"/>
      <c r="N3785" s="28"/>
      <c r="O3785" s="28"/>
      <c r="P3785" s="28"/>
      <c r="Q3785" s="28"/>
      <c r="R3785" s="28"/>
      <c r="S3785" s="28"/>
    </row>
    <row r="3786" spans="1:19" x14ac:dyDescent="0.25">
      <c r="A3786" s="28"/>
      <c r="B3786" s="28"/>
      <c r="C3786" s="28"/>
      <c r="D3786" s="28"/>
      <c r="E3786" s="28"/>
      <c r="F3786" s="28"/>
      <c r="G3786" s="28"/>
      <c r="H3786" s="28"/>
      <c r="I3786" s="28"/>
      <c r="J3786" s="28"/>
      <c r="K3786" s="28"/>
      <c r="L3786" s="28"/>
      <c r="M3786" s="28"/>
      <c r="N3786" s="28"/>
      <c r="O3786" s="28"/>
      <c r="P3786" s="28"/>
      <c r="Q3786" s="28"/>
      <c r="R3786" s="28"/>
      <c r="S3786" s="28"/>
    </row>
    <row r="3787" spans="1:19" x14ac:dyDescent="0.25">
      <c r="A3787" s="28"/>
      <c r="B3787" s="28"/>
      <c r="C3787" s="28"/>
      <c r="D3787" s="28"/>
      <c r="E3787" s="28"/>
      <c r="F3787" s="28"/>
      <c r="G3787" s="28"/>
      <c r="H3787" s="28"/>
      <c r="I3787" s="28"/>
      <c r="J3787" s="28"/>
      <c r="K3787" s="28"/>
      <c r="L3787" s="28"/>
      <c r="M3787" s="28"/>
      <c r="N3787" s="28"/>
      <c r="O3787" s="28"/>
      <c r="P3787" s="28"/>
      <c r="Q3787" s="28"/>
      <c r="R3787" s="28"/>
      <c r="S3787" s="28"/>
    </row>
    <row r="3788" spans="1:19" x14ac:dyDescent="0.25">
      <c r="A3788" s="28"/>
      <c r="B3788" s="28"/>
      <c r="C3788" s="28"/>
      <c r="D3788" s="28"/>
      <c r="E3788" s="28"/>
      <c r="F3788" s="28"/>
      <c r="G3788" s="28"/>
      <c r="H3788" s="28"/>
      <c r="I3788" s="28"/>
      <c r="J3788" s="28"/>
      <c r="K3788" s="28"/>
      <c r="L3788" s="28"/>
      <c r="M3788" s="28"/>
      <c r="N3788" s="28"/>
      <c r="O3788" s="28"/>
      <c r="P3788" s="28"/>
      <c r="Q3788" s="28"/>
      <c r="R3788" s="28"/>
      <c r="S3788" s="28"/>
    </row>
    <row r="3789" spans="1:19" x14ac:dyDescent="0.25">
      <c r="A3789" s="28"/>
      <c r="B3789" s="28"/>
      <c r="C3789" s="28"/>
      <c r="D3789" s="28"/>
      <c r="E3789" s="28"/>
      <c r="F3789" s="28"/>
      <c r="G3789" s="28"/>
      <c r="H3789" s="28"/>
      <c r="I3789" s="28"/>
      <c r="J3789" s="28"/>
      <c r="K3789" s="28"/>
      <c r="L3789" s="28"/>
      <c r="M3789" s="28"/>
      <c r="N3789" s="28"/>
      <c r="O3789" s="28"/>
      <c r="P3789" s="28"/>
      <c r="Q3789" s="28"/>
      <c r="R3789" s="28"/>
      <c r="S3789" s="28"/>
    </row>
    <row r="3790" spans="1:19" x14ac:dyDescent="0.25">
      <c r="A3790" s="28"/>
      <c r="B3790" s="28"/>
      <c r="C3790" s="28"/>
      <c r="D3790" s="28"/>
      <c r="E3790" s="28"/>
      <c r="F3790" s="28"/>
      <c r="G3790" s="28"/>
      <c r="H3790" s="28"/>
      <c r="I3790" s="28"/>
      <c r="J3790" s="28"/>
      <c r="K3790" s="28"/>
      <c r="L3790" s="28"/>
      <c r="M3790" s="28"/>
      <c r="N3790" s="28"/>
      <c r="O3790" s="28"/>
      <c r="P3790" s="28"/>
      <c r="Q3790" s="28"/>
      <c r="R3790" s="28"/>
      <c r="S3790" s="28"/>
    </row>
    <row r="3791" spans="1:19" x14ac:dyDescent="0.25">
      <c r="A3791" s="28"/>
      <c r="B3791" s="28"/>
      <c r="C3791" s="28"/>
      <c r="D3791" s="28"/>
      <c r="E3791" s="28"/>
      <c r="F3791" s="28"/>
      <c r="G3791" s="28"/>
      <c r="H3791" s="28"/>
      <c r="I3791" s="28"/>
      <c r="J3791" s="28"/>
      <c r="K3791" s="28"/>
      <c r="L3791" s="28"/>
      <c r="M3791" s="28"/>
      <c r="N3791" s="28"/>
      <c r="O3791" s="28"/>
      <c r="P3791" s="28"/>
      <c r="Q3791" s="28"/>
      <c r="R3791" s="28"/>
      <c r="S3791" s="28"/>
    </row>
    <row r="3792" spans="1:19" x14ac:dyDescent="0.25">
      <c r="A3792" s="28"/>
      <c r="B3792" s="28"/>
      <c r="C3792" s="28"/>
      <c r="D3792" s="28"/>
      <c r="E3792" s="28"/>
      <c r="F3792" s="28"/>
      <c r="G3792" s="28"/>
      <c r="H3792" s="28"/>
      <c r="I3792" s="28"/>
      <c r="J3792" s="28"/>
      <c r="K3792" s="28"/>
      <c r="L3792" s="28"/>
      <c r="M3792" s="28"/>
      <c r="N3792" s="28"/>
      <c r="O3792" s="28"/>
      <c r="P3792" s="28"/>
      <c r="Q3792" s="28"/>
      <c r="R3792" s="28"/>
      <c r="S3792" s="28"/>
    </row>
    <row r="3793" spans="1:19" x14ac:dyDescent="0.25">
      <c r="A3793" s="28"/>
      <c r="B3793" s="28"/>
      <c r="C3793" s="28"/>
      <c r="D3793" s="28"/>
      <c r="E3793" s="28"/>
      <c r="F3793" s="28"/>
      <c r="G3793" s="28"/>
      <c r="H3793" s="28"/>
      <c r="I3793" s="28"/>
      <c r="J3793" s="28"/>
      <c r="K3793" s="28"/>
      <c r="L3793" s="28"/>
      <c r="M3793" s="28"/>
      <c r="N3793" s="28"/>
      <c r="O3793" s="28"/>
      <c r="P3793" s="28"/>
      <c r="Q3793" s="28"/>
      <c r="R3793" s="28"/>
      <c r="S3793" s="28"/>
    </row>
    <row r="3794" spans="1:19" x14ac:dyDescent="0.25">
      <c r="A3794" s="28"/>
      <c r="B3794" s="28"/>
      <c r="C3794" s="28"/>
      <c r="D3794" s="28"/>
      <c r="E3794" s="28"/>
      <c r="F3794" s="28"/>
      <c r="G3794" s="28"/>
      <c r="H3794" s="28"/>
      <c r="I3794" s="28"/>
      <c r="J3794" s="28"/>
      <c r="K3794" s="28"/>
      <c r="L3794" s="28"/>
      <c r="M3794" s="28"/>
      <c r="N3794" s="28"/>
      <c r="O3794" s="28"/>
      <c r="P3794" s="28"/>
      <c r="Q3794" s="28"/>
      <c r="R3794" s="28"/>
      <c r="S3794" s="28"/>
    </row>
    <row r="3795" spans="1:19" x14ac:dyDescent="0.25">
      <c r="A3795" s="28"/>
      <c r="B3795" s="28"/>
      <c r="C3795" s="28"/>
      <c r="D3795" s="28"/>
      <c r="E3795" s="28"/>
      <c r="F3795" s="28"/>
      <c r="G3795" s="28"/>
      <c r="H3795" s="28"/>
      <c r="I3795" s="28"/>
      <c r="J3795" s="28"/>
      <c r="K3795" s="28"/>
      <c r="L3795" s="28"/>
      <c r="M3795" s="28"/>
      <c r="N3795" s="28"/>
      <c r="O3795" s="28"/>
      <c r="P3795" s="28"/>
      <c r="Q3795" s="28"/>
      <c r="R3795" s="28"/>
      <c r="S3795" s="28"/>
    </row>
    <row r="3796" spans="1:19" x14ac:dyDescent="0.25">
      <c r="A3796" s="28"/>
      <c r="B3796" s="28"/>
      <c r="C3796" s="28"/>
      <c r="D3796" s="28"/>
      <c r="E3796" s="28"/>
      <c r="F3796" s="28"/>
      <c r="G3796" s="28"/>
      <c r="H3796" s="28"/>
      <c r="I3796" s="28"/>
      <c r="J3796" s="28"/>
      <c r="K3796" s="28"/>
      <c r="L3796" s="28"/>
      <c r="M3796" s="28"/>
      <c r="N3796" s="28"/>
      <c r="O3796" s="28"/>
      <c r="P3796" s="28"/>
      <c r="Q3796" s="28"/>
      <c r="R3796" s="28"/>
      <c r="S3796" s="28"/>
    </row>
    <row r="3797" spans="1:19" x14ac:dyDescent="0.25">
      <c r="A3797" s="28"/>
      <c r="B3797" s="28"/>
      <c r="C3797" s="28"/>
      <c r="D3797" s="28"/>
      <c r="E3797" s="28"/>
      <c r="F3797" s="28"/>
      <c r="G3797" s="28"/>
      <c r="H3797" s="28"/>
      <c r="I3797" s="28"/>
      <c r="J3797" s="28"/>
      <c r="K3797" s="28"/>
      <c r="L3797" s="28"/>
      <c r="M3797" s="28"/>
      <c r="N3797" s="28"/>
      <c r="O3797" s="28"/>
      <c r="P3797" s="28"/>
      <c r="Q3797" s="28"/>
      <c r="R3797" s="28"/>
      <c r="S3797" s="28"/>
    </row>
    <row r="3798" spans="1:19" x14ac:dyDescent="0.25">
      <c r="A3798" s="28"/>
      <c r="B3798" s="28"/>
      <c r="C3798" s="28"/>
      <c r="D3798" s="28"/>
      <c r="E3798" s="28"/>
      <c r="F3798" s="28"/>
      <c r="G3798" s="28"/>
      <c r="H3798" s="28"/>
      <c r="I3798" s="28"/>
      <c r="J3798" s="28"/>
      <c r="K3798" s="28"/>
      <c r="L3798" s="28"/>
      <c r="M3798" s="28"/>
      <c r="N3798" s="28"/>
      <c r="O3798" s="28"/>
      <c r="P3798" s="28"/>
      <c r="Q3798" s="28"/>
      <c r="R3798" s="28"/>
      <c r="S3798" s="28"/>
    </row>
    <row r="3799" spans="1:19" x14ac:dyDescent="0.25">
      <c r="A3799" s="28"/>
      <c r="B3799" s="28"/>
      <c r="C3799" s="28"/>
      <c r="D3799" s="28"/>
      <c r="E3799" s="28"/>
      <c r="F3799" s="28"/>
      <c r="G3799" s="28"/>
      <c r="H3799" s="28"/>
      <c r="I3799" s="28"/>
      <c r="J3799" s="28"/>
      <c r="K3799" s="28"/>
      <c r="L3799" s="28"/>
      <c r="M3799" s="28"/>
      <c r="N3799" s="28"/>
      <c r="O3799" s="28"/>
      <c r="P3799" s="28"/>
      <c r="Q3799" s="28"/>
      <c r="R3799" s="28"/>
      <c r="S3799" s="28"/>
    </row>
    <row r="3800" spans="1:19" x14ac:dyDescent="0.25">
      <c r="A3800" s="28"/>
      <c r="B3800" s="28"/>
      <c r="C3800" s="28"/>
      <c r="D3800" s="28"/>
      <c r="E3800" s="28"/>
      <c r="F3800" s="28"/>
      <c r="G3800" s="28"/>
      <c r="H3800" s="28"/>
      <c r="I3800" s="28"/>
      <c r="J3800" s="28"/>
      <c r="K3800" s="28"/>
      <c r="L3800" s="28"/>
      <c r="M3800" s="28"/>
      <c r="N3800" s="28"/>
      <c r="O3800" s="28"/>
      <c r="P3800" s="28"/>
      <c r="Q3800" s="28"/>
      <c r="R3800" s="28"/>
      <c r="S3800" s="28"/>
    </row>
    <row r="3801" spans="1:19" x14ac:dyDescent="0.25">
      <c r="A3801" s="28"/>
      <c r="B3801" s="28"/>
      <c r="C3801" s="28"/>
      <c r="D3801" s="28"/>
      <c r="E3801" s="28"/>
      <c r="F3801" s="28"/>
      <c r="G3801" s="28"/>
      <c r="H3801" s="28"/>
      <c r="I3801" s="28"/>
      <c r="J3801" s="28"/>
      <c r="K3801" s="28"/>
      <c r="L3801" s="28"/>
      <c r="M3801" s="28"/>
      <c r="N3801" s="28"/>
      <c r="O3801" s="28"/>
      <c r="P3801" s="28"/>
      <c r="Q3801" s="28"/>
      <c r="R3801" s="28"/>
      <c r="S3801" s="28"/>
    </row>
    <row r="3802" spans="1:19" x14ac:dyDescent="0.25">
      <c r="A3802" s="28"/>
      <c r="B3802" s="28"/>
      <c r="C3802" s="28"/>
      <c r="D3802" s="28"/>
      <c r="E3802" s="28"/>
      <c r="F3802" s="28"/>
      <c r="G3802" s="28"/>
      <c r="H3802" s="28"/>
      <c r="I3802" s="28"/>
      <c r="J3802" s="28"/>
      <c r="K3802" s="28"/>
      <c r="L3802" s="28"/>
      <c r="M3802" s="28"/>
      <c r="N3802" s="28"/>
      <c r="O3802" s="28"/>
      <c r="P3802" s="28"/>
      <c r="Q3802" s="28"/>
      <c r="R3802" s="28"/>
      <c r="S3802" s="28"/>
    </row>
    <row r="3803" spans="1:19" x14ac:dyDescent="0.25">
      <c r="A3803" s="28"/>
      <c r="B3803" s="28"/>
      <c r="C3803" s="28"/>
      <c r="D3803" s="28"/>
      <c r="E3803" s="28"/>
      <c r="F3803" s="28"/>
      <c r="G3803" s="28"/>
      <c r="H3803" s="28"/>
      <c r="I3803" s="28"/>
      <c r="J3803" s="28"/>
      <c r="K3803" s="28"/>
      <c r="L3803" s="28"/>
      <c r="M3803" s="28"/>
      <c r="N3803" s="28"/>
      <c r="O3803" s="28"/>
      <c r="P3803" s="28"/>
      <c r="Q3803" s="28"/>
      <c r="R3803" s="28"/>
      <c r="S3803" s="28"/>
    </row>
    <row r="3804" spans="1:19" x14ac:dyDescent="0.25">
      <c r="A3804" s="28"/>
      <c r="B3804" s="28"/>
      <c r="C3804" s="28"/>
      <c r="D3804" s="28"/>
      <c r="E3804" s="28"/>
      <c r="F3804" s="28"/>
      <c r="G3804" s="28"/>
      <c r="H3804" s="28"/>
      <c r="I3804" s="28"/>
      <c r="J3804" s="28"/>
      <c r="K3804" s="28"/>
      <c r="L3804" s="28"/>
      <c r="M3804" s="28"/>
      <c r="N3804" s="28"/>
      <c r="O3804" s="28"/>
      <c r="P3804" s="28"/>
      <c r="Q3804" s="28"/>
      <c r="R3804" s="28"/>
      <c r="S3804" s="28"/>
    </row>
    <row r="3805" spans="1:19" x14ac:dyDescent="0.25">
      <c r="A3805" s="28"/>
      <c r="B3805" s="28"/>
      <c r="C3805" s="28"/>
      <c r="D3805" s="28"/>
      <c r="E3805" s="28"/>
      <c r="F3805" s="28"/>
      <c r="G3805" s="28"/>
      <c r="H3805" s="28"/>
      <c r="I3805" s="28"/>
      <c r="J3805" s="28"/>
      <c r="K3805" s="28"/>
      <c r="L3805" s="28"/>
      <c r="M3805" s="28"/>
      <c r="N3805" s="28"/>
      <c r="O3805" s="28"/>
      <c r="P3805" s="28"/>
      <c r="Q3805" s="28"/>
      <c r="R3805" s="28"/>
      <c r="S3805" s="28"/>
    </row>
    <row r="3806" spans="1:19" x14ac:dyDescent="0.25">
      <c r="A3806" s="28"/>
      <c r="B3806" s="28"/>
      <c r="C3806" s="28"/>
      <c r="D3806" s="28"/>
      <c r="E3806" s="28"/>
      <c r="F3806" s="28"/>
      <c r="G3806" s="28"/>
      <c r="H3806" s="28"/>
      <c r="I3806" s="28"/>
      <c r="J3806" s="28"/>
      <c r="K3806" s="28"/>
      <c r="L3806" s="28"/>
      <c r="M3806" s="28"/>
      <c r="N3806" s="28"/>
      <c r="O3806" s="28"/>
      <c r="P3806" s="28"/>
      <c r="Q3806" s="28"/>
      <c r="R3806" s="28"/>
      <c r="S3806" s="28"/>
    </row>
    <row r="3807" spans="1:19" x14ac:dyDescent="0.25">
      <c r="A3807" s="28"/>
      <c r="B3807" s="28"/>
      <c r="C3807" s="28"/>
      <c r="D3807" s="28"/>
      <c r="E3807" s="28"/>
      <c r="F3807" s="28"/>
      <c r="G3807" s="28"/>
      <c r="H3807" s="28"/>
      <c r="I3807" s="28"/>
      <c r="J3807" s="28"/>
      <c r="K3807" s="28"/>
      <c r="L3807" s="28"/>
      <c r="M3807" s="28"/>
      <c r="N3807" s="28"/>
      <c r="O3807" s="28"/>
      <c r="P3807" s="28"/>
      <c r="Q3807" s="28"/>
      <c r="R3807" s="28"/>
      <c r="S3807" s="28"/>
    </row>
    <row r="3808" spans="1:19" x14ac:dyDescent="0.25">
      <c r="A3808" s="28"/>
      <c r="B3808" s="28"/>
      <c r="C3808" s="28"/>
      <c r="D3808" s="28"/>
      <c r="E3808" s="28"/>
      <c r="F3808" s="28"/>
      <c r="G3808" s="28"/>
      <c r="H3808" s="28"/>
      <c r="I3808" s="28"/>
      <c r="J3808" s="28"/>
      <c r="K3808" s="28"/>
      <c r="L3808" s="28"/>
      <c r="M3808" s="28"/>
      <c r="N3808" s="28"/>
      <c r="O3808" s="28"/>
      <c r="P3808" s="28"/>
      <c r="Q3808" s="28"/>
      <c r="R3808" s="28"/>
      <c r="S3808" s="28"/>
    </row>
    <row r="3809" spans="1:19" x14ac:dyDescent="0.25">
      <c r="A3809" s="28"/>
      <c r="B3809" s="28"/>
      <c r="C3809" s="28"/>
      <c r="D3809" s="28"/>
      <c r="E3809" s="28"/>
      <c r="F3809" s="28"/>
      <c r="G3809" s="28"/>
      <c r="H3809" s="28"/>
      <c r="I3809" s="28"/>
      <c r="J3809" s="28"/>
      <c r="K3809" s="28"/>
      <c r="L3809" s="28"/>
      <c r="M3809" s="28"/>
      <c r="N3809" s="28"/>
      <c r="O3809" s="28"/>
      <c r="P3809" s="28"/>
      <c r="Q3809" s="28"/>
      <c r="R3809" s="28"/>
      <c r="S3809" s="28"/>
    </row>
    <row r="3810" spans="1:19" x14ac:dyDescent="0.25">
      <c r="A3810" s="28"/>
      <c r="B3810" s="28"/>
      <c r="C3810" s="28"/>
      <c r="D3810" s="28"/>
      <c r="E3810" s="28"/>
      <c r="F3810" s="28"/>
      <c r="G3810" s="28"/>
      <c r="H3810" s="28"/>
      <c r="I3810" s="28"/>
      <c r="J3810" s="28"/>
      <c r="K3810" s="28"/>
      <c r="L3810" s="28"/>
      <c r="M3810" s="28"/>
      <c r="N3810" s="28"/>
      <c r="O3810" s="28"/>
      <c r="P3810" s="28"/>
      <c r="Q3810" s="28"/>
      <c r="R3810" s="28"/>
      <c r="S3810" s="28"/>
    </row>
    <row r="3811" spans="1:19" x14ac:dyDescent="0.25">
      <c r="A3811" s="28"/>
      <c r="B3811" s="28"/>
      <c r="C3811" s="28"/>
      <c r="D3811" s="28"/>
      <c r="E3811" s="28"/>
      <c r="F3811" s="28"/>
      <c r="G3811" s="28"/>
      <c r="H3811" s="28"/>
      <c r="I3811" s="28"/>
      <c r="J3811" s="28"/>
      <c r="K3811" s="28"/>
      <c r="L3811" s="28"/>
      <c r="M3811" s="28"/>
      <c r="N3811" s="28"/>
      <c r="O3811" s="28"/>
      <c r="P3811" s="28"/>
      <c r="Q3811" s="28"/>
      <c r="R3811" s="28"/>
      <c r="S3811" s="28"/>
    </row>
    <row r="3812" spans="1:19" x14ac:dyDescent="0.25">
      <c r="A3812" s="28"/>
      <c r="B3812" s="28"/>
      <c r="C3812" s="28"/>
      <c r="D3812" s="28"/>
      <c r="E3812" s="28"/>
      <c r="F3812" s="28"/>
      <c r="G3812" s="28"/>
      <c r="H3812" s="28"/>
      <c r="I3812" s="28"/>
      <c r="J3812" s="28"/>
      <c r="K3812" s="28"/>
      <c r="L3812" s="28"/>
      <c r="M3812" s="28"/>
      <c r="N3812" s="28"/>
      <c r="O3812" s="28"/>
      <c r="P3812" s="28"/>
      <c r="Q3812" s="28"/>
      <c r="R3812" s="28"/>
      <c r="S3812" s="28"/>
    </row>
    <row r="3813" spans="1:19" x14ac:dyDescent="0.25">
      <c r="A3813" s="28"/>
      <c r="B3813" s="28"/>
      <c r="C3813" s="28"/>
      <c r="D3813" s="28"/>
      <c r="E3813" s="28"/>
      <c r="F3813" s="28"/>
      <c r="G3813" s="28"/>
      <c r="H3813" s="28"/>
      <c r="I3813" s="28"/>
      <c r="J3813" s="28"/>
      <c r="K3813" s="28"/>
      <c r="L3813" s="28"/>
      <c r="M3813" s="28"/>
      <c r="N3813" s="28"/>
      <c r="O3813" s="28"/>
      <c r="P3813" s="28"/>
      <c r="Q3813" s="28"/>
      <c r="R3813" s="28"/>
      <c r="S3813" s="28"/>
    </row>
    <row r="3814" spans="1:19" x14ac:dyDescent="0.25">
      <c r="A3814" s="28"/>
      <c r="B3814" s="28"/>
      <c r="C3814" s="28"/>
      <c r="D3814" s="28"/>
      <c r="E3814" s="28"/>
      <c r="F3814" s="28"/>
      <c r="G3814" s="28"/>
      <c r="H3814" s="28"/>
      <c r="I3814" s="28"/>
      <c r="J3814" s="28"/>
      <c r="K3814" s="28"/>
      <c r="L3814" s="28"/>
      <c r="M3814" s="28"/>
      <c r="N3814" s="28"/>
      <c r="O3814" s="28"/>
      <c r="P3814" s="28"/>
      <c r="Q3814" s="28"/>
      <c r="R3814" s="28"/>
      <c r="S3814" s="28"/>
    </row>
    <row r="3815" spans="1:19" x14ac:dyDescent="0.25">
      <c r="A3815" s="28"/>
      <c r="B3815" s="28"/>
      <c r="C3815" s="28"/>
      <c r="D3815" s="28"/>
      <c r="E3815" s="28"/>
      <c r="F3815" s="28"/>
      <c r="G3815" s="28"/>
      <c r="H3815" s="28"/>
      <c r="I3815" s="28"/>
      <c r="J3815" s="28"/>
      <c r="K3815" s="28"/>
      <c r="L3815" s="28"/>
      <c r="M3815" s="28"/>
      <c r="N3815" s="28"/>
      <c r="O3815" s="28"/>
      <c r="P3815" s="28"/>
      <c r="Q3815" s="28"/>
      <c r="R3815" s="28"/>
      <c r="S3815" s="28"/>
    </row>
    <row r="3816" spans="1:19" x14ac:dyDescent="0.25">
      <c r="A3816" s="28"/>
      <c r="B3816" s="28"/>
      <c r="C3816" s="28"/>
      <c r="D3816" s="28"/>
      <c r="E3816" s="28"/>
      <c r="F3816" s="28"/>
      <c r="G3816" s="28"/>
      <c r="H3816" s="28"/>
      <c r="I3816" s="28"/>
      <c r="J3816" s="28"/>
      <c r="K3816" s="28"/>
      <c r="L3816" s="28"/>
      <c r="M3816" s="28"/>
      <c r="N3816" s="28"/>
      <c r="O3816" s="28"/>
      <c r="P3816" s="28"/>
      <c r="Q3816" s="28"/>
      <c r="R3816" s="28"/>
      <c r="S3816" s="28"/>
    </row>
    <row r="3817" spans="1:19" x14ac:dyDescent="0.25">
      <c r="A3817" s="28"/>
      <c r="B3817" s="28"/>
      <c r="C3817" s="28"/>
      <c r="D3817" s="28"/>
      <c r="E3817" s="28"/>
      <c r="F3817" s="28"/>
      <c r="G3817" s="28"/>
      <c r="H3817" s="28"/>
      <c r="I3817" s="28"/>
      <c r="J3817" s="28"/>
      <c r="K3817" s="28"/>
      <c r="L3817" s="28"/>
      <c r="M3817" s="28"/>
      <c r="N3817" s="28"/>
      <c r="O3817" s="28"/>
      <c r="P3817" s="28"/>
      <c r="Q3817" s="28"/>
      <c r="R3817" s="28"/>
      <c r="S3817" s="28"/>
    </row>
    <row r="3818" spans="1:19" x14ac:dyDescent="0.25">
      <c r="A3818" s="28"/>
      <c r="B3818" s="28"/>
      <c r="C3818" s="28"/>
      <c r="D3818" s="28"/>
      <c r="E3818" s="28"/>
      <c r="F3818" s="28"/>
      <c r="G3818" s="28"/>
      <c r="H3818" s="28"/>
      <c r="I3818" s="28"/>
      <c r="J3818" s="28"/>
      <c r="K3818" s="28"/>
      <c r="L3818" s="28"/>
      <c r="M3818" s="28"/>
      <c r="N3818" s="28"/>
      <c r="O3818" s="28"/>
      <c r="P3818" s="28"/>
      <c r="Q3818" s="28"/>
      <c r="R3818" s="28"/>
      <c r="S3818" s="28"/>
    </row>
    <row r="3819" spans="1:19" x14ac:dyDescent="0.25">
      <c r="A3819" s="28"/>
      <c r="B3819" s="28"/>
      <c r="C3819" s="28"/>
      <c r="D3819" s="28"/>
      <c r="E3819" s="28"/>
      <c r="F3819" s="28"/>
      <c r="G3819" s="28"/>
      <c r="H3819" s="28"/>
      <c r="I3819" s="28"/>
      <c r="J3819" s="28"/>
      <c r="K3819" s="28"/>
      <c r="L3819" s="28"/>
      <c r="M3819" s="28"/>
      <c r="N3819" s="28"/>
      <c r="O3819" s="28"/>
      <c r="P3819" s="28"/>
      <c r="Q3819" s="28"/>
      <c r="R3819" s="28"/>
      <c r="S3819" s="28"/>
    </row>
    <row r="3820" spans="1:19" x14ac:dyDescent="0.25">
      <c r="A3820" s="28"/>
      <c r="B3820" s="28"/>
      <c r="C3820" s="28"/>
      <c r="D3820" s="28"/>
      <c r="E3820" s="28"/>
      <c r="F3820" s="28"/>
      <c r="G3820" s="28"/>
      <c r="H3820" s="28"/>
      <c r="I3820" s="28"/>
      <c r="J3820" s="28"/>
      <c r="K3820" s="28"/>
      <c r="L3820" s="28"/>
      <c r="M3820" s="28"/>
      <c r="N3820" s="28"/>
      <c r="O3820" s="28"/>
      <c r="P3820" s="28"/>
      <c r="Q3820" s="28"/>
      <c r="R3820" s="28"/>
      <c r="S3820" s="28"/>
    </row>
    <row r="3821" spans="1:19" x14ac:dyDescent="0.25">
      <c r="A3821" s="28"/>
      <c r="B3821" s="28"/>
      <c r="C3821" s="28"/>
      <c r="D3821" s="28"/>
      <c r="E3821" s="28"/>
      <c r="F3821" s="28"/>
      <c r="G3821" s="28"/>
      <c r="H3821" s="28"/>
      <c r="I3821" s="28"/>
      <c r="J3821" s="28"/>
      <c r="K3821" s="28"/>
      <c r="L3821" s="28"/>
      <c r="M3821" s="28"/>
      <c r="N3821" s="28"/>
      <c r="O3821" s="28"/>
      <c r="P3821" s="28"/>
      <c r="Q3821" s="28"/>
      <c r="R3821" s="28"/>
      <c r="S3821" s="28"/>
    </row>
    <row r="3822" spans="1:19" x14ac:dyDescent="0.25">
      <c r="A3822" s="28"/>
      <c r="B3822" s="28"/>
      <c r="C3822" s="28"/>
      <c r="D3822" s="28"/>
      <c r="E3822" s="28"/>
      <c r="F3822" s="28"/>
      <c r="G3822" s="28"/>
      <c r="H3822" s="28"/>
      <c r="I3822" s="28"/>
      <c r="J3822" s="28"/>
      <c r="K3822" s="28"/>
      <c r="L3822" s="28"/>
      <c r="M3822" s="28"/>
      <c r="N3822" s="28"/>
      <c r="O3822" s="28"/>
      <c r="P3822" s="28"/>
      <c r="Q3822" s="28"/>
      <c r="R3822" s="28"/>
      <c r="S3822" s="28"/>
    </row>
    <row r="3823" spans="1:19" x14ac:dyDescent="0.25">
      <c r="A3823" s="28"/>
      <c r="B3823" s="28"/>
      <c r="C3823" s="28"/>
      <c r="D3823" s="28"/>
      <c r="E3823" s="28"/>
      <c r="F3823" s="28"/>
      <c r="G3823" s="28"/>
      <c r="H3823" s="28"/>
      <c r="I3823" s="28"/>
      <c r="J3823" s="28"/>
      <c r="K3823" s="28"/>
      <c r="L3823" s="28"/>
      <c r="M3823" s="28"/>
      <c r="N3823" s="28"/>
      <c r="O3823" s="28"/>
      <c r="P3823" s="28"/>
      <c r="Q3823" s="28"/>
      <c r="R3823" s="28"/>
      <c r="S3823" s="28"/>
    </row>
    <row r="3824" spans="1:19" x14ac:dyDescent="0.25">
      <c r="A3824" s="28"/>
      <c r="B3824" s="28"/>
      <c r="C3824" s="28"/>
      <c r="D3824" s="28"/>
      <c r="E3824" s="28"/>
      <c r="F3824" s="28"/>
      <c r="G3824" s="28"/>
      <c r="H3824" s="28"/>
      <c r="I3824" s="28"/>
      <c r="J3824" s="28"/>
      <c r="K3824" s="28"/>
      <c r="L3824" s="28"/>
      <c r="M3824" s="28"/>
      <c r="N3824" s="28"/>
      <c r="O3824" s="28"/>
      <c r="P3824" s="28"/>
      <c r="Q3824" s="28"/>
      <c r="R3824" s="28"/>
      <c r="S3824" s="28"/>
    </row>
    <row r="3825" spans="1:19" x14ac:dyDescent="0.25">
      <c r="A3825" s="28"/>
      <c r="B3825" s="28"/>
      <c r="C3825" s="28"/>
      <c r="D3825" s="28"/>
      <c r="E3825" s="28"/>
      <c r="F3825" s="28"/>
      <c r="G3825" s="28"/>
      <c r="H3825" s="28"/>
      <c r="I3825" s="28"/>
      <c r="J3825" s="28"/>
      <c r="K3825" s="28"/>
      <c r="L3825" s="28"/>
      <c r="M3825" s="28"/>
      <c r="N3825" s="28"/>
      <c r="O3825" s="28"/>
      <c r="P3825" s="28"/>
      <c r="Q3825" s="28"/>
      <c r="R3825" s="28"/>
      <c r="S3825" s="28"/>
    </row>
    <row r="3826" spans="1:19" x14ac:dyDescent="0.25">
      <c r="A3826" s="28"/>
      <c r="B3826" s="28"/>
      <c r="C3826" s="28"/>
      <c r="D3826" s="28"/>
      <c r="E3826" s="28"/>
      <c r="F3826" s="28"/>
      <c r="G3826" s="28"/>
      <c r="H3826" s="28"/>
      <c r="I3826" s="28"/>
      <c r="J3826" s="28"/>
      <c r="K3826" s="28"/>
      <c r="L3826" s="28"/>
      <c r="M3826" s="28"/>
      <c r="N3826" s="28"/>
      <c r="O3826" s="28"/>
      <c r="P3826" s="28"/>
      <c r="Q3826" s="28"/>
      <c r="R3826" s="28"/>
      <c r="S3826" s="28"/>
    </row>
    <row r="3827" spans="1:19" x14ac:dyDescent="0.25">
      <c r="A3827" s="28"/>
      <c r="B3827" s="28"/>
      <c r="C3827" s="28"/>
      <c r="D3827" s="28"/>
      <c r="E3827" s="28"/>
      <c r="F3827" s="28"/>
      <c r="G3827" s="28"/>
      <c r="H3827" s="28"/>
      <c r="I3827" s="28"/>
      <c r="J3827" s="28"/>
      <c r="K3827" s="28"/>
      <c r="L3827" s="28"/>
      <c r="M3827" s="28"/>
      <c r="N3827" s="28"/>
      <c r="O3827" s="28"/>
      <c r="P3827" s="28"/>
      <c r="Q3827" s="28"/>
      <c r="R3827" s="28"/>
      <c r="S3827" s="28"/>
    </row>
    <row r="3828" spans="1:19" x14ac:dyDescent="0.25">
      <c r="A3828" s="28"/>
      <c r="B3828" s="28"/>
      <c r="C3828" s="28"/>
      <c r="D3828" s="28"/>
      <c r="E3828" s="28"/>
      <c r="F3828" s="28"/>
      <c r="G3828" s="28"/>
      <c r="H3828" s="28"/>
      <c r="I3828" s="28"/>
      <c r="J3828" s="28"/>
      <c r="K3828" s="28"/>
      <c r="L3828" s="28"/>
      <c r="M3828" s="28"/>
      <c r="N3828" s="28"/>
      <c r="O3828" s="28"/>
      <c r="P3828" s="28"/>
      <c r="Q3828" s="28"/>
      <c r="R3828" s="28"/>
      <c r="S3828" s="28"/>
    </row>
    <row r="3829" spans="1:19" x14ac:dyDescent="0.25">
      <c r="A3829" s="28"/>
      <c r="B3829" s="28"/>
      <c r="C3829" s="28"/>
      <c r="D3829" s="28"/>
      <c r="E3829" s="28"/>
      <c r="F3829" s="28"/>
      <c r="G3829" s="28"/>
      <c r="H3829" s="28"/>
      <c r="I3829" s="28"/>
      <c r="J3829" s="28"/>
      <c r="K3829" s="28"/>
      <c r="L3829" s="28"/>
      <c r="M3829" s="28"/>
      <c r="N3829" s="28"/>
      <c r="O3829" s="28"/>
      <c r="P3829" s="28"/>
      <c r="Q3829" s="28"/>
      <c r="R3829" s="28"/>
      <c r="S3829" s="28"/>
    </row>
    <row r="3830" spans="1:19" x14ac:dyDescent="0.25">
      <c r="A3830" s="28"/>
      <c r="B3830" s="28"/>
      <c r="C3830" s="28"/>
      <c r="D3830" s="28"/>
      <c r="E3830" s="28"/>
      <c r="F3830" s="28"/>
      <c r="G3830" s="28"/>
      <c r="H3830" s="28"/>
      <c r="I3830" s="28"/>
      <c r="J3830" s="28"/>
      <c r="K3830" s="28"/>
      <c r="L3830" s="28"/>
      <c r="M3830" s="28"/>
      <c r="N3830" s="28"/>
      <c r="O3830" s="28"/>
      <c r="P3830" s="28"/>
      <c r="Q3830" s="28"/>
      <c r="R3830" s="28"/>
      <c r="S3830" s="28"/>
    </row>
    <row r="3831" spans="1:19" x14ac:dyDescent="0.25">
      <c r="A3831" s="28"/>
      <c r="B3831" s="28"/>
      <c r="C3831" s="28"/>
      <c r="D3831" s="28"/>
      <c r="E3831" s="28"/>
      <c r="F3831" s="28"/>
      <c r="G3831" s="28"/>
      <c r="H3831" s="28"/>
      <c r="I3831" s="28"/>
      <c r="J3831" s="28"/>
      <c r="K3831" s="28"/>
      <c r="L3831" s="28"/>
      <c r="M3831" s="28"/>
      <c r="N3831" s="28"/>
      <c r="O3831" s="28"/>
      <c r="P3831" s="28"/>
      <c r="Q3831" s="28"/>
      <c r="R3831" s="28"/>
      <c r="S3831" s="28"/>
    </row>
    <row r="3832" spans="1:19" x14ac:dyDescent="0.25">
      <c r="A3832" s="28"/>
      <c r="B3832" s="28"/>
      <c r="C3832" s="28"/>
      <c r="D3832" s="28"/>
      <c r="E3832" s="28"/>
      <c r="F3832" s="28"/>
      <c r="G3832" s="28"/>
      <c r="H3832" s="28"/>
      <c r="I3832" s="28"/>
      <c r="J3832" s="28"/>
      <c r="K3832" s="28"/>
      <c r="L3832" s="28"/>
      <c r="M3832" s="28"/>
      <c r="N3832" s="28"/>
      <c r="O3832" s="28"/>
      <c r="P3832" s="28"/>
      <c r="Q3832" s="28"/>
      <c r="R3832" s="28"/>
      <c r="S3832" s="28"/>
    </row>
    <row r="3833" spans="1:19" x14ac:dyDescent="0.25">
      <c r="A3833" s="28"/>
      <c r="B3833" s="28"/>
      <c r="C3833" s="28"/>
      <c r="D3833" s="28"/>
      <c r="E3833" s="28"/>
      <c r="F3833" s="28"/>
      <c r="G3833" s="28"/>
      <c r="H3833" s="28"/>
      <c r="I3833" s="28"/>
      <c r="J3833" s="28"/>
      <c r="K3833" s="28"/>
      <c r="L3833" s="28"/>
      <c r="M3833" s="28"/>
      <c r="N3833" s="28"/>
      <c r="O3833" s="28"/>
      <c r="P3833" s="28"/>
      <c r="Q3833" s="28"/>
      <c r="R3833" s="28"/>
      <c r="S3833" s="28"/>
    </row>
    <row r="3834" spans="1:19" x14ac:dyDescent="0.25">
      <c r="A3834" s="28"/>
      <c r="B3834" s="28"/>
      <c r="C3834" s="28"/>
      <c r="D3834" s="28"/>
      <c r="E3834" s="28"/>
      <c r="F3834" s="28"/>
      <c r="G3834" s="28"/>
      <c r="H3834" s="28"/>
      <c r="I3834" s="28"/>
      <c r="J3834" s="28"/>
      <c r="K3834" s="28"/>
      <c r="L3834" s="28"/>
      <c r="M3834" s="28"/>
      <c r="N3834" s="28"/>
      <c r="O3834" s="28"/>
      <c r="P3834" s="28"/>
      <c r="Q3834" s="28"/>
      <c r="R3834" s="28"/>
      <c r="S3834" s="28"/>
    </row>
    <row r="3835" spans="1:19" x14ac:dyDescent="0.25">
      <c r="A3835" s="28"/>
      <c r="B3835" s="28"/>
      <c r="C3835" s="28"/>
      <c r="D3835" s="28"/>
      <c r="E3835" s="28"/>
      <c r="F3835" s="28"/>
      <c r="G3835" s="28"/>
      <c r="H3835" s="28"/>
      <c r="I3835" s="28"/>
      <c r="J3835" s="28"/>
      <c r="K3835" s="28"/>
      <c r="L3835" s="28"/>
      <c r="M3835" s="28"/>
      <c r="N3835" s="28"/>
      <c r="O3835" s="28"/>
      <c r="P3835" s="28"/>
      <c r="Q3835" s="28"/>
      <c r="R3835" s="28"/>
      <c r="S3835" s="28"/>
    </row>
    <row r="3836" spans="1:19" x14ac:dyDescent="0.25">
      <c r="A3836" s="28"/>
      <c r="B3836" s="28"/>
      <c r="C3836" s="28"/>
      <c r="D3836" s="28"/>
      <c r="E3836" s="28"/>
      <c r="F3836" s="28"/>
      <c r="G3836" s="28"/>
      <c r="H3836" s="28"/>
      <c r="I3836" s="28"/>
      <c r="J3836" s="28"/>
      <c r="K3836" s="28"/>
      <c r="L3836" s="28"/>
      <c r="M3836" s="28"/>
      <c r="N3836" s="28"/>
      <c r="O3836" s="28"/>
      <c r="P3836" s="28"/>
      <c r="Q3836" s="28"/>
      <c r="R3836" s="28"/>
      <c r="S3836" s="28"/>
    </row>
    <row r="3837" spans="1:19" x14ac:dyDescent="0.25">
      <c r="A3837" s="28"/>
      <c r="B3837" s="28"/>
      <c r="C3837" s="28"/>
      <c r="D3837" s="28"/>
      <c r="E3837" s="28"/>
      <c r="F3837" s="28"/>
      <c r="G3837" s="28"/>
      <c r="H3837" s="28"/>
      <c r="I3837" s="28"/>
      <c r="J3837" s="28"/>
      <c r="K3837" s="28"/>
      <c r="L3837" s="28"/>
      <c r="M3837" s="28"/>
      <c r="N3837" s="28"/>
      <c r="O3837" s="28"/>
      <c r="P3837" s="28"/>
      <c r="Q3837" s="28"/>
      <c r="R3837" s="28"/>
      <c r="S3837" s="28"/>
    </row>
    <row r="3838" spans="1:19" x14ac:dyDescent="0.25">
      <c r="A3838" s="28"/>
      <c r="B3838" s="28"/>
      <c r="C3838" s="28"/>
      <c r="D3838" s="28"/>
      <c r="E3838" s="28"/>
      <c r="F3838" s="28"/>
      <c r="G3838" s="28"/>
      <c r="H3838" s="28"/>
      <c r="I3838" s="28"/>
      <c r="J3838" s="28"/>
      <c r="K3838" s="28"/>
      <c r="L3838" s="28"/>
      <c r="M3838" s="28"/>
      <c r="N3838" s="28"/>
      <c r="O3838" s="28"/>
      <c r="P3838" s="28"/>
      <c r="Q3838" s="28"/>
      <c r="R3838" s="28"/>
      <c r="S3838" s="28"/>
    </row>
    <row r="3839" spans="1:19" x14ac:dyDescent="0.25">
      <c r="A3839" s="28"/>
      <c r="B3839" s="28"/>
      <c r="C3839" s="28"/>
      <c r="D3839" s="28"/>
      <c r="E3839" s="28"/>
      <c r="F3839" s="28"/>
      <c r="G3839" s="28"/>
      <c r="H3839" s="28"/>
      <c r="I3839" s="28"/>
      <c r="J3839" s="28"/>
      <c r="K3839" s="28"/>
      <c r="L3839" s="28"/>
      <c r="M3839" s="28"/>
      <c r="N3839" s="28"/>
      <c r="O3839" s="28"/>
      <c r="P3839" s="28"/>
      <c r="Q3839" s="28"/>
      <c r="R3839" s="28"/>
      <c r="S3839" s="28"/>
    </row>
    <row r="3840" spans="1:19" x14ac:dyDescent="0.25">
      <c r="A3840" s="28"/>
      <c r="B3840" s="28"/>
      <c r="C3840" s="28"/>
      <c r="D3840" s="28"/>
      <c r="E3840" s="28"/>
      <c r="F3840" s="28"/>
      <c r="G3840" s="28"/>
      <c r="H3840" s="28"/>
      <c r="I3840" s="28"/>
      <c r="J3840" s="28"/>
      <c r="K3840" s="28"/>
      <c r="L3840" s="28"/>
      <c r="M3840" s="28"/>
      <c r="N3840" s="28"/>
      <c r="O3840" s="28"/>
      <c r="P3840" s="28"/>
      <c r="Q3840" s="28"/>
      <c r="R3840" s="28"/>
      <c r="S3840" s="28"/>
    </row>
    <row r="3841" spans="1:19" x14ac:dyDescent="0.25">
      <c r="A3841" s="28"/>
      <c r="B3841" s="28"/>
      <c r="C3841" s="28"/>
      <c r="D3841" s="28"/>
      <c r="E3841" s="28"/>
      <c r="F3841" s="28"/>
      <c r="G3841" s="28"/>
      <c r="H3841" s="28"/>
      <c r="I3841" s="28"/>
      <c r="J3841" s="28"/>
      <c r="K3841" s="28"/>
      <c r="L3841" s="28"/>
      <c r="M3841" s="28"/>
      <c r="N3841" s="28"/>
      <c r="O3841" s="28"/>
      <c r="P3841" s="28"/>
      <c r="Q3841" s="28"/>
      <c r="R3841" s="28"/>
      <c r="S3841" s="28"/>
    </row>
    <row r="3842" spans="1:19" x14ac:dyDescent="0.25">
      <c r="A3842" s="28"/>
      <c r="B3842" s="28"/>
      <c r="C3842" s="28"/>
      <c r="D3842" s="28"/>
      <c r="E3842" s="28"/>
      <c r="F3842" s="28"/>
      <c r="G3842" s="28"/>
      <c r="H3842" s="28"/>
      <c r="I3842" s="28"/>
      <c r="J3842" s="28"/>
      <c r="K3842" s="28"/>
      <c r="L3842" s="28"/>
      <c r="M3842" s="28"/>
      <c r="N3842" s="28"/>
      <c r="O3842" s="28"/>
      <c r="P3842" s="28"/>
      <c r="Q3842" s="28"/>
      <c r="R3842" s="28"/>
      <c r="S3842" s="28"/>
    </row>
    <row r="3843" spans="1:19" x14ac:dyDescent="0.25">
      <c r="A3843" s="28"/>
      <c r="B3843" s="28"/>
      <c r="C3843" s="28"/>
      <c r="D3843" s="28"/>
      <c r="E3843" s="28"/>
      <c r="F3843" s="28"/>
      <c r="G3843" s="28"/>
      <c r="H3843" s="28"/>
      <c r="I3843" s="28"/>
      <c r="J3843" s="28"/>
      <c r="K3843" s="28"/>
      <c r="L3843" s="28"/>
      <c r="M3843" s="28"/>
      <c r="N3843" s="28"/>
      <c r="O3843" s="28"/>
      <c r="P3843" s="28"/>
      <c r="Q3843" s="28"/>
      <c r="R3843" s="28"/>
      <c r="S3843" s="28"/>
    </row>
    <row r="3844" spans="1:19" x14ac:dyDescent="0.25">
      <c r="A3844" s="28"/>
      <c r="B3844" s="28"/>
      <c r="C3844" s="28"/>
      <c r="D3844" s="28"/>
      <c r="E3844" s="28"/>
      <c r="F3844" s="28"/>
      <c r="G3844" s="28"/>
      <c r="H3844" s="28"/>
      <c r="I3844" s="28"/>
      <c r="J3844" s="28"/>
      <c r="K3844" s="28"/>
      <c r="L3844" s="28"/>
      <c r="M3844" s="28"/>
      <c r="N3844" s="28"/>
      <c r="O3844" s="28"/>
      <c r="P3844" s="28"/>
      <c r="Q3844" s="28"/>
      <c r="R3844" s="28"/>
      <c r="S3844" s="28"/>
    </row>
    <row r="3845" spans="1:19" x14ac:dyDescent="0.25">
      <c r="A3845" s="28"/>
      <c r="B3845" s="28"/>
      <c r="C3845" s="28"/>
      <c r="D3845" s="28"/>
      <c r="E3845" s="28"/>
      <c r="F3845" s="28"/>
      <c r="G3845" s="28"/>
      <c r="H3845" s="28"/>
      <c r="I3845" s="28"/>
      <c r="J3845" s="28"/>
      <c r="K3845" s="28"/>
      <c r="L3845" s="28"/>
      <c r="M3845" s="28"/>
      <c r="N3845" s="28"/>
      <c r="O3845" s="28"/>
      <c r="P3845" s="28"/>
      <c r="Q3845" s="28"/>
      <c r="R3845" s="28"/>
      <c r="S3845" s="28"/>
    </row>
    <row r="3846" spans="1:19" x14ac:dyDescent="0.25">
      <c r="A3846" s="28"/>
      <c r="B3846" s="28"/>
      <c r="C3846" s="28"/>
      <c r="D3846" s="28"/>
      <c r="E3846" s="28"/>
      <c r="F3846" s="28"/>
      <c r="G3846" s="28"/>
      <c r="H3846" s="28"/>
      <c r="I3846" s="28"/>
      <c r="J3846" s="28"/>
      <c r="K3846" s="28"/>
      <c r="L3846" s="28"/>
      <c r="M3846" s="28"/>
      <c r="N3846" s="28"/>
      <c r="O3846" s="28"/>
      <c r="P3846" s="28"/>
      <c r="Q3846" s="28"/>
      <c r="R3846" s="28"/>
      <c r="S3846" s="28"/>
    </row>
    <row r="3847" spans="1:19" x14ac:dyDescent="0.25">
      <c r="A3847" s="28"/>
      <c r="B3847" s="28"/>
      <c r="C3847" s="28"/>
      <c r="D3847" s="28"/>
      <c r="E3847" s="28"/>
      <c r="F3847" s="28"/>
      <c r="G3847" s="28"/>
      <c r="H3847" s="28"/>
      <c r="I3847" s="28"/>
      <c r="J3847" s="28"/>
      <c r="K3847" s="28"/>
      <c r="L3847" s="28"/>
      <c r="M3847" s="28"/>
      <c r="N3847" s="28"/>
      <c r="O3847" s="28"/>
      <c r="P3847" s="28"/>
      <c r="Q3847" s="28"/>
      <c r="R3847" s="28"/>
      <c r="S3847" s="28"/>
    </row>
    <row r="3848" spans="1:19" x14ac:dyDescent="0.25">
      <c r="A3848" s="28"/>
      <c r="B3848" s="28"/>
      <c r="C3848" s="28"/>
      <c r="D3848" s="28"/>
      <c r="E3848" s="28"/>
      <c r="F3848" s="28"/>
      <c r="G3848" s="28"/>
      <c r="H3848" s="28"/>
      <c r="I3848" s="28"/>
      <c r="J3848" s="28"/>
      <c r="K3848" s="28"/>
      <c r="L3848" s="28"/>
      <c r="M3848" s="28"/>
      <c r="N3848" s="28"/>
      <c r="O3848" s="28"/>
      <c r="P3848" s="28"/>
      <c r="Q3848" s="28"/>
      <c r="R3848" s="28"/>
      <c r="S3848" s="28"/>
    </row>
    <row r="3849" spans="1:19" x14ac:dyDescent="0.25">
      <c r="A3849" s="28"/>
      <c r="B3849" s="28"/>
      <c r="C3849" s="28"/>
      <c r="D3849" s="28"/>
      <c r="E3849" s="28"/>
      <c r="F3849" s="28"/>
      <c r="G3849" s="28"/>
      <c r="H3849" s="28"/>
      <c r="I3849" s="28"/>
      <c r="J3849" s="28"/>
      <c r="K3849" s="28"/>
      <c r="L3849" s="28"/>
      <c r="M3849" s="28"/>
      <c r="N3849" s="28"/>
      <c r="O3849" s="28"/>
      <c r="P3849" s="28"/>
      <c r="Q3849" s="28"/>
      <c r="R3849" s="28"/>
      <c r="S3849" s="28"/>
    </row>
    <row r="3850" spans="1:19" x14ac:dyDescent="0.25">
      <c r="A3850" s="28"/>
      <c r="B3850" s="28"/>
      <c r="C3850" s="28"/>
      <c r="D3850" s="28"/>
      <c r="E3850" s="28"/>
      <c r="F3850" s="28"/>
      <c r="G3850" s="28"/>
      <c r="H3850" s="28"/>
      <c r="I3850" s="28"/>
      <c r="J3850" s="28"/>
      <c r="K3850" s="28"/>
      <c r="L3850" s="28"/>
      <c r="M3850" s="28"/>
      <c r="N3850" s="28"/>
      <c r="O3850" s="28"/>
      <c r="P3850" s="28"/>
      <c r="Q3850" s="28"/>
      <c r="R3850" s="28"/>
      <c r="S3850" s="28"/>
    </row>
    <row r="3851" spans="1:19" x14ac:dyDescent="0.25">
      <c r="A3851" s="28"/>
      <c r="B3851" s="28"/>
      <c r="C3851" s="28"/>
      <c r="D3851" s="28"/>
      <c r="E3851" s="28"/>
      <c r="F3851" s="28"/>
      <c r="G3851" s="28"/>
      <c r="H3851" s="28"/>
      <c r="I3851" s="28"/>
      <c r="J3851" s="28"/>
      <c r="K3851" s="28"/>
      <c r="L3851" s="28"/>
      <c r="M3851" s="28"/>
      <c r="N3851" s="28"/>
      <c r="O3851" s="28"/>
      <c r="P3851" s="28"/>
      <c r="Q3851" s="28"/>
      <c r="R3851" s="28"/>
      <c r="S3851" s="28"/>
    </row>
    <row r="3852" spans="1:19" x14ac:dyDescent="0.25">
      <c r="A3852" s="28"/>
      <c r="B3852" s="28"/>
      <c r="C3852" s="28"/>
      <c r="D3852" s="28"/>
      <c r="E3852" s="28"/>
      <c r="F3852" s="28"/>
      <c r="G3852" s="28"/>
      <c r="H3852" s="28"/>
      <c r="I3852" s="28"/>
      <c r="J3852" s="28"/>
      <c r="K3852" s="28"/>
      <c r="L3852" s="28"/>
      <c r="M3852" s="28"/>
      <c r="N3852" s="28"/>
      <c r="O3852" s="28"/>
      <c r="P3852" s="28"/>
      <c r="Q3852" s="28"/>
      <c r="R3852" s="28"/>
      <c r="S3852" s="28"/>
    </row>
    <row r="3853" spans="1:19" x14ac:dyDescent="0.25">
      <c r="A3853" s="28"/>
      <c r="B3853" s="28"/>
      <c r="C3853" s="28"/>
      <c r="D3853" s="28"/>
      <c r="E3853" s="28"/>
      <c r="F3853" s="28"/>
      <c r="G3853" s="28"/>
      <c r="H3853" s="28"/>
      <c r="I3853" s="28"/>
      <c r="J3853" s="28"/>
      <c r="K3853" s="28"/>
      <c r="L3853" s="28"/>
      <c r="M3853" s="28"/>
      <c r="N3853" s="28"/>
      <c r="O3853" s="28"/>
      <c r="P3853" s="28"/>
      <c r="Q3853" s="28"/>
      <c r="R3853" s="28"/>
      <c r="S3853" s="28"/>
    </row>
    <row r="3854" spans="1:19" x14ac:dyDescent="0.25">
      <c r="A3854" s="28"/>
      <c r="B3854" s="28"/>
      <c r="C3854" s="28"/>
      <c r="D3854" s="28"/>
      <c r="E3854" s="28"/>
      <c r="F3854" s="28"/>
      <c r="G3854" s="28"/>
      <c r="H3854" s="28"/>
      <c r="I3854" s="28"/>
      <c r="J3854" s="28"/>
      <c r="K3854" s="28"/>
      <c r="L3854" s="28"/>
      <c r="M3854" s="28"/>
      <c r="N3854" s="28"/>
      <c r="O3854" s="28"/>
      <c r="P3854" s="28"/>
      <c r="Q3854" s="28"/>
      <c r="R3854" s="28"/>
      <c r="S3854" s="28"/>
    </row>
    <row r="3855" spans="1:19" x14ac:dyDescent="0.25">
      <c r="A3855" s="28"/>
      <c r="B3855" s="28"/>
      <c r="C3855" s="28"/>
      <c r="D3855" s="28"/>
      <c r="E3855" s="28"/>
      <c r="F3855" s="28"/>
      <c r="G3855" s="28"/>
      <c r="H3855" s="28"/>
      <c r="I3855" s="28"/>
      <c r="J3855" s="28"/>
      <c r="K3855" s="28"/>
      <c r="L3855" s="28"/>
      <c r="M3855" s="28"/>
      <c r="N3855" s="28"/>
      <c r="O3855" s="28"/>
      <c r="P3855" s="28"/>
      <c r="Q3855" s="28"/>
      <c r="R3855" s="28"/>
      <c r="S3855" s="28"/>
    </row>
    <row r="3856" spans="1:19" x14ac:dyDescent="0.25">
      <c r="A3856" s="28"/>
      <c r="B3856" s="28"/>
      <c r="C3856" s="28"/>
      <c r="D3856" s="28"/>
      <c r="E3856" s="28"/>
      <c r="F3856" s="28"/>
      <c r="G3856" s="28"/>
      <c r="H3856" s="28"/>
      <c r="I3856" s="28"/>
      <c r="J3856" s="28"/>
      <c r="K3856" s="28"/>
      <c r="L3856" s="28"/>
      <c r="M3856" s="28"/>
      <c r="N3856" s="28"/>
      <c r="O3856" s="28"/>
      <c r="P3856" s="28"/>
      <c r="Q3856" s="28"/>
      <c r="R3856" s="28"/>
      <c r="S3856" s="28"/>
    </row>
    <row r="3857" spans="1:19" x14ac:dyDescent="0.25">
      <c r="A3857" s="28"/>
      <c r="B3857" s="28"/>
      <c r="C3857" s="28"/>
      <c r="D3857" s="28"/>
      <c r="E3857" s="28"/>
      <c r="F3857" s="28"/>
      <c r="G3857" s="28"/>
      <c r="H3857" s="28"/>
      <c r="I3857" s="28"/>
      <c r="J3857" s="28"/>
      <c r="K3857" s="28"/>
      <c r="L3857" s="28"/>
      <c r="M3857" s="28"/>
      <c r="N3857" s="28"/>
      <c r="O3857" s="28"/>
      <c r="P3857" s="28"/>
      <c r="Q3857" s="28"/>
      <c r="R3857" s="28"/>
      <c r="S3857" s="28"/>
    </row>
    <row r="3858" spans="1:19" x14ac:dyDescent="0.25">
      <c r="A3858" s="28"/>
      <c r="B3858" s="28"/>
      <c r="C3858" s="28"/>
      <c r="D3858" s="28"/>
      <c r="E3858" s="28"/>
      <c r="F3858" s="28"/>
      <c r="G3858" s="28"/>
      <c r="H3858" s="28"/>
      <c r="I3858" s="28"/>
      <c r="J3858" s="28"/>
      <c r="K3858" s="28"/>
      <c r="L3858" s="28"/>
      <c r="M3858" s="28"/>
      <c r="N3858" s="28"/>
      <c r="O3858" s="28"/>
      <c r="P3858" s="28"/>
      <c r="Q3858" s="28"/>
      <c r="R3858" s="28"/>
      <c r="S3858" s="28"/>
    </row>
    <row r="3859" spans="1:19" x14ac:dyDescent="0.25">
      <c r="A3859" s="28"/>
      <c r="B3859" s="28"/>
      <c r="C3859" s="28"/>
      <c r="D3859" s="28"/>
      <c r="E3859" s="28"/>
      <c r="F3859" s="28"/>
      <c r="G3859" s="28"/>
      <c r="H3859" s="28"/>
      <c r="I3859" s="28"/>
      <c r="J3859" s="28"/>
      <c r="K3859" s="28"/>
      <c r="L3859" s="28"/>
      <c r="M3859" s="28"/>
      <c r="N3859" s="28"/>
      <c r="O3859" s="28"/>
      <c r="P3859" s="28"/>
      <c r="Q3859" s="28"/>
      <c r="R3859" s="28"/>
      <c r="S3859" s="28"/>
    </row>
    <row r="3860" spans="1:19" x14ac:dyDescent="0.25">
      <c r="A3860" s="28"/>
      <c r="B3860" s="28"/>
      <c r="C3860" s="28"/>
      <c r="D3860" s="28"/>
      <c r="E3860" s="28"/>
      <c r="F3860" s="28"/>
      <c r="G3860" s="28"/>
      <c r="H3860" s="28"/>
      <c r="I3860" s="28"/>
      <c r="J3860" s="28"/>
      <c r="K3860" s="28"/>
      <c r="L3860" s="28"/>
      <c r="M3860" s="28"/>
      <c r="N3860" s="28"/>
      <c r="O3860" s="28"/>
      <c r="P3860" s="28"/>
      <c r="Q3860" s="28"/>
      <c r="R3860" s="28"/>
      <c r="S3860" s="28"/>
    </row>
    <row r="3861" spans="1:19" x14ac:dyDescent="0.25">
      <c r="A3861" s="28"/>
      <c r="B3861" s="28"/>
      <c r="C3861" s="28"/>
      <c r="D3861" s="28"/>
      <c r="E3861" s="28"/>
      <c r="F3861" s="28"/>
      <c r="G3861" s="28"/>
      <c r="H3861" s="28"/>
      <c r="I3861" s="28"/>
      <c r="J3861" s="28"/>
      <c r="K3861" s="28"/>
      <c r="L3861" s="28"/>
      <c r="M3861" s="28"/>
      <c r="N3861" s="28"/>
      <c r="O3861" s="28"/>
      <c r="P3861" s="28"/>
      <c r="Q3861" s="28"/>
      <c r="R3861" s="28"/>
      <c r="S3861" s="28"/>
    </row>
    <row r="3862" spans="1:19" x14ac:dyDescent="0.25">
      <c r="A3862" s="28"/>
      <c r="B3862" s="28"/>
      <c r="C3862" s="28"/>
      <c r="D3862" s="28"/>
      <c r="E3862" s="28"/>
      <c r="F3862" s="28"/>
      <c r="G3862" s="28"/>
      <c r="H3862" s="28"/>
      <c r="I3862" s="28"/>
      <c r="J3862" s="28"/>
      <c r="K3862" s="28"/>
      <c r="L3862" s="28"/>
      <c r="M3862" s="28"/>
      <c r="N3862" s="28"/>
      <c r="O3862" s="28"/>
      <c r="P3862" s="28"/>
      <c r="Q3862" s="28"/>
      <c r="R3862" s="28"/>
      <c r="S3862" s="28"/>
    </row>
    <row r="3863" spans="1:19" x14ac:dyDescent="0.25">
      <c r="A3863" s="28"/>
      <c r="B3863" s="28"/>
      <c r="C3863" s="28"/>
      <c r="D3863" s="28"/>
      <c r="E3863" s="28"/>
      <c r="F3863" s="28"/>
      <c r="G3863" s="28"/>
      <c r="H3863" s="28"/>
      <c r="I3863" s="28"/>
      <c r="J3863" s="28"/>
      <c r="K3863" s="28"/>
      <c r="L3863" s="28"/>
      <c r="M3863" s="28"/>
      <c r="N3863" s="28"/>
      <c r="O3863" s="28"/>
      <c r="P3863" s="28"/>
      <c r="Q3863" s="28"/>
      <c r="R3863" s="28"/>
      <c r="S3863" s="28"/>
    </row>
    <row r="3864" spans="1:19" x14ac:dyDescent="0.25">
      <c r="A3864" s="28"/>
      <c r="B3864" s="28"/>
      <c r="C3864" s="28"/>
      <c r="D3864" s="28"/>
      <c r="E3864" s="28"/>
      <c r="F3864" s="28"/>
      <c r="G3864" s="28"/>
      <c r="H3864" s="28"/>
      <c r="I3864" s="28"/>
      <c r="J3864" s="28"/>
      <c r="K3864" s="28"/>
      <c r="L3864" s="28"/>
      <c r="M3864" s="28"/>
      <c r="N3864" s="28"/>
      <c r="O3864" s="28"/>
      <c r="P3864" s="28"/>
      <c r="Q3864" s="28"/>
      <c r="R3864" s="28"/>
      <c r="S3864" s="28"/>
    </row>
    <row r="3865" spans="1:19" x14ac:dyDescent="0.25">
      <c r="A3865" s="28"/>
      <c r="B3865" s="28"/>
      <c r="C3865" s="28"/>
      <c r="D3865" s="28"/>
      <c r="E3865" s="28"/>
      <c r="F3865" s="28"/>
      <c r="G3865" s="28"/>
      <c r="H3865" s="28"/>
      <c r="I3865" s="28"/>
      <c r="J3865" s="28"/>
      <c r="K3865" s="28"/>
      <c r="L3865" s="28"/>
      <c r="M3865" s="28"/>
      <c r="N3865" s="28"/>
      <c r="O3865" s="28"/>
      <c r="P3865" s="28"/>
      <c r="Q3865" s="28"/>
      <c r="R3865" s="28"/>
      <c r="S3865" s="28"/>
    </row>
    <row r="3866" spans="1:19" x14ac:dyDescent="0.25">
      <c r="A3866" s="28"/>
      <c r="B3866" s="28"/>
      <c r="C3866" s="28"/>
      <c r="D3866" s="28"/>
      <c r="E3866" s="28"/>
      <c r="F3866" s="28"/>
      <c r="G3866" s="28"/>
      <c r="H3866" s="28"/>
      <c r="I3866" s="28"/>
      <c r="J3866" s="28"/>
      <c r="K3866" s="28"/>
      <c r="L3866" s="28"/>
      <c r="M3866" s="28"/>
      <c r="N3866" s="28"/>
      <c r="O3866" s="28"/>
      <c r="P3866" s="28"/>
      <c r="Q3866" s="28"/>
      <c r="R3866" s="28"/>
      <c r="S3866" s="28"/>
    </row>
    <row r="3867" spans="1:19" x14ac:dyDescent="0.25">
      <c r="A3867" s="28"/>
      <c r="B3867" s="28"/>
      <c r="C3867" s="28"/>
      <c r="D3867" s="28"/>
      <c r="E3867" s="28"/>
      <c r="F3867" s="28"/>
      <c r="G3867" s="28"/>
      <c r="H3867" s="28"/>
      <c r="I3867" s="28"/>
      <c r="J3867" s="28"/>
      <c r="K3867" s="28"/>
      <c r="L3867" s="28"/>
      <c r="M3867" s="28"/>
      <c r="N3867" s="28"/>
      <c r="O3867" s="28"/>
      <c r="P3867" s="28"/>
      <c r="Q3867" s="28"/>
      <c r="R3867" s="28"/>
      <c r="S3867" s="28"/>
    </row>
    <row r="3868" spans="1:19" x14ac:dyDescent="0.25">
      <c r="A3868" s="28"/>
      <c r="B3868" s="28"/>
      <c r="C3868" s="28"/>
      <c r="D3868" s="28"/>
      <c r="E3868" s="28"/>
      <c r="F3868" s="28"/>
      <c r="G3868" s="28"/>
      <c r="H3868" s="28"/>
      <c r="I3868" s="28"/>
      <c r="J3868" s="28"/>
      <c r="K3868" s="28"/>
      <c r="L3868" s="28"/>
      <c r="M3868" s="28"/>
      <c r="N3868" s="28"/>
      <c r="O3868" s="28"/>
      <c r="P3868" s="28"/>
      <c r="Q3868" s="28"/>
      <c r="R3868" s="28"/>
      <c r="S3868" s="28"/>
    </row>
    <row r="3869" spans="1:19" x14ac:dyDescent="0.25">
      <c r="A3869" s="28"/>
      <c r="B3869" s="28"/>
      <c r="C3869" s="28"/>
      <c r="D3869" s="28"/>
      <c r="E3869" s="28"/>
      <c r="F3869" s="28"/>
      <c r="G3869" s="28"/>
      <c r="H3869" s="28"/>
      <c r="I3869" s="28"/>
      <c r="J3869" s="28"/>
      <c r="K3869" s="28"/>
      <c r="L3869" s="28"/>
      <c r="M3869" s="28"/>
      <c r="N3869" s="28"/>
      <c r="O3869" s="28"/>
      <c r="P3869" s="28"/>
      <c r="Q3869" s="28"/>
      <c r="R3869" s="28"/>
      <c r="S3869" s="28"/>
    </row>
    <row r="3870" spans="1:19" x14ac:dyDescent="0.25">
      <c r="A3870" s="28"/>
      <c r="B3870" s="28"/>
      <c r="C3870" s="28"/>
      <c r="D3870" s="28"/>
      <c r="E3870" s="28"/>
      <c r="F3870" s="28"/>
      <c r="G3870" s="28"/>
      <c r="H3870" s="28"/>
      <c r="I3870" s="28"/>
      <c r="J3870" s="28"/>
      <c r="K3870" s="28"/>
      <c r="L3870" s="28"/>
      <c r="M3870" s="28"/>
      <c r="N3870" s="28"/>
      <c r="O3870" s="28"/>
      <c r="P3870" s="28"/>
      <c r="Q3870" s="28"/>
      <c r="R3870" s="28"/>
      <c r="S3870" s="28"/>
    </row>
    <row r="3871" spans="1:19" x14ac:dyDescent="0.25">
      <c r="A3871" s="28"/>
      <c r="B3871" s="28"/>
      <c r="C3871" s="28"/>
      <c r="D3871" s="28"/>
      <c r="E3871" s="28"/>
      <c r="F3871" s="28"/>
      <c r="G3871" s="28"/>
      <c r="H3871" s="28"/>
      <c r="I3871" s="28"/>
      <c r="J3871" s="28"/>
      <c r="K3871" s="28"/>
      <c r="L3871" s="28"/>
      <c r="M3871" s="28"/>
      <c r="N3871" s="28"/>
      <c r="O3871" s="28"/>
      <c r="P3871" s="28"/>
      <c r="Q3871" s="28"/>
      <c r="R3871" s="28"/>
      <c r="S3871" s="28"/>
    </row>
    <row r="3872" spans="1:19" x14ac:dyDescent="0.25">
      <c r="A3872" s="28"/>
      <c r="B3872" s="28"/>
      <c r="C3872" s="28"/>
      <c r="D3872" s="28"/>
      <c r="E3872" s="28"/>
      <c r="F3872" s="28"/>
      <c r="G3872" s="28"/>
      <c r="H3872" s="28"/>
      <c r="I3872" s="28"/>
      <c r="J3872" s="28"/>
      <c r="K3872" s="28"/>
      <c r="L3872" s="28"/>
      <c r="M3872" s="28"/>
      <c r="N3872" s="28"/>
      <c r="O3872" s="28"/>
      <c r="P3872" s="28"/>
      <c r="Q3872" s="28"/>
      <c r="R3872" s="28"/>
      <c r="S3872" s="28"/>
    </row>
    <row r="3873" spans="1:19" x14ac:dyDescent="0.25">
      <c r="A3873" s="28"/>
      <c r="B3873" s="28"/>
      <c r="C3873" s="28"/>
      <c r="D3873" s="28"/>
      <c r="E3873" s="28"/>
      <c r="F3873" s="28"/>
      <c r="G3873" s="28"/>
      <c r="H3873" s="28"/>
      <c r="I3873" s="28"/>
      <c r="J3873" s="28"/>
      <c r="K3873" s="28"/>
      <c r="L3873" s="28"/>
      <c r="M3873" s="28"/>
      <c r="N3873" s="28"/>
      <c r="O3873" s="28"/>
      <c r="P3873" s="28"/>
      <c r="Q3873" s="28"/>
      <c r="R3873" s="28"/>
      <c r="S3873" s="28"/>
    </row>
    <row r="3874" spans="1:19" x14ac:dyDescent="0.25">
      <c r="A3874" s="28"/>
      <c r="B3874" s="28"/>
      <c r="C3874" s="28"/>
      <c r="D3874" s="28"/>
      <c r="E3874" s="28"/>
      <c r="F3874" s="28"/>
      <c r="G3874" s="28"/>
      <c r="H3874" s="28"/>
      <c r="I3874" s="28"/>
      <c r="J3874" s="28"/>
      <c r="K3874" s="28"/>
      <c r="L3874" s="28"/>
      <c r="M3874" s="28"/>
      <c r="N3874" s="28"/>
      <c r="O3874" s="28"/>
      <c r="P3874" s="28"/>
      <c r="Q3874" s="28"/>
      <c r="R3874" s="28"/>
      <c r="S3874" s="28"/>
    </row>
    <row r="3875" spans="1:19" x14ac:dyDescent="0.25">
      <c r="A3875" s="28"/>
      <c r="B3875" s="28"/>
      <c r="C3875" s="28"/>
      <c r="D3875" s="28"/>
      <c r="E3875" s="28"/>
      <c r="F3875" s="28"/>
      <c r="G3875" s="28"/>
      <c r="H3875" s="28"/>
      <c r="I3875" s="28"/>
      <c r="J3875" s="28"/>
      <c r="K3875" s="28"/>
      <c r="L3875" s="28"/>
      <c r="M3875" s="28"/>
      <c r="N3875" s="28"/>
      <c r="O3875" s="28"/>
      <c r="P3875" s="28"/>
      <c r="Q3875" s="28"/>
      <c r="R3875" s="28"/>
      <c r="S3875" s="28"/>
    </row>
    <row r="3876" spans="1:19" x14ac:dyDescent="0.25">
      <c r="A3876" s="28"/>
      <c r="B3876" s="28"/>
      <c r="C3876" s="28"/>
      <c r="D3876" s="28"/>
      <c r="E3876" s="28"/>
      <c r="F3876" s="28"/>
      <c r="G3876" s="28"/>
      <c r="H3876" s="28"/>
      <c r="I3876" s="28"/>
      <c r="J3876" s="28"/>
      <c r="K3876" s="28"/>
      <c r="L3876" s="28"/>
      <c r="M3876" s="28"/>
      <c r="N3876" s="28"/>
      <c r="O3876" s="28"/>
      <c r="P3876" s="28"/>
      <c r="Q3876" s="28"/>
      <c r="R3876" s="28"/>
      <c r="S3876" s="28"/>
    </row>
    <row r="3877" spans="1:19" x14ac:dyDescent="0.25">
      <c r="A3877" s="28"/>
      <c r="B3877" s="28"/>
      <c r="C3877" s="28"/>
      <c r="D3877" s="28"/>
      <c r="E3877" s="28"/>
      <c r="F3877" s="28"/>
      <c r="G3877" s="28"/>
      <c r="H3877" s="28"/>
      <c r="I3877" s="28"/>
      <c r="J3877" s="28"/>
      <c r="K3877" s="28"/>
      <c r="L3877" s="28"/>
      <c r="M3877" s="28"/>
      <c r="N3877" s="28"/>
      <c r="O3877" s="28"/>
      <c r="P3877" s="28"/>
      <c r="Q3877" s="28"/>
      <c r="R3877" s="28"/>
      <c r="S3877" s="28"/>
    </row>
    <row r="3878" spans="1:19" x14ac:dyDescent="0.25">
      <c r="A3878" s="28"/>
      <c r="B3878" s="28"/>
      <c r="C3878" s="28"/>
      <c r="D3878" s="28"/>
      <c r="E3878" s="28"/>
      <c r="F3878" s="28"/>
      <c r="G3878" s="28"/>
      <c r="H3878" s="28"/>
      <c r="I3878" s="28"/>
      <c r="J3878" s="28"/>
      <c r="K3878" s="28"/>
      <c r="L3878" s="28"/>
      <c r="M3878" s="28"/>
      <c r="N3878" s="28"/>
      <c r="O3878" s="28"/>
      <c r="P3878" s="28"/>
      <c r="Q3878" s="28"/>
      <c r="R3878" s="28"/>
      <c r="S3878" s="28"/>
    </row>
    <row r="3879" spans="1:19" x14ac:dyDescent="0.25">
      <c r="A3879" s="28"/>
      <c r="B3879" s="28"/>
      <c r="C3879" s="28"/>
      <c r="D3879" s="28"/>
      <c r="E3879" s="28"/>
      <c r="F3879" s="28"/>
      <c r="G3879" s="28"/>
      <c r="H3879" s="28"/>
      <c r="I3879" s="28"/>
      <c r="J3879" s="28"/>
      <c r="K3879" s="28"/>
      <c r="L3879" s="28"/>
      <c r="M3879" s="28"/>
      <c r="N3879" s="28"/>
      <c r="O3879" s="28"/>
      <c r="P3879" s="28"/>
      <c r="Q3879" s="28"/>
      <c r="R3879" s="28"/>
      <c r="S3879" s="28"/>
    </row>
    <row r="3880" spans="1:19" x14ac:dyDescent="0.25">
      <c r="A3880" s="28"/>
      <c r="B3880" s="28"/>
      <c r="C3880" s="28"/>
      <c r="D3880" s="28"/>
      <c r="E3880" s="28"/>
      <c r="F3880" s="28"/>
      <c r="G3880" s="28"/>
      <c r="H3880" s="28"/>
      <c r="I3880" s="28"/>
      <c r="J3880" s="28"/>
      <c r="K3880" s="28"/>
      <c r="L3880" s="28"/>
      <c r="M3880" s="28"/>
      <c r="N3880" s="28"/>
      <c r="O3880" s="28"/>
      <c r="P3880" s="28"/>
      <c r="Q3880" s="28"/>
      <c r="R3880" s="28"/>
      <c r="S3880" s="28"/>
    </row>
    <row r="3881" spans="1:19" x14ac:dyDescent="0.25">
      <c r="A3881" s="28"/>
      <c r="B3881" s="28"/>
      <c r="C3881" s="28"/>
      <c r="D3881" s="28"/>
      <c r="E3881" s="28"/>
      <c r="F3881" s="28"/>
      <c r="G3881" s="28"/>
      <c r="H3881" s="28"/>
      <c r="I3881" s="28"/>
      <c r="J3881" s="28"/>
      <c r="K3881" s="28"/>
      <c r="L3881" s="28"/>
      <c r="M3881" s="28"/>
      <c r="N3881" s="28"/>
      <c r="O3881" s="28"/>
      <c r="P3881" s="28"/>
      <c r="Q3881" s="28"/>
      <c r="R3881" s="28"/>
      <c r="S3881" s="28"/>
    </row>
    <row r="3882" spans="1:19" x14ac:dyDescent="0.25">
      <c r="A3882" s="28"/>
      <c r="B3882" s="28"/>
      <c r="C3882" s="28"/>
      <c r="D3882" s="28"/>
      <c r="E3882" s="28"/>
      <c r="F3882" s="28"/>
      <c r="G3882" s="28"/>
      <c r="H3882" s="28"/>
      <c r="I3882" s="28"/>
      <c r="J3882" s="28"/>
      <c r="K3882" s="28"/>
      <c r="L3882" s="28"/>
      <c r="M3882" s="28"/>
      <c r="N3882" s="28"/>
      <c r="O3882" s="28"/>
      <c r="P3882" s="28"/>
      <c r="Q3882" s="28"/>
      <c r="R3882" s="28"/>
      <c r="S3882" s="28"/>
    </row>
    <row r="3883" spans="1:19" x14ac:dyDescent="0.25">
      <c r="A3883" s="28"/>
      <c r="B3883" s="28"/>
      <c r="C3883" s="28"/>
      <c r="D3883" s="28"/>
      <c r="E3883" s="28"/>
      <c r="F3883" s="28"/>
      <c r="G3883" s="28"/>
      <c r="H3883" s="28"/>
      <c r="I3883" s="28"/>
      <c r="J3883" s="28"/>
      <c r="K3883" s="28"/>
      <c r="L3883" s="28"/>
      <c r="M3883" s="28"/>
      <c r="N3883" s="28"/>
      <c r="O3883" s="28"/>
      <c r="P3883" s="28"/>
      <c r="Q3883" s="28"/>
      <c r="R3883" s="28"/>
      <c r="S3883" s="28"/>
    </row>
    <row r="3884" spans="1:19" x14ac:dyDescent="0.25">
      <c r="A3884" s="28"/>
      <c r="B3884" s="28"/>
      <c r="C3884" s="28"/>
      <c r="D3884" s="28"/>
      <c r="E3884" s="28"/>
      <c r="F3884" s="28"/>
      <c r="G3884" s="28"/>
      <c r="H3884" s="28"/>
      <c r="I3884" s="28"/>
      <c r="J3884" s="28"/>
      <c r="K3884" s="28"/>
      <c r="L3884" s="28"/>
      <c r="M3884" s="28"/>
      <c r="N3884" s="28"/>
      <c r="O3884" s="28"/>
      <c r="P3884" s="28"/>
      <c r="Q3884" s="28"/>
      <c r="R3884" s="28"/>
      <c r="S3884" s="28"/>
    </row>
    <row r="3885" spans="1:19" x14ac:dyDescent="0.25">
      <c r="A3885" s="28"/>
      <c r="B3885" s="28"/>
      <c r="C3885" s="28"/>
      <c r="D3885" s="28"/>
      <c r="E3885" s="28"/>
      <c r="F3885" s="28"/>
      <c r="G3885" s="28"/>
      <c r="H3885" s="28"/>
      <c r="I3885" s="28"/>
      <c r="J3885" s="28"/>
      <c r="K3885" s="28"/>
      <c r="L3885" s="28"/>
      <c r="M3885" s="28"/>
      <c r="N3885" s="28"/>
      <c r="O3885" s="28"/>
      <c r="P3885" s="28"/>
      <c r="Q3885" s="28"/>
      <c r="R3885" s="28"/>
      <c r="S3885" s="28"/>
    </row>
    <row r="3886" spans="1:19" x14ac:dyDescent="0.25">
      <c r="A3886" s="28"/>
      <c r="B3886" s="28"/>
      <c r="C3886" s="28"/>
      <c r="D3886" s="28"/>
      <c r="E3886" s="28"/>
      <c r="F3886" s="28"/>
      <c r="G3886" s="28"/>
      <c r="H3886" s="28"/>
      <c r="I3886" s="28"/>
      <c r="J3886" s="28"/>
      <c r="K3886" s="28"/>
      <c r="L3886" s="28"/>
      <c r="M3886" s="28"/>
      <c r="N3886" s="28"/>
      <c r="O3886" s="28"/>
      <c r="P3886" s="28"/>
      <c r="Q3886" s="28"/>
      <c r="R3886" s="28"/>
      <c r="S3886" s="28"/>
    </row>
    <row r="3887" spans="1:19" x14ac:dyDescent="0.25">
      <c r="A3887" s="28"/>
      <c r="B3887" s="28"/>
      <c r="C3887" s="28"/>
      <c r="D3887" s="28"/>
      <c r="E3887" s="28"/>
      <c r="F3887" s="28"/>
      <c r="G3887" s="28"/>
      <c r="H3887" s="28"/>
      <c r="I3887" s="28"/>
      <c r="J3887" s="28"/>
      <c r="K3887" s="28"/>
      <c r="L3887" s="28"/>
      <c r="M3887" s="28"/>
      <c r="N3887" s="28"/>
      <c r="O3887" s="28"/>
      <c r="P3887" s="28"/>
      <c r="Q3887" s="28"/>
      <c r="R3887" s="28"/>
      <c r="S3887" s="28"/>
    </row>
    <row r="3888" spans="1:19" x14ac:dyDescent="0.25">
      <c r="A3888" s="28"/>
      <c r="B3888" s="28"/>
      <c r="C3888" s="28"/>
      <c r="D3888" s="28"/>
      <c r="E3888" s="28"/>
      <c r="F3888" s="28"/>
      <c r="G3888" s="28"/>
      <c r="H3888" s="28"/>
      <c r="I3888" s="28"/>
      <c r="J3888" s="28"/>
      <c r="K3888" s="28"/>
      <c r="L3888" s="28"/>
      <c r="M3888" s="28"/>
      <c r="N3888" s="28"/>
      <c r="O3888" s="28"/>
      <c r="P3888" s="28"/>
      <c r="Q3888" s="28"/>
      <c r="R3888" s="28"/>
      <c r="S3888" s="28"/>
    </row>
    <row r="3889" spans="1:19" x14ac:dyDescent="0.25">
      <c r="A3889" s="28"/>
      <c r="B3889" s="28"/>
      <c r="C3889" s="28"/>
      <c r="D3889" s="28"/>
      <c r="E3889" s="28"/>
      <c r="F3889" s="28"/>
      <c r="G3889" s="28"/>
      <c r="H3889" s="28"/>
      <c r="I3889" s="28"/>
      <c r="J3889" s="28"/>
      <c r="K3889" s="28"/>
      <c r="L3889" s="28"/>
      <c r="M3889" s="28"/>
      <c r="N3889" s="28"/>
      <c r="O3889" s="28"/>
      <c r="P3889" s="28"/>
      <c r="Q3889" s="28"/>
      <c r="R3889" s="28"/>
      <c r="S3889" s="28"/>
    </row>
    <row r="3890" spans="1:19" x14ac:dyDescent="0.25">
      <c r="A3890" s="28"/>
      <c r="B3890" s="28"/>
      <c r="C3890" s="28"/>
      <c r="D3890" s="28"/>
      <c r="E3890" s="28"/>
      <c r="F3890" s="28"/>
      <c r="G3890" s="28"/>
      <c r="H3890" s="28"/>
      <c r="I3890" s="28"/>
      <c r="J3890" s="28"/>
      <c r="K3890" s="28"/>
      <c r="L3890" s="28"/>
      <c r="M3890" s="28"/>
      <c r="N3890" s="28"/>
      <c r="O3890" s="28"/>
      <c r="P3890" s="28"/>
      <c r="Q3890" s="28"/>
      <c r="R3890" s="28"/>
      <c r="S3890" s="28"/>
    </row>
    <row r="3891" spans="1:19" x14ac:dyDescent="0.25">
      <c r="A3891" s="28"/>
      <c r="B3891" s="28"/>
      <c r="C3891" s="28"/>
      <c r="D3891" s="28"/>
      <c r="E3891" s="28"/>
      <c r="F3891" s="28"/>
      <c r="G3891" s="28"/>
      <c r="H3891" s="28"/>
      <c r="I3891" s="28"/>
      <c r="J3891" s="28"/>
      <c r="K3891" s="28"/>
      <c r="L3891" s="28"/>
      <c r="M3891" s="28"/>
      <c r="N3891" s="28"/>
      <c r="O3891" s="28"/>
      <c r="P3891" s="28"/>
      <c r="Q3891" s="28"/>
      <c r="R3891" s="28"/>
      <c r="S3891" s="28"/>
    </row>
    <row r="3892" spans="1:19" x14ac:dyDescent="0.25">
      <c r="A3892" s="28"/>
      <c r="B3892" s="28"/>
      <c r="C3892" s="28"/>
      <c r="D3892" s="28"/>
      <c r="E3892" s="28"/>
      <c r="F3892" s="28"/>
      <c r="G3892" s="28"/>
      <c r="H3892" s="28"/>
      <c r="I3892" s="28"/>
      <c r="J3892" s="28"/>
      <c r="K3892" s="28"/>
      <c r="L3892" s="28"/>
      <c r="M3892" s="28"/>
      <c r="N3892" s="28"/>
      <c r="O3892" s="28"/>
      <c r="P3892" s="28"/>
      <c r="Q3892" s="28"/>
      <c r="R3892" s="28"/>
      <c r="S3892" s="28"/>
    </row>
    <row r="3893" spans="1:19" x14ac:dyDescent="0.25">
      <c r="A3893" s="28"/>
      <c r="B3893" s="28"/>
      <c r="C3893" s="28"/>
      <c r="D3893" s="28"/>
      <c r="E3893" s="28"/>
      <c r="F3893" s="28"/>
      <c r="G3893" s="28"/>
      <c r="H3893" s="28"/>
      <c r="I3893" s="28"/>
      <c r="J3893" s="28"/>
      <c r="K3893" s="28"/>
      <c r="L3893" s="28"/>
      <c r="M3893" s="28"/>
      <c r="N3893" s="28"/>
      <c r="O3893" s="28"/>
      <c r="P3893" s="28"/>
      <c r="Q3893" s="28"/>
      <c r="R3893" s="28"/>
      <c r="S3893" s="28"/>
    </row>
    <row r="3894" spans="1:19" x14ac:dyDescent="0.25">
      <c r="A3894" s="28"/>
      <c r="B3894" s="28"/>
      <c r="C3894" s="28"/>
      <c r="D3894" s="28"/>
      <c r="E3894" s="28"/>
      <c r="F3894" s="28"/>
      <c r="G3894" s="28"/>
      <c r="H3894" s="28"/>
      <c r="I3894" s="28"/>
      <c r="J3894" s="28"/>
      <c r="K3894" s="28"/>
      <c r="L3894" s="28"/>
      <c r="M3894" s="28"/>
      <c r="N3894" s="28"/>
      <c r="O3894" s="28"/>
      <c r="P3894" s="28"/>
      <c r="Q3894" s="28"/>
      <c r="R3894" s="28"/>
      <c r="S3894" s="28"/>
    </row>
    <row r="3895" spans="1:19" x14ac:dyDescent="0.25">
      <c r="A3895" s="28"/>
      <c r="B3895" s="28"/>
      <c r="C3895" s="28"/>
      <c r="D3895" s="28"/>
      <c r="E3895" s="28"/>
      <c r="F3895" s="28"/>
      <c r="G3895" s="28"/>
      <c r="H3895" s="28"/>
      <c r="I3895" s="28"/>
      <c r="J3895" s="28"/>
      <c r="K3895" s="28"/>
      <c r="L3895" s="28"/>
      <c r="M3895" s="28"/>
      <c r="N3895" s="28"/>
      <c r="O3895" s="28"/>
      <c r="P3895" s="28"/>
      <c r="Q3895" s="28"/>
      <c r="R3895" s="28"/>
      <c r="S3895" s="28"/>
    </row>
    <row r="3896" spans="1:19" x14ac:dyDescent="0.25">
      <c r="A3896" s="28"/>
      <c r="B3896" s="28"/>
      <c r="C3896" s="28"/>
      <c r="D3896" s="28"/>
      <c r="E3896" s="28"/>
      <c r="F3896" s="28"/>
      <c r="G3896" s="28"/>
      <c r="H3896" s="28"/>
      <c r="I3896" s="28"/>
      <c r="J3896" s="28"/>
      <c r="K3896" s="28"/>
      <c r="L3896" s="28"/>
      <c r="M3896" s="28"/>
      <c r="N3896" s="28"/>
      <c r="O3896" s="28"/>
      <c r="P3896" s="28"/>
      <c r="Q3896" s="28"/>
      <c r="R3896" s="28"/>
      <c r="S3896" s="28"/>
    </row>
    <row r="3897" spans="1:19" x14ac:dyDescent="0.25">
      <c r="A3897" s="28"/>
      <c r="B3897" s="28"/>
      <c r="C3897" s="28"/>
      <c r="D3897" s="28"/>
      <c r="E3897" s="28"/>
      <c r="F3897" s="28"/>
      <c r="G3897" s="28"/>
      <c r="H3897" s="28"/>
      <c r="I3897" s="28"/>
      <c r="J3897" s="28"/>
      <c r="K3897" s="28"/>
      <c r="L3897" s="28"/>
      <c r="M3897" s="28"/>
      <c r="N3897" s="28"/>
      <c r="O3897" s="28"/>
      <c r="P3897" s="28"/>
      <c r="Q3897" s="28"/>
      <c r="R3897" s="28"/>
      <c r="S3897" s="28"/>
    </row>
    <row r="3898" spans="1:19" x14ac:dyDescent="0.25">
      <c r="A3898" s="28"/>
      <c r="B3898" s="28"/>
      <c r="C3898" s="28"/>
      <c r="D3898" s="28"/>
      <c r="E3898" s="28"/>
      <c r="F3898" s="28"/>
      <c r="G3898" s="28"/>
      <c r="H3898" s="28"/>
      <c r="I3898" s="28"/>
      <c r="J3898" s="28"/>
      <c r="K3898" s="28"/>
      <c r="L3898" s="28"/>
      <c r="M3898" s="28"/>
      <c r="N3898" s="28"/>
      <c r="O3898" s="28"/>
      <c r="P3898" s="28"/>
      <c r="Q3898" s="28"/>
      <c r="R3898" s="28"/>
      <c r="S3898" s="28"/>
    </row>
    <row r="3899" spans="1:19" x14ac:dyDescent="0.25">
      <c r="A3899" s="28"/>
      <c r="B3899" s="28"/>
      <c r="C3899" s="28"/>
      <c r="D3899" s="28"/>
      <c r="E3899" s="28"/>
      <c r="F3899" s="28"/>
      <c r="G3899" s="28"/>
      <c r="H3899" s="28"/>
      <c r="I3899" s="28"/>
      <c r="J3899" s="28"/>
      <c r="K3899" s="28"/>
      <c r="L3899" s="28"/>
      <c r="M3899" s="28"/>
      <c r="N3899" s="28"/>
      <c r="O3899" s="28"/>
      <c r="P3899" s="28"/>
      <c r="Q3899" s="28"/>
      <c r="R3899" s="28"/>
      <c r="S3899" s="28"/>
    </row>
    <row r="3900" spans="1:19" x14ac:dyDescent="0.25">
      <c r="A3900" s="28"/>
      <c r="B3900" s="28"/>
      <c r="C3900" s="28"/>
      <c r="D3900" s="28"/>
      <c r="E3900" s="28"/>
      <c r="F3900" s="28"/>
      <c r="G3900" s="28"/>
      <c r="H3900" s="28"/>
      <c r="I3900" s="28"/>
      <c r="J3900" s="28"/>
      <c r="K3900" s="28"/>
      <c r="L3900" s="28"/>
      <c r="M3900" s="28"/>
      <c r="N3900" s="28"/>
      <c r="O3900" s="28"/>
      <c r="P3900" s="28"/>
      <c r="Q3900" s="28"/>
      <c r="R3900" s="28"/>
      <c r="S3900" s="28"/>
    </row>
    <row r="3901" spans="1:19" x14ac:dyDescent="0.25">
      <c r="A3901" s="28"/>
      <c r="B3901" s="28"/>
      <c r="C3901" s="28"/>
      <c r="D3901" s="28"/>
      <c r="E3901" s="28"/>
      <c r="F3901" s="28"/>
      <c r="G3901" s="28"/>
      <c r="H3901" s="28"/>
      <c r="I3901" s="28"/>
      <c r="J3901" s="28"/>
      <c r="K3901" s="28"/>
      <c r="L3901" s="28"/>
      <c r="M3901" s="28"/>
      <c r="N3901" s="28"/>
      <c r="O3901" s="28"/>
      <c r="P3901" s="28"/>
      <c r="Q3901" s="28"/>
      <c r="R3901" s="28"/>
      <c r="S3901" s="28"/>
    </row>
    <row r="3902" spans="1:19" x14ac:dyDescent="0.25">
      <c r="A3902" s="28"/>
      <c r="B3902" s="28"/>
      <c r="C3902" s="28"/>
      <c r="D3902" s="28"/>
      <c r="E3902" s="28"/>
      <c r="F3902" s="28"/>
      <c r="G3902" s="28"/>
      <c r="H3902" s="28"/>
      <c r="I3902" s="28"/>
      <c r="J3902" s="28"/>
      <c r="K3902" s="28"/>
      <c r="L3902" s="28"/>
      <c r="M3902" s="28"/>
      <c r="N3902" s="28"/>
      <c r="O3902" s="28"/>
      <c r="P3902" s="28"/>
      <c r="Q3902" s="28"/>
      <c r="R3902" s="28"/>
      <c r="S3902" s="28"/>
    </row>
    <row r="3903" spans="1:19" x14ac:dyDescent="0.25">
      <c r="A3903" s="28"/>
      <c r="B3903" s="28"/>
      <c r="C3903" s="28"/>
      <c r="D3903" s="28"/>
      <c r="E3903" s="28"/>
      <c r="F3903" s="28"/>
      <c r="G3903" s="28"/>
      <c r="H3903" s="28"/>
      <c r="I3903" s="28"/>
      <c r="J3903" s="28"/>
      <c r="K3903" s="28"/>
      <c r="L3903" s="28"/>
      <c r="M3903" s="28"/>
      <c r="N3903" s="28"/>
      <c r="O3903" s="28"/>
      <c r="P3903" s="28"/>
      <c r="Q3903" s="28"/>
      <c r="R3903" s="28"/>
      <c r="S3903" s="28"/>
    </row>
    <row r="3904" spans="1:19" x14ac:dyDescent="0.25">
      <c r="A3904" s="28"/>
      <c r="B3904" s="28"/>
      <c r="C3904" s="28"/>
      <c r="D3904" s="28"/>
      <c r="E3904" s="28"/>
      <c r="F3904" s="28"/>
      <c r="G3904" s="28"/>
      <c r="H3904" s="28"/>
      <c r="I3904" s="28"/>
      <c r="J3904" s="28"/>
      <c r="K3904" s="28"/>
      <c r="L3904" s="28"/>
      <c r="M3904" s="28"/>
      <c r="N3904" s="28"/>
      <c r="O3904" s="28"/>
      <c r="P3904" s="28"/>
      <c r="Q3904" s="28"/>
      <c r="R3904" s="28"/>
      <c r="S3904" s="28"/>
    </row>
    <row r="3905" spans="1:19" x14ac:dyDescent="0.25">
      <c r="A3905" s="28"/>
      <c r="B3905" s="28"/>
      <c r="C3905" s="28"/>
      <c r="D3905" s="28"/>
      <c r="E3905" s="28"/>
      <c r="F3905" s="28"/>
      <c r="G3905" s="28"/>
      <c r="H3905" s="28"/>
      <c r="I3905" s="28"/>
      <c r="J3905" s="28"/>
      <c r="K3905" s="28"/>
      <c r="L3905" s="28"/>
      <c r="M3905" s="28"/>
      <c r="N3905" s="28"/>
      <c r="O3905" s="28"/>
      <c r="P3905" s="28"/>
      <c r="Q3905" s="28"/>
      <c r="R3905" s="28"/>
      <c r="S3905" s="28"/>
    </row>
    <row r="3906" spans="1:19" x14ac:dyDescent="0.25">
      <c r="A3906" s="28"/>
      <c r="B3906" s="28"/>
      <c r="C3906" s="28"/>
      <c r="D3906" s="28"/>
      <c r="E3906" s="28"/>
      <c r="F3906" s="28"/>
      <c r="G3906" s="28"/>
      <c r="H3906" s="28"/>
      <c r="I3906" s="28"/>
      <c r="J3906" s="28"/>
      <c r="K3906" s="28"/>
      <c r="L3906" s="28"/>
      <c r="M3906" s="28"/>
      <c r="N3906" s="28"/>
      <c r="O3906" s="28"/>
      <c r="P3906" s="28"/>
      <c r="Q3906" s="28"/>
      <c r="R3906" s="28"/>
      <c r="S3906" s="28"/>
    </row>
    <row r="3907" spans="1:19" x14ac:dyDescent="0.25">
      <c r="A3907" s="28"/>
      <c r="B3907" s="28"/>
      <c r="C3907" s="28"/>
      <c r="D3907" s="28"/>
      <c r="E3907" s="28"/>
      <c r="F3907" s="28"/>
      <c r="G3907" s="28"/>
      <c r="H3907" s="28"/>
      <c r="I3907" s="28"/>
      <c r="J3907" s="28"/>
      <c r="K3907" s="28"/>
      <c r="L3907" s="28"/>
      <c r="M3907" s="28"/>
      <c r="N3907" s="28"/>
      <c r="O3907" s="28"/>
      <c r="P3907" s="28"/>
      <c r="Q3907" s="28"/>
      <c r="R3907" s="28"/>
      <c r="S3907" s="28"/>
    </row>
    <row r="3908" spans="1:19" x14ac:dyDescent="0.25">
      <c r="A3908" s="28"/>
      <c r="B3908" s="28"/>
      <c r="C3908" s="28"/>
      <c r="D3908" s="28"/>
      <c r="E3908" s="28"/>
      <c r="F3908" s="28"/>
      <c r="G3908" s="28"/>
      <c r="H3908" s="28"/>
      <c r="I3908" s="28"/>
      <c r="J3908" s="28"/>
      <c r="K3908" s="28"/>
      <c r="L3908" s="28"/>
      <c r="M3908" s="28"/>
      <c r="N3908" s="28"/>
      <c r="O3908" s="28"/>
      <c r="P3908" s="28"/>
      <c r="Q3908" s="28"/>
      <c r="R3908" s="28"/>
      <c r="S3908" s="28"/>
    </row>
    <row r="3909" spans="1:19" x14ac:dyDescent="0.25">
      <c r="A3909" s="28"/>
      <c r="B3909" s="28"/>
      <c r="C3909" s="28"/>
      <c r="D3909" s="28"/>
      <c r="E3909" s="28"/>
      <c r="F3909" s="28"/>
      <c r="G3909" s="28"/>
      <c r="H3909" s="28"/>
      <c r="I3909" s="28"/>
      <c r="J3909" s="28"/>
      <c r="K3909" s="28"/>
      <c r="L3909" s="28"/>
      <c r="M3909" s="28"/>
      <c r="N3909" s="28"/>
      <c r="O3909" s="28"/>
      <c r="P3909" s="28"/>
      <c r="Q3909" s="28"/>
      <c r="R3909" s="28"/>
      <c r="S3909" s="28"/>
    </row>
    <row r="3910" spans="1:19" x14ac:dyDescent="0.25">
      <c r="A3910" s="28"/>
      <c r="B3910" s="28"/>
      <c r="C3910" s="28"/>
      <c r="D3910" s="28"/>
      <c r="E3910" s="28"/>
      <c r="F3910" s="28"/>
      <c r="G3910" s="28"/>
      <c r="H3910" s="28"/>
      <c r="I3910" s="28"/>
      <c r="J3910" s="28"/>
      <c r="K3910" s="28"/>
      <c r="L3910" s="28"/>
      <c r="M3910" s="28"/>
      <c r="N3910" s="28"/>
      <c r="O3910" s="28"/>
      <c r="P3910" s="28"/>
      <c r="Q3910" s="28"/>
      <c r="R3910" s="28"/>
      <c r="S3910" s="28"/>
    </row>
    <row r="3911" spans="1:19" x14ac:dyDescent="0.25">
      <c r="A3911" s="28"/>
      <c r="B3911" s="28"/>
      <c r="C3911" s="28"/>
      <c r="D3911" s="28"/>
      <c r="E3911" s="28"/>
      <c r="F3911" s="28"/>
      <c r="G3911" s="28"/>
      <c r="H3911" s="28"/>
      <c r="I3911" s="28"/>
      <c r="J3911" s="28"/>
      <c r="K3911" s="28"/>
      <c r="L3911" s="28"/>
      <c r="M3911" s="28"/>
      <c r="N3911" s="28"/>
      <c r="O3911" s="28"/>
      <c r="P3911" s="28"/>
      <c r="Q3911" s="28"/>
      <c r="R3911" s="28"/>
      <c r="S3911" s="28"/>
    </row>
    <row r="3912" spans="1:19" x14ac:dyDescent="0.25">
      <c r="A3912" s="28"/>
      <c r="B3912" s="28"/>
      <c r="C3912" s="28"/>
      <c r="D3912" s="28"/>
      <c r="E3912" s="28"/>
      <c r="F3912" s="28"/>
      <c r="G3912" s="28"/>
      <c r="H3912" s="28"/>
      <c r="I3912" s="28"/>
      <c r="J3912" s="28"/>
      <c r="K3912" s="28"/>
      <c r="L3912" s="28"/>
      <c r="M3912" s="28"/>
      <c r="N3912" s="28"/>
      <c r="O3912" s="28"/>
      <c r="P3912" s="28"/>
      <c r="Q3912" s="28"/>
      <c r="R3912" s="28"/>
      <c r="S3912" s="28"/>
    </row>
    <row r="3913" spans="1:19" x14ac:dyDescent="0.25">
      <c r="A3913" s="28"/>
      <c r="B3913" s="28"/>
      <c r="C3913" s="28"/>
      <c r="D3913" s="28"/>
      <c r="E3913" s="28"/>
      <c r="F3913" s="28"/>
      <c r="G3913" s="28"/>
      <c r="H3913" s="28"/>
      <c r="I3913" s="28"/>
      <c r="J3913" s="28"/>
      <c r="K3913" s="28"/>
      <c r="L3913" s="28"/>
      <c r="M3913" s="28"/>
      <c r="N3913" s="28"/>
      <c r="O3913" s="28"/>
      <c r="P3913" s="28"/>
      <c r="Q3913" s="28"/>
      <c r="R3913" s="28"/>
      <c r="S3913" s="28"/>
    </row>
    <row r="3914" spans="1:19" x14ac:dyDescent="0.25">
      <c r="A3914" s="28"/>
      <c r="B3914" s="28"/>
      <c r="C3914" s="28"/>
      <c r="D3914" s="28"/>
      <c r="E3914" s="28"/>
      <c r="F3914" s="28"/>
      <c r="G3914" s="28"/>
      <c r="H3914" s="28"/>
      <c r="I3914" s="28"/>
      <c r="J3914" s="28"/>
      <c r="K3914" s="28"/>
      <c r="L3914" s="28"/>
      <c r="M3914" s="28"/>
      <c r="N3914" s="28"/>
      <c r="O3914" s="28"/>
      <c r="P3914" s="28"/>
      <c r="Q3914" s="28"/>
      <c r="R3914" s="28"/>
      <c r="S3914" s="28"/>
    </row>
    <row r="3915" spans="1:19" x14ac:dyDescent="0.25">
      <c r="A3915" s="28"/>
      <c r="B3915" s="28"/>
      <c r="C3915" s="28"/>
      <c r="D3915" s="28"/>
      <c r="E3915" s="28"/>
      <c r="F3915" s="28"/>
      <c r="G3915" s="28"/>
      <c r="H3915" s="28"/>
      <c r="I3915" s="28"/>
      <c r="J3915" s="28"/>
      <c r="K3915" s="28"/>
      <c r="L3915" s="28"/>
      <c r="M3915" s="28"/>
      <c r="N3915" s="28"/>
      <c r="O3915" s="28"/>
      <c r="P3915" s="28"/>
      <c r="Q3915" s="28"/>
      <c r="R3915" s="28"/>
      <c r="S3915" s="28"/>
    </row>
    <row r="3916" spans="1:19" x14ac:dyDescent="0.25">
      <c r="A3916" s="28"/>
      <c r="B3916" s="28"/>
      <c r="C3916" s="28"/>
      <c r="D3916" s="28"/>
      <c r="E3916" s="28"/>
      <c r="F3916" s="28"/>
      <c r="G3916" s="28"/>
      <c r="H3916" s="28"/>
      <c r="I3916" s="28"/>
      <c r="J3916" s="28"/>
      <c r="K3916" s="28"/>
      <c r="L3916" s="28"/>
      <c r="M3916" s="28"/>
      <c r="N3916" s="28"/>
      <c r="O3916" s="28"/>
      <c r="P3916" s="28"/>
      <c r="Q3916" s="28"/>
      <c r="R3916" s="28"/>
      <c r="S3916" s="28"/>
    </row>
    <row r="3917" spans="1:19" x14ac:dyDescent="0.25">
      <c r="A3917" s="28"/>
      <c r="B3917" s="28"/>
      <c r="C3917" s="28"/>
      <c r="D3917" s="28"/>
      <c r="E3917" s="28"/>
      <c r="F3917" s="28"/>
      <c r="G3917" s="28"/>
      <c r="H3917" s="28"/>
      <c r="I3917" s="28"/>
      <c r="J3917" s="28"/>
      <c r="K3917" s="28"/>
      <c r="L3917" s="28"/>
      <c r="M3917" s="28"/>
      <c r="N3917" s="28"/>
      <c r="O3917" s="28"/>
      <c r="P3917" s="28"/>
      <c r="Q3917" s="28"/>
      <c r="R3917" s="28"/>
      <c r="S3917" s="28"/>
    </row>
    <row r="3918" spans="1:19" x14ac:dyDescent="0.25">
      <c r="A3918" s="28"/>
      <c r="B3918" s="28"/>
      <c r="C3918" s="28"/>
      <c r="D3918" s="28"/>
      <c r="E3918" s="28"/>
      <c r="F3918" s="28"/>
      <c r="G3918" s="28"/>
      <c r="H3918" s="28"/>
      <c r="I3918" s="28"/>
      <c r="J3918" s="28"/>
      <c r="K3918" s="28"/>
      <c r="L3918" s="28"/>
      <c r="M3918" s="28"/>
      <c r="N3918" s="28"/>
      <c r="O3918" s="28"/>
      <c r="P3918" s="28"/>
      <c r="Q3918" s="28"/>
      <c r="R3918" s="28"/>
      <c r="S3918" s="28"/>
    </row>
    <row r="3919" spans="1:19" x14ac:dyDescent="0.25">
      <c r="A3919" s="28"/>
      <c r="B3919" s="28"/>
      <c r="C3919" s="28"/>
      <c r="D3919" s="28"/>
      <c r="E3919" s="28"/>
      <c r="F3919" s="28"/>
      <c r="G3919" s="28"/>
      <c r="H3919" s="28"/>
      <c r="I3919" s="28"/>
      <c r="J3919" s="28"/>
      <c r="K3919" s="28"/>
      <c r="L3919" s="28"/>
      <c r="M3919" s="28"/>
      <c r="N3919" s="28"/>
      <c r="O3919" s="28"/>
      <c r="P3919" s="28"/>
      <c r="Q3919" s="28"/>
      <c r="R3919" s="28"/>
      <c r="S3919" s="28"/>
    </row>
    <row r="3920" spans="1:19" x14ac:dyDescent="0.25">
      <c r="A3920" s="28"/>
      <c r="B3920" s="28"/>
      <c r="C3920" s="28"/>
      <c r="D3920" s="28"/>
      <c r="E3920" s="28"/>
      <c r="F3920" s="28"/>
      <c r="G3920" s="28"/>
      <c r="H3920" s="28"/>
      <c r="I3920" s="28"/>
      <c r="J3920" s="28"/>
      <c r="K3920" s="28"/>
      <c r="L3920" s="28"/>
      <c r="M3920" s="28"/>
      <c r="N3920" s="28"/>
      <c r="O3920" s="28"/>
      <c r="P3920" s="28"/>
      <c r="Q3920" s="28"/>
      <c r="R3920" s="28"/>
      <c r="S3920" s="28"/>
    </row>
    <row r="3921" spans="1:19" x14ac:dyDescent="0.25">
      <c r="A3921" s="28"/>
      <c r="B3921" s="28"/>
      <c r="C3921" s="28"/>
      <c r="D3921" s="28"/>
      <c r="E3921" s="28"/>
      <c r="F3921" s="28"/>
      <c r="G3921" s="28"/>
      <c r="H3921" s="28"/>
      <c r="I3921" s="28"/>
      <c r="J3921" s="28"/>
      <c r="K3921" s="28"/>
      <c r="L3921" s="28"/>
      <c r="M3921" s="28"/>
      <c r="N3921" s="28"/>
      <c r="O3921" s="28"/>
      <c r="P3921" s="28"/>
      <c r="Q3921" s="28"/>
      <c r="R3921" s="28"/>
      <c r="S3921" s="28"/>
    </row>
    <row r="3922" spans="1:19" x14ac:dyDescent="0.25">
      <c r="A3922" s="28"/>
      <c r="B3922" s="28"/>
      <c r="C3922" s="28"/>
      <c r="D3922" s="28"/>
      <c r="E3922" s="28"/>
      <c r="F3922" s="28"/>
      <c r="G3922" s="28"/>
      <c r="H3922" s="28"/>
      <c r="I3922" s="28"/>
      <c r="J3922" s="28"/>
      <c r="K3922" s="28"/>
      <c r="L3922" s="28"/>
      <c r="M3922" s="28"/>
      <c r="N3922" s="28"/>
      <c r="O3922" s="28"/>
      <c r="P3922" s="28"/>
      <c r="Q3922" s="28"/>
      <c r="R3922" s="28"/>
      <c r="S3922" s="28"/>
    </row>
    <row r="3923" spans="1:19" x14ac:dyDescent="0.25">
      <c r="A3923" s="28"/>
      <c r="B3923" s="28"/>
      <c r="C3923" s="28"/>
      <c r="D3923" s="28"/>
      <c r="E3923" s="28"/>
      <c r="F3923" s="28"/>
      <c r="G3923" s="28"/>
      <c r="H3923" s="28"/>
      <c r="I3923" s="28"/>
      <c r="J3923" s="28"/>
      <c r="K3923" s="28"/>
      <c r="L3923" s="28"/>
      <c r="M3923" s="28"/>
      <c r="N3923" s="28"/>
      <c r="O3923" s="28"/>
      <c r="P3923" s="28"/>
      <c r="Q3923" s="28"/>
      <c r="R3923" s="28"/>
      <c r="S3923" s="28"/>
    </row>
    <row r="3924" spans="1:19" x14ac:dyDescent="0.25">
      <c r="A3924" s="28"/>
      <c r="B3924" s="28"/>
      <c r="C3924" s="28"/>
      <c r="D3924" s="28"/>
      <c r="E3924" s="28"/>
      <c r="F3924" s="28"/>
      <c r="G3924" s="28"/>
      <c r="H3924" s="28"/>
      <c r="I3924" s="28"/>
      <c r="J3924" s="28"/>
      <c r="K3924" s="28"/>
      <c r="L3924" s="28"/>
      <c r="M3924" s="28"/>
      <c r="N3924" s="28"/>
      <c r="O3924" s="28"/>
      <c r="P3924" s="28"/>
      <c r="Q3924" s="28"/>
      <c r="R3924" s="28"/>
      <c r="S3924" s="28"/>
    </row>
    <row r="3925" spans="1:19" x14ac:dyDescent="0.25">
      <c r="A3925" s="28"/>
      <c r="B3925" s="28"/>
      <c r="C3925" s="28"/>
      <c r="D3925" s="28"/>
      <c r="E3925" s="28"/>
      <c r="F3925" s="28"/>
      <c r="G3925" s="28"/>
      <c r="H3925" s="28"/>
      <c r="I3925" s="28"/>
      <c r="J3925" s="28"/>
      <c r="K3925" s="28"/>
      <c r="L3925" s="28"/>
      <c r="M3925" s="28"/>
      <c r="N3925" s="28"/>
      <c r="O3925" s="28"/>
      <c r="P3925" s="28"/>
      <c r="Q3925" s="28"/>
      <c r="R3925" s="28"/>
      <c r="S3925" s="28"/>
    </row>
    <row r="3926" spans="1:19" x14ac:dyDescent="0.25">
      <c r="A3926" s="28"/>
      <c r="B3926" s="28"/>
      <c r="C3926" s="28"/>
      <c r="D3926" s="28"/>
      <c r="E3926" s="28"/>
      <c r="F3926" s="28"/>
      <c r="G3926" s="28"/>
      <c r="H3926" s="28"/>
      <c r="I3926" s="28"/>
      <c r="J3926" s="28"/>
      <c r="K3926" s="28"/>
      <c r="L3926" s="28"/>
      <c r="M3926" s="28"/>
      <c r="N3926" s="28"/>
      <c r="O3926" s="28"/>
      <c r="P3926" s="28"/>
      <c r="Q3926" s="28"/>
      <c r="R3926" s="28"/>
      <c r="S3926" s="28"/>
    </row>
    <row r="3927" spans="1:19" x14ac:dyDescent="0.25">
      <c r="A3927" s="28"/>
      <c r="B3927" s="28"/>
      <c r="C3927" s="28"/>
      <c r="D3927" s="28"/>
      <c r="E3927" s="28"/>
      <c r="F3927" s="28"/>
      <c r="G3927" s="28"/>
      <c r="H3927" s="28"/>
      <c r="I3927" s="28"/>
      <c r="J3927" s="28"/>
      <c r="K3927" s="28"/>
      <c r="L3927" s="28"/>
      <c r="M3927" s="28"/>
      <c r="N3927" s="28"/>
      <c r="O3927" s="28"/>
      <c r="P3927" s="28"/>
      <c r="Q3927" s="28"/>
      <c r="R3927" s="28"/>
      <c r="S3927" s="28"/>
    </row>
    <row r="3928" spans="1:19" x14ac:dyDescent="0.25">
      <c r="A3928" s="28"/>
      <c r="B3928" s="28"/>
      <c r="C3928" s="28"/>
      <c r="D3928" s="28"/>
      <c r="E3928" s="28"/>
      <c r="F3928" s="28"/>
      <c r="G3928" s="28"/>
      <c r="H3928" s="28"/>
      <c r="I3928" s="28"/>
      <c r="J3928" s="28"/>
      <c r="K3928" s="28"/>
      <c r="L3928" s="28"/>
      <c r="M3928" s="28"/>
      <c r="N3928" s="28"/>
      <c r="O3928" s="28"/>
      <c r="P3928" s="28"/>
      <c r="Q3928" s="28"/>
      <c r="R3928" s="28"/>
      <c r="S3928" s="28"/>
    </row>
    <row r="3929" spans="1:19" x14ac:dyDescent="0.25">
      <c r="A3929" s="28"/>
      <c r="B3929" s="28"/>
      <c r="C3929" s="28"/>
      <c r="D3929" s="28"/>
      <c r="E3929" s="28"/>
      <c r="F3929" s="28"/>
      <c r="G3929" s="28"/>
      <c r="H3929" s="28"/>
      <c r="I3929" s="28"/>
      <c r="J3929" s="28"/>
      <c r="K3929" s="28"/>
      <c r="L3929" s="28"/>
      <c r="M3929" s="28"/>
      <c r="N3929" s="28"/>
      <c r="O3929" s="28"/>
      <c r="P3929" s="28"/>
      <c r="Q3929" s="28"/>
      <c r="R3929" s="28"/>
      <c r="S3929" s="28"/>
    </row>
    <row r="3930" spans="1:19" x14ac:dyDescent="0.25">
      <c r="A3930" s="28"/>
      <c r="B3930" s="28"/>
      <c r="C3930" s="28"/>
      <c r="D3930" s="28"/>
      <c r="E3930" s="28"/>
      <c r="F3930" s="28"/>
      <c r="G3930" s="28"/>
      <c r="H3930" s="28"/>
      <c r="I3930" s="28"/>
      <c r="J3930" s="28"/>
      <c r="K3930" s="28"/>
      <c r="L3930" s="28"/>
      <c r="M3930" s="28"/>
      <c r="N3930" s="28"/>
      <c r="O3930" s="28"/>
      <c r="P3930" s="28"/>
      <c r="Q3930" s="28"/>
      <c r="R3930" s="28"/>
      <c r="S3930" s="28"/>
    </row>
    <row r="3931" spans="1:19" x14ac:dyDescent="0.25">
      <c r="A3931" s="28"/>
      <c r="B3931" s="28"/>
      <c r="C3931" s="28"/>
      <c r="D3931" s="28"/>
      <c r="E3931" s="28"/>
      <c r="F3931" s="28"/>
      <c r="G3931" s="28"/>
      <c r="H3931" s="28"/>
      <c r="I3931" s="28"/>
      <c r="J3931" s="28"/>
      <c r="K3931" s="28"/>
      <c r="L3931" s="28"/>
      <c r="M3931" s="28"/>
      <c r="N3931" s="28"/>
      <c r="O3931" s="28"/>
      <c r="P3931" s="28"/>
      <c r="Q3931" s="28"/>
      <c r="R3931" s="28"/>
      <c r="S3931" s="28"/>
    </row>
    <row r="3932" spans="1:19" x14ac:dyDescent="0.25">
      <c r="A3932" s="28"/>
      <c r="B3932" s="28"/>
      <c r="C3932" s="28"/>
      <c r="D3932" s="28"/>
      <c r="E3932" s="28"/>
      <c r="F3932" s="28"/>
      <c r="G3932" s="28"/>
      <c r="H3932" s="28"/>
      <c r="I3932" s="28"/>
      <c r="J3932" s="28"/>
      <c r="K3932" s="28"/>
      <c r="L3932" s="28"/>
      <c r="M3932" s="28"/>
      <c r="N3932" s="28"/>
      <c r="O3932" s="28"/>
      <c r="P3932" s="28"/>
      <c r="Q3932" s="28"/>
      <c r="R3932" s="28"/>
      <c r="S3932" s="28"/>
    </row>
    <row r="3933" spans="1:19" x14ac:dyDescent="0.25">
      <c r="A3933" s="28"/>
      <c r="B3933" s="28"/>
      <c r="C3933" s="28"/>
      <c r="D3933" s="28"/>
      <c r="E3933" s="28"/>
      <c r="F3933" s="28"/>
      <c r="G3933" s="28"/>
      <c r="H3933" s="28"/>
      <c r="I3933" s="28"/>
      <c r="J3933" s="28"/>
      <c r="K3933" s="28"/>
      <c r="L3933" s="28"/>
      <c r="M3933" s="28"/>
      <c r="N3933" s="28"/>
      <c r="O3933" s="28"/>
      <c r="P3933" s="28"/>
      <c r="Q3933" s="28"/>
      <c r="R3933" s="28"/>
      <c r="S3933" s="28"/>
    </row>
    <row r="3934" spans="1:19" x14ac:dyDescent="0.25">
      <c r="A3934" s="28"/>
      <c r="B3934" s="28"/>
      <c r="C3934" s="28"/>
      <c r="D3934" s="28"/>
      <c r="E3934" s="28"/>
      <c r="F3934" s="28"/>
      <c r="G3934" s="28"/>
      <c r="H3934" s="28"/>
      <c r="I3934" s="28"/>
      <c r="J3934" s="28"/>
      <c r="K3934" s="28"/>
      <c r="L3934" s="28"/>
      <c r="M3934" s="28"/>
      <c r="N3934" s="28"/>
      <c r="O3934" s="28"/>
      <c r="P3934" s="28"/>
      <c r="Q3934" s="28"/>
      <c r="R3934" s="28"/>
      <c r="S3934" s="28"/>
    </row>
    <row r="3935" spans="1:19" x14ac:dyDescent="0.25">
      <c r="A3935" s="28"/>
      <c r="B3935" s="28"/>
      <c r="C3935" s="28"/>
      <c r="D3935" s="28"/>
      <c r="E3935" s="28"/>
      <c r="F3935" s="28"/>
      <c r="G3935" s="28"/>
      <c r="H3935" s="28"/>
      <c r="I3935" s="28"/>
      <c r="J3935" s="28"/>
      <c r="K3935" s="28"/>
      <c r="L3935" s="28"/>
      <c r="M3935" s="28"/>
      <c r="N3935" s="28"/>
      <c r="O3935" s="28"/>
      <c r="P3935" s="28"/>
      <c r="Q3935" s="28"/>
      <c r="R3935" s="28"/>
      <c r="S3935" s="28"/>
    </row>
    <row r="3936" spans="1:19" x14ac:dyDescent="0.25">
      <c r="A3936" s="28"/>
      <c r="B3936" s="28"/>
      <c r="C3936" s="28"/>
      <c r="D3936" s="28"/>
      <c r="E3936" s="28"/>
      <c r="F3936" s="28"/>
      <c r="G3936" s="28"/>
      <c r="H3936" s="28"/>
      <c r="I3936" s="28"/>
      <c r="J3936" s="28"/>
      <c r="K3936" s="28"/>
      <c r="L3936" s="28"/>
      <c r="M3936" s="28"/>
      <c r="N3936" s="28"/>
      <c r="O3936" s="28"/>
      <c r="P3936" s="28"/>
      <c r="Q3936" s="28"/>
      <c r="R3936" s="28"/>
      <c r="S3936" s="28"/>
    </row>
    <row r="3937" spans="1:19" x14ac:dyDescent="0.25">
      <c r="A3937" s="28"/>
      <c r="B3937" s="28"/>
      <c r="C3937" s="28"/>
      <c r="D3937" s="28"/>
      <c r="E3937" s="28"/>
      <c r="F3937" s="28"/>
      <c r="G3937" s="28"/>
      <c r="H3937" s="28"/>
      <c r="I3937" s="28"/>
      <c r="J3937" s="28"/>
      <c r="K3937" s="28"/>
      <c r="L3937" s="28"/>
      <c r="M3937" s="28"/>
      <c r="N3937" s="28"/>
      <c r="O3937" s="28"/>
      <c r="P3937" s="28"/>
      <c r="Q3937" s="28"/>
      <c r="R3937" s="28"/>
      <c r="S3937" s="28"/>
    </row>
    <row r="3938" spans="1:19" x14ac:dyDescent="0.25">
      <c r="A3938" s="28"/>
      <c r="B3938" s="28"/>
      <c r="C3938" s="28"/>
      <c r="D3938" s="28"/>
      <c r="E3938" s="28"/>
      <c r="F3938" s="28"/>
      <c r="G3938" s="28"/>
      <c r="H3938" s="28"/>
      <c r="I3938" s="28"/>
      <c r="J3938" s="28"/>
      <c r="K3938" s="28"/>
      <c r="L3938" s="28"/>
      <c r="M3938" s="28"/>
      <c r="N3938" s="28"/>
      <c r="O3938" s="28"/>
      <c r="P3938" s="28"/>
      <c r="Q3938" s="28"/>
      <c r="R3938" s="28"/>
      <c r="S3938" s="28"/>
    </row>
    <row r="3939" spans="1:19" x14ac:dyDescent="0.25">
      <c r="A3939" s="28"/>
      <c r="B3939" s="28"/>
      <c r="C3939" s="28"/>
      <c r="D3939" s="28"/>
      <c r="E3939" s="28"/>
      <c r="F3939" s="28"/>
      <c r="G3939" s="28"/>
      <c r="H3939" s="28"/>
      <c r="I3939" s="28"/>
      <c r="J3939" s="28"/>
      <c r="K3939" s="28"/>
      <c r="L3939" s="28"/>
      <c r="M3939" s="28"/>
      <c r="N3939" s="28"/>
      <c r="O3939" s="28"/>
      <c r="P3939" s="28"/>
      <c r="Q3939" s="28"/>
      <c r="R3939" s="28"/>
      <c r="S3939" s="28"/>
    </row>
    <row r="3940" spans="1:19" x14ac:dyDescent="0.25">
      <c r="A3940" s="28"/>
      <c r="B3940" s="28"/>
      <c r="C3940" s="28"/>
      <c r="D3940" s="28"/>
      <c r="E3940" s="28"/>
      <c r="F3940" s="28"/>
      <c r="G3940" s="28"/>
      <c r="H3940" s="28"/>
      <c r="I3940" s="28"/>
      <c r="J3940" s="28"/>
      <c r="K3940" s="28"/>
      <c r="L3940" s="28"/>
      <c r="M3940" s="28"/>
      <c r="N3940" s="28"/>
      <c r="O3940" s="28"/>
      <c r="P3940" s="28"/>
      <c r="Q3940" s="28"/>
      <c r="R3940" s="28"/>
      <c r="S3940" s="28"/>
    </row>
    <row r="3941" spans="1:19" x14ac:dyDescent="0.25">
      <c r="A3941" s="28"/>
      <c r="B3941" s="28"/>
      <c r="C3941" s="28"/>
      <c r="D3941" s="28"/>
      <c r="E3941" s="28"/>
      <c r="F3941" s="28"/>
      <c r="G3941" s="28"/>
      <c r="H3941" s="28"/>
      <c r="I3941" s="28"/>
      <c r="J3941" s="28"/>
      <c r="K3941" s="28"/>
      <c r="L3941" s="28"/>
      <c r="M3941" s="28"/>
      <c r="N3941" s="28"/>
      <c r="O3941" s="28"/>
      <c r="P3941" s="28"/>
      <c r="Q3941" s="28"/>
      <c r="R3941" s="28"/>
      <c r="S3941" s="28"/>
    </row>
    <row r="3942" spans="1:19" x14ac:dyDescent="0.25">
      <c r="A3942" s="28"/>
      <c r="B3942" s="28"/>
      <c r="C3942" s="28"/>
      <c r="D3942" s="28"/>
      <c r="E3942" s="28"/>
      <c r="F3942" s="28"/>
      <c r="G3942" s="28"/>
      <c r="H3942" s="28"/>
      <c r="I3942" s="28"/>
      <c r="J3942" s="28"/>
      <c r="K3942" s="28"/>
      <c r="L3942" s="28"/>
      <c r="M3942" s="28"/>
      <c r="N3942" s="28"/>
      <c r="O3942" s="28"/>
      <c r="P3942" s="28"/>
      <c r="Q3942" s="28"/>
      <c r="R3942" s="28"/>
      <c r="S3942" s="28"/>
    </row>
    <row r="3943" spans="1:19" x14ac:dyDescent="0.25">
      <c r="A3943" s="28"/>
      <c r="B3943" s="28"/>
      <c r="C3943" s="28"/>
      <c r="D3943" s="28"/>
      <c r="E3943" s="28"/>
      <c r="F3943" s="28"/>
      <c r="G3943" s="28"/>
      <c r="H3943" s="28"/>
      <c r="I3943" s="28"/>
      <c r="J3943" s="28"/>
      <c r="K3943" s="28"/>
      <c r="L3943" s="28"/>
      <c r="M3943" s="28"/>
      <c r="N3943" s="28"/>
      <c r="O3943" s="28"/>
      <c r="P3943" s="28"/>
      <c r="Q3943" s="28"/>
      <c r="R3943" s="28"/>
      <c r="S3943" s="28"/>
    </row>
    <row r="3944" spans="1:19" x14ac:dyDescent="0.25">
      <c r="A3944" s="28"/>
      <c r="B3944" s="28"/>
      <c r="C3944" s="28"/>
      <c r="D3944" s="28"/>
      <c r="E3944" s="28"/>
      <c r="F3944" s="28"/>
      <c r="G3944" s="28"/>
      <c r="H3944" s="28"/>
      <c r="I3944" s="28"/>
      <c r="J3944" s="28"/>
      <c r="K3944" s="28"/>
      <c r="L3944" s="28"/>
      <c r="M3944" s="28"/>
      <c r="N3944" s="28"/>
      <c r="O3944" s="28"/>
      <c r="P3944" s="28"/>
      <c r="Q3944" s="28"/>
      <c r="R3944" s="28"/>
      <c r="S3944" s="28"/>
    </row>
    <row r="3945" spans="1:19" x14ac:dyDescent="0.25">
      <c r="A3945" s="28"/>
      <c r="B3945" s="28"/>
      <c r="C3945" s="28"/>
      <c r="D3945" s="28"/>
      <c r="E3945" s="28"/>
      <c r="F3945" s="28"/>
      <c r="G3945" s="28"/>
      <c r="H3945" s="28"/>
      <c r="I3945" s="28"/>
      <c r="J3945" s="28"/>
      <c r="K3945" s="28"/>
      <c r="L3945" s="28"/>
      <c r="M3945" s="28"/>
      <c r="N3945" s="28"/>
      <c r="O3945" s="28"/>
      <c r="P3945" s="28"/>
      <c r="Q3945" s="28"/>
      <c r="R3945" s="28"/>
      <c r="S3945" s="28"/>
    </row>
    <row r="3946" spans="1:19" x14ac:dyDescent="0.25">
      <c r="A3946" s="28"/>
      <c r="B3946" s="28"/>
      <c r="C3946" s="28"/>
      <c r="D3946" s="28"/>
      <c r="E3946" s="28"/>
      <c r="F3946" s="28"/>
      <c r="G3946" s="28"/>
      <c r="H3946" s="28"/>
      <c r="I3946" s="28"/>
      <c r="J3946" s="28"/>
      <c r="K3946" s="28"/>
      <c r="L3946" s="28"/>
      <c r="M3946" s="28"/>
      <c r="N3946" s="28"/>
      <c r="O3946" s="28"/>
      <c r="P3946" s="28"/>
      <c r="Q3946" s="28"/>
      <c r="R3946" s="28"/>
      <c r="S3946" s="28"/>
    </row>
    <row r="3947" spans="1:19" x14ac:dyDescent="0.25">
      <c r="A3947" s="28"/>
      <c r="B3947" s="28"/>
      <c r="C3947" s="28"/>
      <c r="D3947" s="28"/>
      <c r="E3947" s="28"/>
      <c r="F3947" s="28"/>
      <c r="G3947" s="28"/>
      <c r="H3947" s="28"/>
      <c r="I3947" s="28"/>
      <c r="J3947" s="28"/>
      <c r="K3947" s="28"/>
      <c r="L3947" s="28"/>
      <c r="M3947" s="28"/>
      <c r="N3947" s="28"/>
      <c r="O3947" s="28"/>
      <c r="P3947" s="28"/>
      <c r="Q3947" s="28"/>
      <c r="R3947" s="28"/>
      <c r="S3947" s="28"/>
    </row>
    <row r="3948" spans="1:19" x14ac:dyDescent="0.25">
      <c r="A3948" s="28"/>
      <c r="B3948" s="28"/>
      <c r="C3948" s="28"/>
      <c r="D3948" s="28"/>
      <c r="E3948" s="28"/>
      <c r="F3948" s="28"/>
      <c r="G3948" s="28"/>
      <c r="H3948" s="28"/>
      <c r="I3948" s="28"/>
      <c r="J3948" s="28"/>
      <c r="K3948" s="28"/>
      <c r="L3948" s="28"/>
      <c r="M3948" s="28"/>
      <c r="N3948" s="28"/>
      <c r="O3948" s="28"/>
      <c r="P3948" s="28"/>
      <c r="Q3948" s="28"/>
      <c r="R3948" s="28"/>
      <c r="S3948" s="28"/>
    </row>
    <row r="3949" spans="1:19" x14ac:dyDescent="0.25">
      <c r="A3949" s="28"/>
      <c r="B3949" s="28"/>
      <c r="C3949" s="28"/>
      <c r="D3949" s="28"/>
      <c r="E3949" s="28"/>
      <c r="F3949" s="28"/>
      <c r="G3949" s="28"/>
      <c r="H3949" s="28"/>
      <c r="I3949" s="28"/>
      <c r="J3949" s="28"/>
      <c r="K3949" s="28"/>
      <c r="L3949" s="28"/>
      <c r="M3949" s="28"/>
      <c r="N3949" s="28"/>
      <c r="O3949" s="28"/>
      <c r="P3949" s="28"/>
      <c r="Q3949" s="28"/>
      <c r="R3949" s="28"/>
      <c r="S3949" s="28"/>
    </row>
    <row r="3950" spans="1:19" x14ac:dyDescent="0.25">
      <c r="A3950" s="28"/>
      <c r="B3950" s="28"/>
      <c r="C3950" s="28"/>
      <c r="D3950" s="28"/>
      <c r="E3950" s="28"/>
      <c r="F3950" s="28"/>
      <c r="G3950" s="28"/>
      <c r="H3950" s="28"/>
      <c r="I3950" s="28"/>
      <c r="J3950" s="28"/>
      <c r="K3950" s="28"/>
      <c r="L3950" s="28"/>
      <c r="M3950" s="28"/>
      <c r="N3950" s="28"/>
      <c r="O3950" s="28"/>
      <c r="P3950" s="28"/>
      <c r="Q3950" s="28"/>
      <c r="R3950" s="28"/>
      <c r="S3950" s="28"/>
    </row>
    <row r="3951" spans="1:19" x14ac:dyDescent="0.25">
      <c r="A3951" s="28"/>
      <c r="B3951" s="28"/>
      <c r="C3951" s="28"/>
      <c r="D3951" s="28"/>
      <c r="E3951" s="28"/>
      <c r="F3951" s="28"/>
      <c r="G3951" s="28"/>
      <c r="H3951" s="28"/>
      <c r="I3951" s="28"/>
      <c r="J3951" s="28"/>
      <c r="K3951" s="28"/>
      <c r="L3951" s="28"/>
      <c r="M3951" s="28"/>
      <c r="N3951" s="28"/>
      <c r="O3951" s="28"/>
      <c r="P3951" s="28"/>
      <c r="Q3951" s="28"/>
      <c r="R3951" s="28"/>
      <c r="S3951" s="28"/>
    </row>
    <row r="3952" spans="1:19" x14ac:dyDescent="0.25">
      <c r="A3952" s="28"/>
      <c r="B3952" s="28"/>
      <c r="C3952" s="28"/>
      <c r="D3952" s="28"/>
      <c r="E3952" s="28"/>
      <c r="F3952" s="28"/>
      <c r="G3952" s="28"/>
      <c r="H3952" s="28"/>
      <c r="I3952" s="28"/>
      <c r="J3952" s="28"/>
      <c r="K3952" s="28"/>
      <c r="L3952" s="28"/>
      <c r="M3952" s="28"/>
      <c r="N3952" s="28"/>
      <c r="O3952" s="28"/>
      <c r="P3952" s="28"/>
      <c r="Q3952" s="28"/>
      <c r="R3952" s="28"/>
      <c r="S3952" s="28"/>
    </row>
    <row r="3953" spans="1:19" x14ac:dyDescent="0.25">
      <c r="A3953" s="28"/>
      <c r="B3953" s="28"/>
      <c r="C3953" s="28"/>
      <c r="D3953" s="28"/>
      <c r="E3953" s="28"/>
      <c r="F3953" s="28"/>
      <c r="G3953" s="28"/>
      <c r="H3953" s="28"/>
      <c r="I3953" s="28"/>
      <c r="J3953" s="28"/>
      <c r="K3953" s="28"/>
      <c r="L3953" s="28"/>
      <c r="M3953" s="28"/>
      <c r="N3953" s="28"/>
      <c r="O3953" s="28"/>
      <c r="P3953" s="28"/>
      <c r="Q3953" s="28"/>
      <c r="R3953" s="28"/>
      <c r="S3953" s="28"/>
    </row>
    <row r="3954" spans="1:19" x14ac:dyDescent="0.25">
      <c r="A3954" s="28"/>
      <c r="B3954" s="28"/>
      <c r="C3954" s="28"/>
      <c r="D3954" s="28"/>
      <c r="E3954" s="28"/>
      <c r="F3954" s="28"/>
      <c r="G3954" s="28"/>
      <c r="H3954" s="28"/>
      <c r="I3954" s="28"/>
      <c r="J3954" s="28"/>
      <c r="K3954" s="28"/>
      <c r="L3954" s="28"/>
      <c r="M3954" s="28"/>
      <c r="N3954" s="28"/>
      <c r="O3954" s="28"/>
      <c r="P3954" s="28"/>
      <c r="Q3954" s="28"/>
      <c r="R3954" s="28"/>
      <c r="S3954" s="28"/>
    </row>
    <row r="3955" spans="1:19" x14ac:dyDescent="0.25">
      <c r="A3955" s="28"/>
      <c r="B3955" s="28"/>
      <c r="C3955" s="28"/>
      <c r="D3955" s="28"/>
      <c r="E3955" s="28"/>
      <c r="F3955" s="28"/>
      <c r="G3955" s="28"/>
      <c r="H3955" s="28"/>
      <c r="I3955" s="28"/>
      <c r="J3955" s="28"/>
      <c r="K3955" s="28"/>
      <c r="L3955" s="28"/>
      <c r="M3955" s="28"/>
      <c r="N3955" s="28"/>
      <c r="O3955" s="28"/>
      <c r="P3955" s="28"/>
      <c r="Q3955" s="28"/>
      <c r="R3955" s="28"/>
      <c r="S3955" s="28"/>
    </row>
    <row r="3956" spans="1:19" x14ac:dyDescent="0.25">
      <c r="A3956" s="28"/>
      <c r="B3956" s="28"/>
      <c r="C3956" s="28"/>
      <c r="D3956" s="28"/>
      <c r="E3956" s="28"/>
      <c r="F3956" s="28"/>
      <c r="G3956" s="28"/>
      <c r="H3956" s="28"/>
      <c r="I3956" s="28"/>
      <c r="J3956" s="28"/>
      <c r="K3956" s="28"/>
      <c r="L3956" s="28"/>
      <c r="M3956" s="28"/>
      <c r="N3956" s="28"/>
      <c r="O3956" s="28"/>
      <c r="P3956" s="28"/>
      <c r="Q3956" s="28"/>
      <c r="R3956" s="28"/>
      <c r="S3956" s="28"/>
    </row>
    <row r="3957" spans="1:19" x14ac:dyDescent="0.25">
      <c r="A3957" s="28"/>
      <c r="B3957" s="28"/>
      <c r="C3957" s="28"/>
      <c r="D3957" s="28"/>
      <c r="E3957" s="28"/>
      <c r="F3957" s="28"/>
      <c r="G3957" s="28"/>
      <c r="H3957" s="28"/>
      <c r="I3957" s="28"/>
      <c r="J3957" s="28"/>
      <c r="K3957" s="28"/>
      <c r="L3957" s="28"/>
      <c r="M3957" s="28"/>
      <c r="N3957" s="28"/>
      <c r="O3957" s="28"/>
      <c r="P3957" s="28"/>
      <c r="Q3957" s="28"/>
      <c r="R3957" s="28"/>
      <c r="S3957" s="28"/>
    </row>
    <row r="3958" spans="1:19" x14ac:dyDescent="0.25">
      <c r="A3958" s="28"/>
      <c r="B3958" s="28"/>
      <c r="C3958" s="28"/>
      <c r="D3958" s="28"/>
      <c r="E3958" s="28"/>
      <c r="F3958" s="28"/>
      <c r="G3958" s="28"/>
      <c r="H3958" s="28"/>
      <c r="I3958" s="28"/>
      <c r="J3958" s="28"/>
      <c r="K3958" s="28"/>
      <c r="L3958" s="28"/>
      <c r="M3958" s="28"/>
      <c r="N3958" s="28"/>
      <c r="O3958" s="28"/>
      <c r="P3958" s="28"/>
      <c r="Q3958" s="28"/>
      <c r="R3958" s="28"/>
      <c r="S3958" s="28"/>
    </row>
    <row r="3959" spans="1:19" x14ac:dyDescent="0.25">
      <c r="A3959" s="28"/>
      <c r="B3959" s="28"/>
      <c r="C3959" s="28"/>
      <c r="D3959" s="28"/>
      <c r="E3959" s="28"/>
      <c r="F3959" s="28"/>
      <c r="G3959" s="28"/>
      <c r="H3959" s="28"/>
      <c r="I3959" s="28"/>
      <c r="J3959" s="28"/>
      <c r="K3959" s="28"/>
      <c r="L3959" s="28"/>
      <c r="M3959" s="28"/>
      <c r="N3959" s="28"/>
      <c r="O3959" s="28"/>
      <c r="P3959" s="28"/>
      <c r="Q3959" s="28"/>
      <c r="R3959" s="28"/>
      <c r="S3959" s="28"/>
    </row>
    <row r="3960" spans="1:19" x14ac:dyDescent="0.25">
      <c r="A3960" s="28"/>
      <c r="B3960" s="28"/>
      <c r="C3960" s="28"/>
      <c r="D3960" s="28"/>
      <c r="E3960" s="28"/>
      <c r="F3960" s="28"/>
      <c r="G3960" s="28"/>
      <c r="H3960" s="28"/>
      <c r="I3960" s="28"/>
      <c r="J3960" s="28"/>
      <c r="K3960" s="28"/>
      <c r="L3960" s="28"/>
      <c r="M3960" s="28"/>
      <c r="N3960" s="28"/>
      <c r="O3960" s="28"/>
      <c r="P3960" s="28"/>
      <c r="Q3960" s="28"/>
      <c r="R3960" s="28"/>
      <c r="S3960" s="28"/>
    </row>
    <row r="3961" spans="1:19" x14ac:dyDescent="0.25">
      <c r="A3961" s="28"/>
      <c r="B3961" s="28"/>
      <c r="C3961" s="28"/>
      <c r="D3961" s="28"/>
      <c r="E3961" s="28"/>
      <c r="F3961" s="28"/>
      <c r="G3961" s="28"/>
      <c r="H3961" s="28"/>
      <c r="I3961" s="28"/>
      <c r="J3961" s="28"/>
      <c r="K3961" s="28"/>
      <c r="L3961" s="28"/>
      <c r="M3961" s="28"/>
      <c r="N3961" s="28"/>
      <c r="O3961" s="28"/>
      <c r="P3961" s="28"/>
      <c r="Q3961" s="28"/>
      <c r="R3961" s="28"/>
      <c r="S3961" s="28"/>
    </row>
    <row r="3962" spans="1:19" x14ac:dyDescent="0.25">
      <c r="A3962" s="28"/>
      <c r="B3962" s="28"/>
      <c r="C3962" s="28"/>
      <c r="D3962" s="28"/>
      <c r="E3962" s="28"/>
      <c r="F3962" s="28"/>
      <c r="G3962" s="28"/>
      <c r="H3962" s="28"/>
      <c r="I3962" s="28"/>
      <c r="J3962" s="28"/>
      <c r="K3962" s="28"/>
      <c r="L3962" s="28"/>
      <c r="M3962" s="28"/>
      <c r="N3962" s="28"/>
      <c r="O3962" s="28"/>
      <c r="P3962" s="28"/>
      <c r="Q3962" s="28"/>
      <c r="R3962" s="28"/>
      <c r="S3962" s="28"/>
    </row>
    <row r="3963" spans="1:19" x14ac:dyDescent="0.25">
      <c r="A3963" s="28"/>
      <c r="B3963" s="28"/>
      <c r="C3963" s="28"/>
      <c r="D3963" s="28"/>
      <c r="E3963" s="28"/>
      <c r="F3963" s="28"/>
      <c r="G3963" s="28"/>
      <c r="H3963" s="28"/>
      <c r="I3963" s="28"/>
      <c r="J3963" s="28"/>
      <c r="K3963" s="28"/>
      <c r="L3963" s="28"/>
      <c r="M3963" s="28"/>
      <c r="N3963" s="28"/>
      <c r="O3963" s="28"/>
      <c r="P3963" s="28"/>
      <c r="Q3963" s="28"/>
      <c r="R3963" s="28"/>
      <c r="S3963" s="28"/>
    </row>
    <row r="3964" spans="1:19" x14ac:dyDescent="0.25">
      <c r="A3964" s="28"/>
      <c r="B3964" s="28"/>
      <c r="C3964" s="28"/>
      <c r="D3964" s="28"/>
      <c r="E3964" s="28"/>
      <c r="F3964" s="28"/>
      <c r="G3964" s="28"/>
      <c r="H3964" s="28"/>
      <c r="I3964" s="28"/>
      <c r="J3964" s="28"/>
      <c r="K3964" s="28"/>
      <c r="L3964" s="28"/>
      <c r="M3964" s="28"/>
      <c r="N3964" s="28"/>
      <c r="O3964" s="28"/>
      <c r="P3964" s="28"/>
      <c r="Q3964" s="28"/>
      <c r="R3964" s="28"/>
      <c r="S3964" s="28"/>
    </row>
    <row r="3965" spans="1:19" x14ac:dyDescent="0.25">
      <c r="A3965" s="28"/>
      <c r="B3965" s="28"/>
      <c r="C3965" s="28"/>
      <c r="D3965" s="28"/>
      <c r="E3965" s="28"/>
      <c r="F3965" s="28"/>
      <c r="G3965" s="28"/>
      <c r="H3965" s="28"/>
      <c r="I3965" s="28"/>
      <c r="J3965" s="28"/>
      <c r="K3965" s="28"/>
      <c r="L3965" s="28"/>
      <c r="M3965" s="28"/>
      <c r="N3965" s="28"/>
      <c r="O3965" s="28"/>
      <c r="P3965" s="28"/>
      <c r="Q3965" s="28"/>
      <c r="R3965" s="28"/>
      <c r="S3965" s="28"/>
    </row>
    <row r="3966" spans="1:19" x14ac:dyDescent="0.25">
      <c r="A3966" s="28"/>
      <c r="B3966" s="28"/>
      <c r="C3966" s="28"/>
      <c r="D3966" s="28"/>
      <c r="E3966" s="28"/>
      <c r="F3966" s="28"/>
      <c r="G3966" s="28"/>
      <c r="H3966" s="28"/>
      <c r="I3966" s="28"/>
      <c r="J3966" s="28"/>
      <c r="K3966" s="28"/>
      <c r="L3966" s="28"/>
      <c r="M3966" s="28"/>
      <c r="N3966" s="28"/>
      <c r="O3966" s="28"/>
      <c r="P3966" s="28"/>
      <c r="Q3966" s="28"/>
      <c r="R3966" s="28"/>
      <c r="S3966" s="28"/>
    </row>
    <row r="3967" spans="1:19" x14ac:dyDescent="0.25">
      <c r="A3967" s="28"/>
      <c r="B3967" s="28"/>
      <c r="C3967" s="28"/>
      <c r="D3967" s="28"/>
      <c r="E3967" s="28"/>
      <c r="F3967" s="28"/>
      <c r="G3967" s="28"/>
      <c r="H3967" s="28"/>
      <c r="I3967" s="28"/>
      <c r="J3967" s="28"/>
      <c r="K3967" s="28"/>
      <c r="L3967" s="28"/>
      <c r="M3967" s="28"/>
      <c r="N3967" s="28"/>
      <c r="O3967" s="28"/>
      <c r="P3967" s="28"/>
      <c r="Q3967" s="28"/>
      <c r="R3967" s="28"/>
      <c r="S3967" s="28"/>
    </row>
    <row r="3968" spans="1:19" x14ac:dyDescent="0.25">
      <c r="A3968" s="28"/>
      <c r="B3968" s="28"/>
      <c r="C3968" s="28"/>
      <c r="D3968" s="28"/>
      <c r="E3968" s="28"/>
      <c r="F3968" s="28"/>
      <c r="G3968" s="28"/>
      <c r="H3968" s="28"/>
      <c r="I3968" s="28"/>
      <c r="J3968" s="28"/>
      <c r="K3968" s="28"/>
      <c r="L3968" s="28"/>
      <c r="M3968" s="28"/>
      <c r="N3968" s="28"/>
      <c r="O3968" s="28"/>
      <c r="P3968" s="28"/>
      <c r="Q3968" s="28"/>
      <c r="R3968" s="28"/>
      <c r="S3968" s="28"/>
    </row>
    <row r="3969" spans="1:19" x14ac:dyDescent="0.25">
      <c r="A3969" s="28"/>
      <c r="B3969" s="28"/>
      <c r="C3969" s="28"/>
      <c r="D3969" s="28"/>
      <c r="E3969" s="28"/>
      <c r="F3969" s="28"/>
      <c r="G3969" s="28"/>
      <c r="H3969" s="28"/>
      <c r="I3969" s="28"/>
      <c r="J3969" s="28"/>
      <c r="K3969" s="28"/>
      <c r="L3969" s="28"/>
      <c r="M3969" s="28"/>
      <c r="N3969" s="28"/>
      <c r="O3969" s="28"/>
      <c r="P3969" s="28"/>
      <c r="Q3969" s="28"/>
      <c r="R3969" s="28"/>
      <c r="S3969" s="28"/>
    </row>
    <row r="3970" spans="1:19" x14ac:dyDescent="0.25">
      <c r="A3970" s="28"/>
      <c r="B3970" s="28"/>
      <c r="C3970" s="28"/>
      <c r="D3970" s="28"/>
      <c r="E3970" s="28"/>
      <c r="F3970" s="28"/>
      <c r="G3970" s="28"/>
      <c r="H3970" s="28"/>
      <c r="I3970" s="28"/>
      <c r="J3970" s="28"/>
      <c r="K3970" s="28"/>
      <c r="L3970" s="28"/>
      <c r="M3970" s="28"/>
      <c r="N3970" s="28"/>
      <c r="O3970" s="28"/>
      <c r="P3970" s="28"/>
      <c r="Q3970" s="28"/>
      <c r="R3970" s="28"/>
      <c r="S3970" s="28"/>
    </row>
    <row r="3971" spans="1:19" x14ac:dyDescent="0.25">
      <c r="A3971" s="28"/>
      <c r="B3971" s="28"/>
      <c r="C3971" s="28"/>
      <c r="D3971" s="28"/>
      <c r="E3971" s="28"/>
      <c r="F3971" s="28"/>
      <c r="G3971" s="28"/>
      <c r="H3971" s="28"/>
      <c r="I3971" s="28"/>
      <c r="J3971" s="28"/>
      <c r="K3971" s="28"/>
      <c r="L3971" s="28"/>
      <c r="M3971" s="28"/>
      <c r="N3971" s="28"/>
      <c r="O3971" s="28"/>
      <c r="P3971" s="28"/>
      <c r="Q3971" s="28"/>
      <c r="R3971" s="28"/>
      <c r="S3971" s="28"/>
    </row>
    <row r="3972" spans="1:19" x14ac:dyDescent="0.25">
      <c r="A3972" s="28"/>
      <c r="B3972" s="28"/>
      <c r="C3972" s="28"/>
      <c r="D3972" s="28"/>
      <c r="E3972" s="28"/>
      <c r="F3972" s="28"/>
      <c r="G3972" s="28"/>
      <c r="H3972" s="28"/>
      <c r="I3972" s="28"/>
      <c r="J3972" s="28"/>
      <c r="K3972" s="28"/>
      <c r="L3972" s="28"/>
      <c r="M3972" s="28"/>
      <c r="N3972" s="28"/>
      <c r="O3972" s="28"/>
      <c r="P3972" s="28"/>
      <c r="Q3972" s="28"/>
      <c r="R3972" s="28"/>
      <c r="S3972" s="28"/>
    </row>
    <row r="3973" spans="1:19" x14ac:dyDescent="0.25">
      <c r="A3973" s="28"/>
      <c r="B3973" s="28"/>
      <c r="C3973" s="28"/>
      <c r="D3973" s="28"/>
      <c r="E3973" s="28"/>
      <c r="F3973" s="28"/>
      <c r="G3973" s="28"/>
      <c r="H3973" s="28"/>
      <c r="I3973" s="28"/>
      <c r="J3973" s="28"/>
      <c r="K3973" s="28"/>
      <c r="L3973" s="28"/>
      <c r="M3973" s="28"/>
      <c r="N3973" s="28"/>
      <c r="O3973" s="28"/>
      <c r="P3973" s="28"/>
      <c r="Q3973" s="28"/>
      <c r="R3973" s="28"/>
      <c r="S3973" s="28"/>
    </row>
    <row r="3974" spans="1:19" x14ac:dyDescent="0.25">
      <c r="A3974" s="28"/>
      <c r="B3974" s="28"/>
      <c r="C3974" s="28"/>
      <c r="D3974" s="28"/>
      <c r="E3974" s="28"/>
      <c r="F3974" s="28"/>
      <c r="G3974" s="28"/>
      <c r="H3974" s="28"/>
      <c r="I3974" s="28"/>
      <c r="J3974" s="28"/>
      <c r="K3974" s="28"/>
      <c r="L3974" s="28"/>
      <c r="M3974" s="28"/>
      <c r="N3974" s="28"/>
      <c r="O3974" s="28"/>
      <c r="P3974" s="28"/>
      <c r="Q3974" s="28"/>
      <c r="R3974" s="28"/>
      <c r="S3974" s="28"/>
    </row>
    <row r="3975" spans="1:19" x14ac:dyDescent="0.25">
      <c r="A3975" s="28"/>
      <c r="B3975" s="28"/>
      <c r="C3975" s="28"/>
      <c r="D3975" s="28"/>
      <c r="E3975" s="28"/>
      <c r="F3975" s="28"/>
      <c r="G3975" s="28"/>
      <c r="H3975" s="28"/>
      <c r="I3975" s="28"/>
      <c r="J3975" s="28"/>
      <c r="K3975" s="28"/>
      <c r="L3975" s="28"/>
      <c r="M3975" s="28"/>
      <c r="N3975" s="28"/>
      <c r="O3975" s="28"/>
      <c r="P3975" s="28"/>
      <c r="Q3975" s="28"/>
      <c r="R3975" s="28"/>
      <c r="S3975" s="28"/>
    </row>
    <row r="3976" spans="1:19" x14ac:dyDescent="0.25">
      <c r="A3976" s="28"/>
      <c r="B3976" s="28"/>
      <c r="C3976" s="28"/>
      <c r="D3976" s="28"/>
      <c r="E3976" s="28"/>
      <c r="F3976" s="28"/>
      <c r="G3976" s="28"/>
      <c r="H3976" s="28"/>
      <c r="I3976" s="28"/>
      <c r="J3976" s="28"/>
      <c r="K3976" s="28"/>
      <c r="L3976" s="28"/>
      <c r="M3976" s="28"/>
      <c r="N3976" s="28"/>
      <c r="O3976" s="28"/>
      <c r="P3976" s="28"/>
      <c r="Q3976" s="28"/>
      <c r="R3976" s="28"/>
      <c r="S3976" s="28"/>
    </row>
    <row r="3977" spans="1:19" x14ac:dyDescent="0.25">
      <c r="A3977" s="28"/>
      <c r="B3977" s="28"/>
      <c r="C3977" s="28"/>
      <c r="D3977" s="28"/>
      <c r="E3977" s="28"/>
      <c r="F3977" s="28"/>
      <c r="G3977" s="28"/>
      <c r="H3977" s="28"/>
      <c r="I3977" s="28"/>
      <c r="J3977" s="28"/>
      <c r="K3977" s="28"/>
      <c r="L3977" s="28"/>
      <c r="M3977" s="28"/>
      <c r="N3977" s="28"/>
      <c r="O3977" s="28"/>
      <c r="P3977" s="28"/>
      <c r="Q3977" s="28"/>
      <c r="R3977" s="28"/>
      <c r="S3977" s="28"/>
    </row>
    <row r="3978" spans="1:19" x14ac:dyDescent="0.25">
      <c r="A3978" s="28"/>
      <c r="B3978" s="28"/>
      <c r="C3978" s="28"/>
      <c r="D3978" s="28"/>
      <c r="E3978" s="28"/>
      <c r="F3978" s="28"/>
      <c r="G3978" s="28"/>
      <c r="H3978" s="28"/>
      <c r="I3978" s="28"/>
      <c r="J3978" s="28"/>
      <c r="K3978" s="28"/>
      <c r="L3978" s="28"/>
      <c r="M3978" s="28"/>
      <c r="N3978" s="28"/>
      <c r="O3978" s="28"/>
      <c r="P3978" s="28"/>
      <c r="Q3978" s="28"/>
      <c r="R3978" s="28"/>
      <c r="S3978" s="28"/>
    </row>
    <row r="3979" spans="1:19" x14ac:dyDescent="0.25">
      <c r="A3979" s="28"/>
      <c r="B3979" s="28"/>
      <c r="C3979" s="28"/>
      <c r="D3979" s="28"/>
      <c r="E3979" s="28"/>
      <c r="F3979" s="28"/>
      <c r="G3979" s="28"/>
      <c r="H3979" s="28"/>
      <c r="I3979" s="28"/>
      <c r="J3979" s="28"/>
      <c r="K3979" s="28"/>
      <c r="L3979" s="28"/>
      <c r="M3979" s="28"/>
      <c r="N3979" s="28"/>
      <c r="O3979" s="28"/>
      <c r="P3979" s="28"/>
      <c r="Q3979" s="28"/>
      <c r="R3979" s="28"/>
      <c r="S3979" s="28"/>
    </row>
    <row r="3980" spans="1:19" x14ac:dyDescent="0.25">
      <c r="A3980" s="28"/>
      <c r="B3980" s="28"/>
      <c r="C3980" s="28"/>
      <c r="D3980" s="28"/>
      <c r="E3980" s="28"/>
      <c r="F3980" s="28"/>
      <c r="G3980" s="28"/>
      <c r="H3980" s="28"/>
      <c r="I3980" s="28"/>
      <c r="J3980" s="28"/>
      <c r="K3980" s="28"/>
      <c r="L3980" s="28"/>
      <c r="M3980" s="28"/>
      <c r="N3980" s="28"/>
      <c r="O3980" s="28"/>
      <c r="P3980" s="28"/>
      <c r="Q3980" s="28"/>
      <c r="R3980" s="28"/>
      <c r="S3980" s="28"/>
    </row>
    <row r="3981" spans="1:19" x14ac:dyDescent="0.25">
      <c r="A3981" s="28"/>
      <c r="B3981" s="28"/>
      <c r="C3981" s="28"/>
      <c r="D3981" s="28"/>
      <c r="E3981" s="28"/>
      <c r="F3981" s="28"/>
      <c r="G3981" s="28"/>
      <c r="H3981" s="28"/>
      <c r="I3981" s="28"/>
      <c r="J3981" s="28"/>
      <c r="K3981" s="28"/>
      <c r="L3981" s="28"/>
      <c r="M3981" s="28"/>
      <c r="N3981" s="28"/>
      <c r="O3981" s="28"/>
      <c r="P3981" s="28"/>
      <c r="Q3981" s="28"/>
      <c r="R3981" s="28"/>
      <c r="S3981" s="28"/>
    </row>
    <row r="3982" spans="1:19" x14ac:dyDescent="0.25">
      <c r="A3982" s="28"/>
      <c r="B3982" s="28"/>
      <c r="C3982" s="28"/>
      <c r="D3982" s="28"/>
      <c r="E3982" s="28"/>
      <c r="F3982" s="28"/>
      <c r="G3982" s="28"/>
      <c r="H3982" s="28"/>
      <c r="I3982" s="28"/>
      <c r="J3982" s="28"/>
      <c r="K3982" s="28"/>
      <c r="L3982" s="28"/>
      <c r="M3982" s="28"/>
      <c r="N3982" s="28"/>
      <c r="O3982" s="28"/>
      <c r="P3982" s="28"/>
      <c r="Q3982" s="28"/>
      <c r="R3982" s="28"/>
      <c r="S3982" s="28"/>
    </row>
    <row r="3983" spans="1:19" x14ac:dyDescent="0.25">
      <c r="A3983" s="28"/>
      <c r="B3983" s="28"/>
      <c r="C3983" s="28"/>
      <c r="D3983" s="28"/>
      <c r="E3983" s="28"/>
      <c r="F3983" s="28"/>
      <c r="G3983" s="28"/>
      <c r="H3983" s="28"/>
      <c r="I3983" s="28"/>
      <c r="J3983" s="28"/>
      <c r="K3983" s="28"/>
      <c r="L3983" s="28"/>
      <c r="M3983" s="28"/>
      <c r="N3983" s="28"/>
      <c r="O3983" s="28"/>
      <c r="P3983" s="28"/>
      <c r="Q3983" s="28"/>
      <c r="R3983" s="28"/>
      <c r="S3983" s="28"/>
    </row>
    <row r="3984" spans="1:19" x14ac:dyDescent="0.25">
      <c r="A3984" s="28"/>
      <c r="B3984" s="28"/>
      <c r="C3984" s="28"/>
      <c r="D3984" s="28"/>
      <c r="E3984" s="28"/>
      <c r="F3984" s="28"/>
      <c r="G3984" s="28"/>
      <c r="H3984" s="28"/>
      <c r="I3984" s="28"/>
      <c r="J3984" s="28"/>
      <c r="K3984" s="28"/>
      <c r="L3984" s="28"/>
      <c r="M3984" s="28"/>
      <c r="N3984" s="28"/>
      <c r="O3984" s="28"/>
      <c r="P3984" s="28"/>
      <c r="Q3984" s="28"/>
      <c r="R3984" s="28"/>
      <c r="S3984" s="28"/>
    </row>
    <row r="3985" spans="1:19" x14ac:dyDescent="0.25">
      <c r="A3985" s="28"/>
      <c r="B3985" s="28"/>
      <c r="C3985" s="28"/>
      <c r="D3985" s="28"/>
      <c r="E3985" s="28"/>
      <c r="F3985" s="28"/>
      <c r="G3985" s="28"/>
      <c r="H3985" s="28"/>
      <c r="I3985" s="28"/>
      <c r="J3985" s="28"/>
      <c r="K3985" s="28"/>
      <c r="L3985" s="28"/>
      <c r="M3985" s="28"/>
      <c r="N3985" s="28"/>
      <c r="O3985" s="28"/>
      <c r="P3985" s="28"/>
      <c r="Q3985" s="28"/>
      <c r="R3985" s="28"/>
      <c r="S3985" s="28"/>
    </row>
    <row r="3986" spans="1:19" x14ac:dyDescent="0.25">
      <c r="A3986" s="28"/>
      <c r="B3986" s="28"/>
      <c r="C3986" s="28"/>
      <c r="D3986" s="28"/>
      <c r="E3986" s="28"/>
      <c r="F3986" s="28"/>
      <c r="G3986" s="28"/>
      <c r="H3986" s="28"/>
      <c r="I3986" s="28"/>
      <c r="J3986" s="28"/>
      <c r="K3986" s="28"/>
      <c r="L3986" s="28"/>
      <c r="M3986" s="28"/>
      <c r="N3986" s="28"/>
      <c r="O3986" s="28"/>
      <c r="P3986" s="28"/>
      <c r="Q3986" s="28"/>
      <c r="R3986" s="28"/>
      <c r="S3986" s="28"/>
    </row>
    <row r="3987" spans="1:19" x14ac:dyDescent="0.25">
      <c r="A3987" s="28"/>
      <c r="B3987" s="28"/>
      <c r="C3987" s="28"/>
      <c r="D3987" s="28"/>
      <c r="E3987" s="28"/>
      <c r="F3987" s="28"/>
      <c r="G3987" s="28"/>
      <c r="H3987" s="28"/>
      <c r="I3987" s="28"/>
      <c r="J3987" s="28"/>
      <c r="K3987" s="28"/>
      <c r="L3987" s="28"/>
      <c r="M3987" s="28"/>
      <c r="N3987" s="28"/>
      <c r="O3987" s="28"/>
      <c r="P3987" s="28"/>
      <c r="Q3987" s="28"/>
      <c r="R3987" s="28"/>
      <c r="S3987" s="28"/>
    </row>
    <row r="3988" spans="1:19" x14ac:dyDescent="0.25">
      <c r="A3988" s="28"/>
      <c r="B3988" s="28"/>
      <c r="C3988" s="28"/>
      <c r="D3988" s="28"/>
      <c r="E3988" s="28"/>
      <c r="F3988" s="28"/>
      <c r="G3988" s="28"/>
      <c r="H3988" s="28"/>
      <c r="I3988" s="28"/>
      <c r="J3988" s="28"/>
      <c r="K3988" s="28"/>
      <c r="L3988" s="28"/>
      <c r="M3988" s="28"/>
      <c r="N3988" s="28"/>
      <c r="O3988" s="28"/>
      <c r="P3988" s="28"/>
      <c r="Q3988" s="28"/>
      <c r="R3988" s="28"/>
      <c r="S3988" s="28"/>
    </row>
    <row r="3989" spans="1:19" x14ac:dyDescent="0.25">
      <c r="A3989" s="28"/>
      <c r="B3989" s="28"/>
      <c r="C3989" s="28"/>
      <c r="D3989" s="28"/>
      <c r="E3989" s="28"/>
      <c r="F3989" s="28"/>
      <c r="G3989" s="28"/>
      <c r="H3989" s="28"/>
      <c r="I3989" s="28"/>
      <c r="J3989" s="28"/>
      <c r="K3989" s="28"/>
      <c r="L3989" s="28"/>
      <c r="M3989" s="28"/>
      <c r="N3989" s="28"/>
      <c r="O3989" s="28"/>
      <c r="P3989" s="28"/>
      <c r="Q3989" s="28"/>
      <c r="R3989" s="28"/>
      <c r="S3989" s="28"/>
    </row>
    <row r="3990" spans="1:19" x14ac:dyDescent="0.25">
      <c r="A3990" s="28"/>
      <c r="B3990" s="28"/>
      <c r="C3990" s="28"/>
      <c r="D3990" s="28"/>
      <c r="E3990" s="28"/>
      <c r="F3990" s="28"/>
      <c r="G3990" s="28"/>
      <c r="H3990" s="28"/>
      <c r="I3990" s="28"/>
      <c r="J3990" s="28"/>
      <c r="K3990" s="28"/>
      <c r="L3990" s="28"/>
      <c r="M3990" s="28"/>
      <c r="N3990" s="28"/>
      <c r="O3990" s="28"/>
      <c r="P3990" s="28"/>
      <c r="Q3990" s="28"/>
      <c r="R3990" s="28"/>
      <c r="S3990" s="28"/>
    </row>
    <row r="3991" spans="1:19" x14ac:dyDescent="0.25">
      <c r="A3991" s="28"/>
      <c r="B3991" s="28"/>
      <c r="C3991" s="28"/>
      <c r="D3991" s="28"/>
      <c r="E3991" s="28"/>
      <c r="F3991" s="28"/>
      <c r="G3991" s="28"/>
      <c r="H3991" s="28"/>
      <c r="I3991" s="28"/>
      <c r="J3991" s="28"/>
      <c r="K3991" s="28"/>
      <c r="L3991" s="28"/>
      <c r="M3991" s="28"/>
      <c r="N3991" s="28"/>
      <c r="O3991" s="28"/>
      <c r="P3991" s="28"/>
      <c r="Q3991" s="28"/>
      <c r="R3991" s="28"/>
      <c r="S3991" s="28"/>
    </row>
    <row r="3992" spans="1:19" x14ac:dyDescent="0.25">
      <c r="A3992" s="28"/>
      <c r="B3992" s="28"/>
      <c r="C3992" s="28"/>
      <c r="D3992" s="28"/>
      <c r="E3992" s="28"/>
      <c r="F3992" s="28"/>
      <c r="G3992" s="28"/>
      <c r="H3992" s="28"/>
      <c r="I3992" s="28"/>
      <c r="J3992" s="28"/>
      <c r="K3992" s="28"/>
      <c r="L3992" s="28"/>
      <c r="M3992" s="28"/>
      <c r="N3992" s="28"/>
      <c r="O3992" s="28"/>
      <c r="P3992" s="28"/>
      <c r="Q3992" s="28"/>
      <c r="R3992" s="28"/>
      <c r="S3992" s="28"/>
    </row>
    <row r="3993" spans="1:19" x14ac:dyDescent="0.25">
      <c r="A3993" s="28"/>
      <c r="B3993" s="28"/>
      <c r="C3993" s="28"/>
      <c r="D3993" s="28"/>
      <c r="E3993" s="28"/>
      <c r="F3993" s="28"/>
      <c r="G3993" s="28"/>
      <c r="H3993" s="28"/>
      <c r="I3993" s="28"/>
      <c r="J3993" s="28"/>
      <c r="K3993" s="28"/>
      <c r="L3993" s="28"/>
      <c r="M3993" s="28"/>
      <c r="N3993" s="28"/>
      <c r="O3993" s="28"/>
      <c r="P3993" s="28"/>
      <c r="Q3993" s="28"/>
      <c r="R3993" s="28"/>
      <c r="S3993" s="28"/>
    </row>
    <row r="3994" spans="1:19" x14ac:dyDescent="0.25">
      <c r="A3994" s="28"/>
      <c r="B3994" s="28"/>
      <c r="C3994" s="28"/>
      <c r="D3994" s="28"/>
      <c r="E3994" s="28"/>
      <c r="F3994" s="28"/>
      <c r="G3994" s="28"/>
      <c r="H3994" s="28"/>
      <c r="I3994" s="28"/>
      <c r="J3994" s="28"/>
      <c r="K3994" s="28"/>
      <c r="L3994" s="28"/>
      <c r="M3994" s="28"/>
      <c r="N3994" s="28"/>
      <c r="O3994" s="28"/>
      <c r="P3994" s="28"/>
      <c r="Q3994" s="28"/>
      <c r="R3994" s="28"/>
      <c r="S3994" s="28"/>
    </row>
    <row r="3995" spans="1:19" x14ac:dyDescent="0.25">
      <c r="A3995" s="28"/>
      <c r="B3995" s="28"/>
      <c r="C3995" s="28"/>
      <c r="D3995" s="28"/>
      <c r="E3995" s="28"/>
      <c r="F3995" s="28"/>
      <c r="G3995" s="28"/>
      <c r="H3995" s="28"/>
      <c r="I3995" s="28"/>
      <c r="J3995" s="28"/>
      <c r="K3995" s="28"/>
      <c r="L3995" s="28"/>
      <c r="M3995" s="28"/>
      <c r="N3995" s="28"/>
      <c r="O3995" s="28"/>
      <c r="P3995" s="28"/>
      <c r="Q3995" s="28"/>
      <c r="R3995" s="28"/>
      <c r="S3995" s="28"/>
    </row>
    <row r="3996" spans="1:19" x14ac:dyDescent="0.25">
      <c r="A3996" s="28"/>
      <c r="B3996" s="28"/>
      <c r="C3996" s="28"/>
      <c r="D3996" s="28"/>
      <c r="E3996" s="28"/>
      <c r="F3996" s="28"/>
      <c r="G3996" s="28"/>
      <c r="H3996" s="28"/>
      <c r="I3996" s="28"/>
      <c r="J3996" s="28"/>
      <c r="K3996" s="28"/>
      <c r="L3996" s="28"/>
      <c r="M3996" s="28"/>
      <c r="N3996" s="28"/>
      <c r="O3996" s="28"/>
      <c r="P3996" s="28"/>
      <c r="Q3996" s="28"/>
      <c r="R3996" s="28"/>
      <c r="S3996" s="28"/>
    </row>
    <row r="3997" spans="1:19" x14ac:dyDescent="0.25">
      <c r="A3997" s="28"/>
      <c r="B3997" s="28"/>
      <c r="C3997" s="28"/>
      <c r="D3997" s="28"/>
      <c r="E3997" s="28"/>
      <c r="F3997" s="28"/>
      <c r="G3997" s="28"/>
      <c r="H3997" s="28"/>
      <c r="I3997" s="28"/>
      <c r="J3997" s="28"/>
      <c r="K3997" s="28"/>
      <c r="L3997" s="28"/>
      <c r="M3997" s="28"/>
      <c r="N3997" s="28"/>
      <c r="O3997" s="28"/>
      <c r="P3997" s="28"/>
      <c r="Q3997" s="28"/>
      <c r="R3997" s="28"/>
      <c r="S3997" s="28"/>
    </row>
    <row r="3998" spans="1:19" x14ac:dyDescent="0.25">
      <c r="A3998" s="28"/>
      <c r="B3998" s="28"/>
      <c r="C3998" s="28"/>
      <c r="D3998" s="28"/>
      <c r="E3998" s="28"/>
      <c r="F3998" s="28"/>
      <c r="G3998" s="28"/>
      <c r="H3998" s="28"/>
      <c r="I3998" s="28"/>
      <c r="J3998" s="28"/>
      <c r="K3998" s="28"/>
      <c r="L3998" s="28"/>
      <c r="M3998" s="28"/>
      <c r="N3998" s="28"/>
      <c r="O3998" s="28"/>
      <c r="P3998" s="28"/>
      <c r="Q3998" s="28"/>
      <c r="R3998" s="28"/>
      <c r="S3998" s="28"/>
    </row>
    <row r="3999" spans="1:19" x14ac:dyDescent="0.25">
      <c r="A3999" s="28"/>
      <c r="B3999" s="28"/>
      <c r="C3999" s="28"/>
      <c r="D3999" s="28"/>
      <c r="E3999" s="28"/>
      <c r="F3999" s="28"/>
      <c r="G3999" s="28"/>
      <c r="H3999" s="28"/>
      <c r="I3999" s="28"/>
      <c r="J3999" s="28"/>
      <c r="K3999" s="28"/>
      <c r="L3999" s="28"/>
      <c r="M3999" s="28"/>
      <c r="N3999" s="28"/>
      <c r="O3999" s="28"/>
      <c r="P3999" s="28"/>
      <c r="Q3999" s="28"/>
      <c r="R3999" s="28"/>
      <c r="S3999" s="28"/>
    </row>
    <row r="4000" spans="1:19" x14ac:dyDescent="0.25">
      <c r="A4000" s="28"/>
      <c r="B4000" s="28"/>
      <c r="C4000" s="28"/>
      <c r="D4000" s="28"/>
      <c r="E4000" s="28"/>
      <c r="F4000" s="28"/>
      <c r="G4000" s="28"/>
      <c r="H4000" s="28"/>
      <c r="I4000" s="28"/>
      <c r="J4000" s="28"/>
      <c r="K4000" s="28"/>
      <c r="L4000" s="28"/>
      <c r="M4000" s="28"/>
      <c r="N4000" s="28"/>
      <c r="O4000" s="28"/>
      <c r="P4000" s="28"/>
      <c r="Q4000" s="28"/>
      <c r="R4000" s="28"/>
      <c r="S4000" s="28"/>
    </row>
    <row r="4001" spans="1:19" x14ac:dyDescent="0.25">
      <c r="A4001" s="28"/>
      <c r="B4001" s="28"/>
      <c r="C4001" s="28"/>
      <c r="D4001" s="28"/>
      <c r="E4001" s="28"/>
      <c r="F4001" s="28"/>
      <c r="G4001" s="28"/>
      <c r="H4001" s="28"/>
      <c r="I4001" s="28"/>
      <c r="J4001" s="28"/>
      <c r="K4001" s="28"/>
      <c r="L4001" s="28"/>
      <c r="M4001" s="28"/>
      <c r="N4001" s="28"/>
      <c r="O4001" s="28"/>
      <c r="P4001" s="28"/>
      <c r="Q4001" s="28"/>
      <c r="R4001" s="28"/>
      <c r="S4001" s="28"/>
    </row>
    <row r="4002" spans="1:19" x14ac:dyDescent="0.25">
      <c r="A4002" s="28"/>
      <c r="B4002" s="28"/>
      <c r="C4002" s="28"/>
      <c r="D4002" s="28"/>
      <c r="E4002" s="28"/>
      <c r="F4002" s="28"/>
      <c r="G4002" s="28"/>
      <c r="H4002" s="28"/>
      <c r="I4002" s="28"/>
      <c r="J4002" s="28"/>
      <c r="K4002" s="28"/>
      <c r="L4002" s="28"/>
      <c r="M4002" s="28"/>
      <c r="N4002" s="28"/>
      <c r="O4002" s="28"/>
      <c r="P4002" s="28"/>
      <c r="Q4002" s="28"/>
      <c r="R4002" s="28"/>
      <c r="S4002" s="28"/>
    </row>
    <row r="4003" spans="1:19" x14ac:dyDescent="0.25">
      <c r="A4003" s="28"/>
      <c r="B4003" s="28"/>
      <c r="C4003" s="28"/>
      <c r="D4003" s="28"/>
      <c r="E4003" s="28"/>
      <c r="F4003" s="28"/>
      <c r="G4003" s="28"/>
      <c r="H4003" s="28"/>
      <c r="I4003" s="28"/>
      <c r="J4003" s="28"/>
      <c r="K4003" s="28"/>
      <c r="L4003" s="28"/>
      <c r="M4003" s="28"/>
      <c r="N4003" s="28"/>
      <c r="O4003" s="28"/>
      <c r="P4003" s="28"/>
      <c r="Q4003" s="28"/>
      <c r="R4003" s="28"/>
      <c r="S4003" s="28"/>
    </row>
    <row r="4004" spans="1:19" x14ac:dyDescent="0.25">
      <c r="A4004" s="28"/>
      <c r="B4004" s="28"/>
      <c r="C4004" s="28"/>
      <c r="D4004" s="28"/>
      <c r="E4004" s="28"/>
      <c r="F4004" s="28"/>
      <c r="G4004" s="28"/>
      <c r="H4004" s="28"/>
      <c r="I4004" s="28"/>
      <c r="J4004" s="28"/>
      <c r="K4004" s="28"/>
      <c r="L4004" s="28"/>
      <c r="M4004" s="28"/>
      <c r="N4004" s="28"/>
      <c r="O4004" s="28"/>
      <c r="P4004" s="28"/>
      <c r="Q4004" s="28"/>
      <c r="R4004" s="28"/>
      <c r="S4004" s="28"/>
    </row>
    <row r="4005" spans="1:19" x14ac:dyDescent="0.25">
      <c r="A4005" s="28"/>
      <c r="B4005" s="28"/>
      <c r="C4005" s="28"/>
      <c r="D4005" s="28"/>
      <c r="E4005" s="28"/>
      <c r="F4005" s="28"/>
      <c r="G4005" s="28"/>
      <c r="H4005" s="28"/>
      <c r="I4005" s="28"/>
      <c r="J4005" s="28"/>
      <c r="K4005" s="28"/>
      <c r="L4005" s="28"/>
      <c r="M4005" s="28"/>
      <c r="N4005" s="28"/>
      <c r="O4005" s="28"/>
      <c r="P4005" s="28"/>
      <c r="Q4005" s="28"/>
      <c r="R4005" s="28"/>
      <c r="S4005" s="28"/>
    </row>
    <row r="4006" spans="1:19" x14ac:dyDescent="0.25">
      <c r="A4006" s="28"/>
      <c r="B4006" s="28"/>
      <c r="C4006" s="28"/>
      <c r="D4006" s="28"/>
      <c r="E4006" s="28"/>
      <c r="F4006" s="28"/>
      <c r="G4006" s="28"/>
      <c r="H4006" s="28"/>
      <c r="I4006" s="28"/>
      <c r="J4006" s="28"/>
      <c r="K4006" s="28"/>
      <c r="L4006" s="28"/>
      <c r="M4006" s="28"/>
      <c r="N4006" s="28"/>
      <c r="O4006" s="28"/>
      <c r="P4006" s="28"/>
      <c r="Q4006" s="28"/>
      <c r="R4006" s="28"/>
      <c r="S4006" s="28"/>
    </row>
    <row r="4007" spans="1:19" x14ac:dyDescent="0.25">
      <c r="A4007" s="28"/>
      <c r="B4007" s="28"/>
      <c r="C4007" s="28"/>
      <c r="D4007" s="28"/>
      <c r="E4007" s="28"/>
      <c r="F4007" s="28"/>
      <c r="G4007" s="28"/>
      <c r="H4007" s="28"/>
      <c r="I4007" s="28"/>
      <c r="J4007" s="28"/>
      <c r="K4007" s="28"/>
      <c r="L4007" s="28"/>
      <c r="M4007" s="28"/>
      <c r="N4007" s="28"/>
      <c r="O4007" s="28"/>
      <c r="P4007" s="28"/>
      <c r="Q4007" s="28"/>
      <c r="R4007" s="28"/>
      <c r="S4007" s="28"/>
    </row>
    <row r="4008" spans="1:19" x14ac:dyDescent="0.25">
      <c r="A4008" s="28"/>
      <c r="B4008" s="28"/>
      <c r="C4008" s="28"/>
      <c r="D4008" s="28"/>
      <c r="E4008" s="28"/>
      <c r="F4008" s="28"/>
      <c r="G4008" s="28"/>
      <c r="H4008" s="28"/>
      <c r="I4008" s="28"/>
      <c r="J4008" s="28"/>
      <c r="K4008" s="28"/>
      <c r="L4008" s="28"/>
      <c r="M4008" s="28"/>
      <c r="N4008" s="28"/>
      <c r="O4008" s="28"/>
      <c r="P4008" s="28"/>
      <c r="Q4008" s="28"/>
      <c r="R4008" s="28"/>
      <c r="S4008" s="28"/>
    </row>
    <row r="4009" spans="1:19" x14ac:dyDescent="0.25">
      <c r="A4009" s="28"/>
      <c r="B4009" s="28"/>
      <c r="C4009" s="28"/>
      <c r="D4009" s="28"/>
      <c r="E4009" s="28"/>
      <c r="F4009" s="28"/>
      <c r="G4009" s="28"/>
      <c r="H4009" s="28"/>
      <c r="I4009" s="28"/>
      <c r="J4009" s="28"/>
      <c r="K4009" s="28"/>
      <c r="L4009" s="28"/>
      <c r="M4009" s="28"/>
      <c r="N4009" s="28"/>
      <c r="O4009" s="28"/>
      <c r="P4009" s="28"/>
      <c r="Q4009" s="28"/>
      <c r="R4009" s="28"/>
      <c r="S4009" s="28"/>
    </row>
    <row r="4010" spans="1:19" x14ac:dyDescent="0.25">
      <c r="A4010" s="28"/>
      <c r="B4010" s="28"/>
      <c r="C4010" s="28"/>
      <c r="D4010" s="28"/>
      <c r="E4010" s="28"/>
      <c r="F4010" s="28"/>
      <c r="G4010" s="28"/>
      <c r="H4010" s="28"/>
      <c r="I4010" s="28"/>
      <c r="J4010" s="28"/>
      <c r="K4010" s="28"/>
      <c r="L4010" s="28"/>
      <c r="M4010" s="28"/>
      <c r="N4010" s="28"/>
      <c r="O4010" s="28"/>
      <c r="P4010" s="28"/>
      <c r="Q4010" s="28"/>
      <c r="R4010" s="28"/>
      <c r="S4010" s="28"/>
    </row>
    <row r="4011" spans="1:19" x14ac:dyDescent="0.25">
      <c r="A4011" s="28"/>
      <c r="B4011" s="28"/>
      <c r="C4011" s="28"/>
      <c r="D4011" s="28"/>
      <c r="E4011" s="28"/>
      <c r="F4011" s="28"/>
      <c r="G4011" s="28"/>
      <c r="H4011" s="28"/>
      <c r="I4011" s="28"/>
      <c r="J4011" s="28"/>
      <c r="K4011" s="28"/>
      <c r="L4011" s="28"/>
      <c r="M4011" s="28"/>
      <c r="N4011" s="28"/>
      <c r="O4011" s="28"/>
      <c r="P4011" s="28"/>
      <c r="Q4011" s="28"/>
      <c r="R4011" s="28"/>
      <c r="S4011" s="28"/>
    </row>
    <row r="4012" spans="1:19" x14ac:dyDescent="0.25">
      <c r="A4012" s="28"/>
      <c r="B4012" s="28"/>
      <c r="C4012" s="28"/>
      <c r="D4012" s="28"/>
      <c r="E4012" s="28"/>
      <c r="F4012" s="28"/>
      <c r="G4012" s="28"/>
      <c r="H4012" s="28"/>
      <c r="I4012" s="28"/>
      <c r="J4012" s="28"/>
      <c r="K4012" s="28"/>
      <c r="L4012" s="28"/>
      <c r="M4012" s="28"/>
      <c r="N4012" s="28"/>
      <c r="O4012" s="28"/>
      <c r="P4012" s="28"/>
      <c r="Q4012" s="28"/>
      <c r="R4012" s="28"/>
      <c r="S4012" s="28"/>
    </row>
    <row r="4013" spans="1:19" x14ac:dyDescent="0.25">
      <c r="A4013" s="28"/>
      <c r="B4013" s="28"/>
      <c r="C4013" s="28"/>
      <c r="D4013" s="28"/>
      <c r="E4013" s="28"/>
      <c r="F4013" s="28"/>
      <c r="G4013" s="28"/>
      <c r="H4013" s="28"/>
      <c r="I4013" s="28"/>
      <c r="J4013" s="28"/>
      <c r="K4013" s="28"/>
      <c r="L4013" s="28"/>
      <c r="M4013" s="28"/>
      <c r="N4013" s="28"/>
      <c r="O4013" s="28"/>
      <c r="P4013" s="28"/>
      <c r="Q4013" s="28"/>
      <c r="R4013" s="28"/>
      <c r="S4013" s="28"/>
    </row>
    <row r="4014" spans="1:19" x14ac:dyDescent="0.25">
      <c r="A4014" s="28"/>
      <c r="B4014" s="28"/>
      <c r="C4014" s="28"/>
      <c r="D4014" s="28"/>
      <c r="E4014" s="28"/>
      <c r="F4014" s="28"/>
      <c r="G4014" s="28"/>
      <c r="H4014" s="28"/>
      <c r="I4014" s="28"/>
      <c r="J4014" s="28"/>
      <c r="K4014" s="28"/>
      <c r="L4014" s="28"/>
      <c r="M4014" s="28"/>
      <c r="N4014" s="28"/>
      <c r="O4014" s="28"/>
      <c r="P4014" s="28"/>
      <c r="Q4014" s="28"/>
      <c r="R4014" s="28"/>
      <c r="S4014" s="28"/>
    </row>
    <row r="4015" spans="1:19" x14ac:dyDescent="0.25">
      <c r="A4015" s="28"/>
      <c r="B4015" s="28"/>
      <c r="C4015" s="28"/>
      <c r="D4015" s="28"/>
      <c r="E4015" s="28"/>
      <c r="F4015" s="28"/>
      <c r="G4015" s="28"/>
      <c r="H4015" s="28"/>
      <c r="I4015" s="28"/>
      <c r="J4015" s="28"/>
      <c r="K4015" s="28"/>
      <c r="L4015" s="28"/>
      <c r="M4015" s="28"/>
      <c r="N4015" s="28"/>
      <c r="O4015" s="28"/>
      <c r="P4015" s="28"/>
      <c r="Q4015" s="28"/>
      <c r="R4015" s="28"/>
      <c r="S4015" s="28"/>
    </row>
    <row r="4016" spans="1:19" x14ac:dyDescent="0.25">
      <c r="A4016" s="28"/>
      <c r="B4016" s="28"/>
      <c r="C4016" s="28"/>
      <c r="D4016" s="28"/>
      <c r="E4016" s="28"/>
      <c r="F4016" s="28"/>
      <c r="G4016" s="28"/>
      <c r="H4016" s="28"/>
      <c r="I4016" s="28"/>
      <c r="J4016" s="28"/>
      <c r="K4016" s="28"/>
      <c r="L4016" s="28"/>
      <c r="M4016" s="28"/>
      <c r="N4016" s="28"/>
      <c r="O4016" s="28"/>
      <c r="P4016" s="28"/>
      <c r="Q4016" s="28"/>
      <c r="R4016" s="28"/>
      <c r="S4016" s="28"/>
    </row>
    <row r="4017" spans="1:19" x14ac:dyDescent="0.25">
      <c r="A4017" s="28"/>
      <c r="B4017" s="28"/>
      <c r="C4017" s="28"/>
      <c r="D4017" s="28"/>
      <c r="E4017" s="28"/>
      <c r="F4017" s="28"/>
      <c r="G4017" s="28"/>
      <c r="H4017" s="28"/>
      <c r="I4017" s="28"/>
      <c r="J4017" s="28"/>
      <c r="K4017" s="28"/>
      <c r="L4017" s="28"/>
      <c r="M4017" s="28"/>
      <c r="N4017" s="28"/>
      <c r="O4017" s="28"/>
      <c r="P4017" s="28"/>
      <c r="Q4017" s="28"/>
      <c r="R4017" s="28"/>
      <c r="S4017" s="28"/>
    </row>
    <row r="4018" spans="1:19" x14ac:dyDescent="0.25">
      <c r="A4018" s="28"/>
      <c r="B4018" s="28"/>
      <c r="C4018" s="28"/>
      <c r="D4018" s="28"/>
      <c r="E4018" s="28"/>
      <c r="F4018" s="28"/>
      <c r="G4018" s="28"/>
      <c r="H4018" s="28"/>
      <c r="I4018" s="28"/>
      <c r="J4018" s="28"/>
      <c r="K4018" s="28"/>
      <c r="L4018" s="28"/>
      <c r="M4018" s="28"/>
      <c r="N4018" s="28"/>
      <c r="O4018" s="28"/>
      <c r="P4018" s="28"/>
      <c r="Q4018" s="28"/>
      <c r="R4018" s="28"/>
      <c r="S4018" s="28"/>
    </row>
    <row r="4019" spans="1:19" x14ac:dyDescent="0.25">
      <c r="A4019" s="28"/>
      <c r="B4019" s="28"/>
      <c r="C4019" s="28"/>
      <c r="D4019" s="28"/>
      <c r="E4019" s="28"/>
      <c r="F4019" s="28"/>
      <c r="G4019" s="28"/>
      <c r="H4019" s="28"/>
      <c r="I4019" s="28"/>
      <c r="J4019" s="28"/>
      <c r="K4019" s="28"/>
      <c r="L4019" s="28"/>
      <c r="M4019" s="28"/>
      <c r="N4019" s="28"/>
      <c r="O4019" s="28"/>
      <c r="P4019" s="28"/>
      <c r="Q4019" s="28"/>
      <c r="R4019" s="28"/>
      <c r="S4019" s="28"/>
    </row>
    <row r="4020" spans="1:19" x14ac:dyDescent="0.25">
      <c r="A4020" s="28"/>
      <c r="B4020" s="28"/>
      <c r="C4020" s="28"/>
      <c r="D4020" s="28"/>
      <c r="E4020" s="28"/>
      <c r="F4020" s="28"/>
      <c r="G4020" s="28"/>
      <c r="H4020" s="28"/>
      <c r="I4020" s="28"/>
      <c r="J4020" s="28"/>
      <c r="K4020" s="28"/>
      <c r="L4020" s="28"/>
      <c r="M4020" s="28"/>
      <c r="N4020" s="28"/>
      <c r="O4020" s="28"/>
      <c r="P4020" s="28"/>
      <c r="Q4020" s="28"/>
      <c r="R4020" s="28"/>
      <c r="S4020" s="28"/>
    </row>
    <row r="4021" spans="1:19" x14ac:dyDescent="0.25">
      <c r="A4021" s="28"/>
      <c r="B4021" s="28"/>
      <c r="C4021" s="28"/>
      <c r="D4021" s="28"/>
      <c r="E4021" s="28"/>
      <c r="F4021" s="28"/>
      <c r="G4021" s="28"/>
      <c r="H4021" s="28"/>
      <c r="I4021" s="28"/>
      <c r="J4021" s="28"/>
      <c r="K4021" s="28"/>
      <c r="L4021" s="28"/>
      <c r="M4021" s="28"/>
      <c r="N4021" s="28"/>
      <c r="O4021" s="28"/>
      <c r="P4021" s="28"/>
      <c r="Q4021" s="28"/>
      <c r="R4021" s="28"/>
      <c r="S4021" s="28"/>
    </row>
    <row r="4022" spans="1:19" x14ac:dyDescent="0.25">
      <c r="A4022" s="28"/>
      <c r="B4022" s="28"/>
      <c r="C4022" s="28"/>
      <c r="D4022" s="28"/>
      <c r="E4022" s="28"/>
      <c r="F4022" s="28"/>
      <c r="G4022" s="28"/>
      <c r="H4022" s="28"/>
      <c r="I4022" s="28"/>
      <c r="J4022" s="28"/>
      <c r="K4022" s="28"/>
      <c r="L4022" s="28"/>
      <c r="M4022" s="28"/>
      <c r="N4022" s="28"/>
      <c r="O4022" s="28"/>
      <c r="P4022" s="28"/>
      <c r="Q4022" s="28"/>
      <c r="R4022" s="28"/>
      <c r="S4022" s="28"/>
    </row>
    <row r="4023" spans="1:19" x14ac:dyDescent="0.25">
      <c r="A4023" s="28"/>
      <c r="B4023" s="28"/>
      <c r="C4023" s="28"/>
      <c r="D4023" s="28"/>
      <c r="E4023" s="28"/>
      <c r="F4023" s="28"/>
      <c r="G4023" s="28"/>
      <c r="H4023" s="28"/>
      <c r="I4023" s="28"/>
      <c r="J4023" s="28"/>
      <c r="K4023" s="28"/>
      <c r="L4023" s="28"/>
      <c r="M4023" s="28"/>
      <c r="N4023" s="28"/>
      <c r="O4023" s="28"/>
      <c r="P4023" s="28"/>
      <c r="Q4023" s="28"/>
      <c r="R4023" s="28"/>
      <c r="S4023" s="28"/>
    </row>
    <row r="4024" spans="1:19" x14ac:dyDescent="0.25">
      <c r="A4024" s="28"/>
      <c r="B4024" s="28"/>
      <c r="C4024" s="28"/>
      <c r="D4024" s="28"/>
      <c r="E4024" s="28"/>
      <c r="F4024" s="28"/>
      <c r="G4024" s="28"/>
      <c r="H4024" s="28"/>
      <c r="I4024" s="28"/>
      <c r="J4024" s="28"/>
      <c r="K4024" s="28"/>
      <c r="L4024" s="28"/>
      <c r="M4024" s="28"/>
      <c r="N4024" s="28"/>
      <c r="O4024" s="28"/>
      <c r="P4024" s="28"/>
      <c r="Q4024" s="28"/>
      <c r="R4024" s="28"/>
      <c r="S4024" s="28"/>
    </row>
    <row r="4025" spans="1:19" x14ac:dyDescent="0.25">
      <c r="A4025" s="28"/>
      <c r="B4025" s="28"/>
      <c r="C4025" s="28"/>
      <c r="D4025" s="28"/>
      <c r="E4025" s="28"/>
      <c r="F4025" s="28"/>
      <c r="G4025" s="28"/>
      <c r="H4025" s="28"/>
      <c r="I4025" s="28"/>
      <c r="J4025" s="28"/>
      <c r="K4025" s="28"/>
      <c r="L4025" s="28"/>
      <c r="M4025" s="28"/>
      <c r="N4025" s="28"/>
      <c r="O4025" s="28"/>
      <c r="P4025" s="28"/>
      <c r="Q4025" s="28"/>
      <c r="R4025" s="28"/>
      <c r="S4025" s="28"/>
    </row>
    <row r="4026" spans="1:19" x14ac:dyDescent="0.25">
      <c r="A4026" s="28"/>
      <c r="B4026" s="28"/>
      <c r="C4026" s="28"/>
      <c r="D4026" s="28"/>
      <c r="E4026" s="28"/>
      <c r="F4026" s="28"/>
      <c r="G4026" s="28"/>
      <c r="H4026" s="28"/>
      <c r="I4026" s="28"/>
      <c r="J4026" s="28"/>
      <c r="K4026" s="28"/>
      <c r="L4026" s="28"/>
      <c r="M4026" s="28"/>
      <c r="N4026" s="28"/>
      <c r="O4026" s="28"/>
      <c r="P4026" s="28"/>
      <c r="Q4026" s="28"/>
      <c r="R4026" s="28"/>
      <c r="S4026" s="28"/>
    </row>
    <row r="4027" spans="1:19" x14ac:dyDescent="0.25">
      <c r="A4027" s="28"/>
      <c r="B4027" s="28"/>
      <c r="C4027" s="28"/>
      <c r="D4027" s="28"/>
      <c r="E4027" s="28"/>
      <c r="F4027" s="28"/>
      <c r="G4027" s="28"/>
      <c r="H4027" s="28"/>
      <c r="I4027" s="28"/>
      <c r="J4027" s="28"/>
      <c r="K4027" s="28"/>
      <c r="L4027" s="28"/>
      <c r="M4027" s="28"/>
      <c r="N4027" s="28"/>
      <c r="O4027" s="28"/>
      <c r="P4027" s="28"/>
      <c r="Q4027" s="28"/>
      <c r="R4027" s="28"/>
      <c r="S4027" s="28"/>
    </row>
    <row r="4028" spans="1:19" x14ac:dyDescent="0.25">
      <c r="A4028" s="28"/>
      <c r="B4028" s="28"/>
      <c r="C4028" s="28"/>
      <c r="D4028" s="28"/>
      <c r="E4028" s="28"/>
      <c r="F4028" s="28"/>
      <c r="G4028" s="28"/>
      <c r="H4028" s="28"/>
      <c r="I4028" s="28"/>
      <c r="J4028" s="28"/>
      <c r="K4028" s="28"/>
      <c r="L4028" s="28"/>
      <c r="M4028" s="28"/>
      <c r="N4028" s="28"/>
      <c r="O4028" s="28"/>
      <c r="P4028" s="28"/>
      <c r="Q4028" s="28"/>
      <c r="R4028" s="28"/>
      <c r="S4028" s="28"/>
    </row>
    <row r="4029" spans="1:19" x14ac:dyDescent="0.25">
      <c r="A4029" s="28"/>
      <c r="B4029" s="28"/>
      <c r="C4029" s="28"/>
      <c r="D4029" s="28"/>
      <c r="E4029" s="28"/>
      <c r="F4029" s="28"/>
      <c r="G4029" s="28"/>
      <c r="H4029" s="28"/>
      <c r="I4029" s="28"/>
      <c r="J4029" s="28"/>
      <c r="K4029" s="28"/>
      <c r="L4029" s="28"/>
      <c r="M4029" s="28"/>
      <c r="N4029" s="28"/>
      <c r="O4029" s="28"/>
      <c r="P4029" s="28"/>
      <c r="Q4029" s="28"/>
      <c r="R4029" s="28"/>
      <c r="S4029" s="28"/>
    </row>
    <row r="4030" spans="1:19" x14ac:dyDescent="0.25">
      <c r="A4030" s="28"/>
      <c r="B4030" s="28"/>
      <c r="C4030" s="28"/>
      <c r="D4030" s="28"/>
      <c r="E4030" s="28"/>
      <c r="F4030" s="28"/>
      <c r="G4030" s="28"/>
      <c r="H4030" s="28"/>
      <c r="I4030" s="28"/>
      <c r="J4030" s="28"/>
      <c r="K4030" s="28"/>
      <c r="L4030" s="28"/>
      <c r="M4030" s="28"/>
      <c r="N4030" s="28"/>
      <c r="O4030" s="28"/>
      <c r="P4030" s="28"/>
      <c r="Q4030" s="28"/>
      <c r="R4030" s="28"/>
      <c r="S4030" s="28"/>
    </row>
    <row r="4031" spans="1:19" x14ac:dyDescent="0.25">
      <c r="A4031" s="28"/>
      <c r="B4031" s="28"/>
      <c r="C4031" s="28"/>
      <c r="D4031" s="28"/>
      <c r="E4031" s="28"/>
      <c r="F4031" s="28"/>
      <c r="G4031" s="28"/>
      <c r="H4031" s="28"/>
      <c r="I4031" s="28"/>
      <c r="J4031" s="28"/>
      <c r="K4031" s="28"/>
      <c r="L4031" s="28"/>
      <c r="M4031" s="28"/>
      <c r="N4031" s="28"/>
      <c r="O4031" s="28"/>
      <c r="P4031" s="28"/>
      <c r="Q4031" s="28"/>
      <c r="R4031" s="28"/>
      <c r="S4031" s="28"/>
    </row>
    <row r="4032" spans="1:19" x14ac:dyDescent="0.25">
      <c r="A4032" s="28"/>
      <c r="B4032" s="28"/>
      <c r="C4032" s="28"/>
      <c r="D4032" s="28"/>
      <c r="E4032" s="28"/>
      <c r="F4032" s="28"/>
      <c r="G4032" s="28"/>
      <c r="H4032" s="28"/>
      <c r="I4032" s="28"/>
      <c r="J4032" s="28"/>
      <c r="K4032" s="28"/>
      <c r="L4032" s="28"/>
      <c r="M4032" s="28"/>
      <c r="N4032" s="28"/>
      <c r="O4032" s="28"/>
      <c r="P4032" s="28"/>
      <c r="Q4032" s="28"/>
      <c r="R4032" s="28"/>
      <c r="S4032" s="28"/>
    </row>
    <row r="4033" spans="1:19" x14ac:dyDescent="0.25">
      <c r="A4033" s="28"/>
      <c r="B4033" s="28"/>
      <c r="C4033" s="28"/>
      <c r="D4033" s="28"/>
      <c r="E4033" s="28"/>
      <c r="F4033" s="28"/>
      <c r="G4033" s="28"/>
      <c r="H4033" s="28"/>
      <c r="I4033" s="28"/>
      <c r="J4033" s="28"/>
      <c r="K4033" s="28"/>
      <c r="L4033" s="28"/>
      <c r="M4033" s="28"/>
      <c r="N4033" s="28"/>
      <c r="O4033" s="28"/>
      <c r="P4033" s="28"/>
      <c r="Q4033" s="28"/>
      <c r="R4033" s="28"/>
      <c r="S4033" s="28"/>
    </row>
    <row r="4034" spans="1:19" x14ac:dyDescent="0.25">
      <c r="A4034" s="28"/>
      <c r="B4034" s="28"/>
      <c r="C4034" s="28"/>
      <c r="D4034" s="28"/>
      <c r="E4034" s="28"/>
      <c r="F4034" s="28"/>
      <c r="G4034" s="28"/>
      <c r="H4034" s="28"/>
      <c r="I4034" s="28"/>
      <c r="J4034" s="28"/>
      <c r="K4034" s="28"/>
      <c r="L4034" s="28"/>
      <c r="M4034" s="28"/>
      <c r="N4034" s="28"/>
      <c r="O4034" s="28"/>
      <c r="P4034" s="28"/>
      <c r="Q4034" s="28"/>
      <c r="R4034" s="28"/>
      <c r="S4034" s="28"/>
    </row>
    <row r="4035" spans="1:19" x14ac:dyDescent="0.25">
      <c r="A4035" s="28"/>
      <c r="B4035" s="28"/>
      <c r="C4035" s="28"/>
      <c r="D4035" s="28"/>
      <c r="E4035" s="28"/>
      <c r="F4035" s="28"/>
      <c r="G4035" s="28"/>
      <c r="H4035" s="28"/>
      <c r="I4035" s="28"/>
      <c r="J4035" s="28"/>
      <c r="K4035" s="28"/>
      <c r="L4035" s="28"/>
      <c r="M4035" s="28"/>
      <c r="N4035" s="28"/>
      <c r="O4035" s="28"/>
      <c r="P4035" s="28"/>
      <c r="Q4035" s="28"/>
      <c r="R4035" s="28"/>
      <c r="S4035" s="28"/>
    </row>
    <row r="4036" spans="1:19" x14ac:dyDescent="0.25">
      <c r="A4036" s="28"/>
      <c r="B4036" s="28"/>
      <c r="C4036" s="28"/>
      <c r="D4036" s="28"/>
      <c r="E4036" s="28"/>
      <c r="F4036" s="28"/>
      <c r="G4036" s="28"/>
      <c r="H4036" s="28"/>
      <c r="I4036" s="28"/>
      <c r="J4036" s="28"/>
      <c r="K4036" s="28"/>
      <c r="L4036" s="28"/>
      <c r="M4036" s="28"/>
      <c r="N4036" s="28"/>
      <c r="O4036" s="28"/>
      <c r="P4036" s="28"/>
      <c r="Q4036" s="28"/>
      <c r="R4036" s="28"/>
      <c r="S4036" s="28"/>
    </row>
    <row r="4037" spans="1:19" x14ac:dyDescent="0.25">
      <c r="A4037" s="28"/>
      <c r="B4037" s="28"/>
      <c r="C4037" s="28"/>
      <c r="D4037" s="28"/>
      <c r="E4037" s="28"/>
      <c r="F4037" s="28"/>
      <c r="G4037" s="28"/>
      <c r="H4037" s="28"/>
      <c r="I4037" s="28"/>
      <c r="J4037" s="28"/>
      <c r="K4037" s="28"/>
      <c r="L4037" s="28"/>
      <c r="M4037" s="28"/>
      <c r="N4037" s="28"/>
      <c r="O4037" s="28"/>
      <c r="P4037" s="28"/>
      <c r="Q4037" s="28"/>
      <c r="R4037" s="28"/>
      <c r="S4037" s="28"/>
    </row>
    <row r="4038" spans="1:19" x14ac:dyDescent="0.25">
      <c r="A4038" s="28"/>
      <c r="B4038" s="28"/>
      <c r="C4038" s="28"/>
      <c r="D4038" s="28"/>
      <c r="E4038" s="28"/>
      <c r="F4038" s="28"/>
      <c r="G4038" s="28"/>
      <c r="H4038" s="28"/>
      <c r="I4038" s="28"/>
      <c r="J4038" s="28"/>
      <c r="K4038" s="28"/>
      <c r="L4038" s="28"/>
      <c r="M4038" s="28"/>
      <c r="N4038" s="28"/>
      <c r="O4038" s="28"/>
      <c r="P4038" s="28"/>
      <c r="Q4038" s="28"/>
      <c r="R4038" s="28"/>
      <c r="S4038" s="28"/>
    </row>
    <row r="4039" spans="1:19" x14ac:dyDescent="0.25">
      <c r="A4039" s="28"/>
      <c r="B4039" s="28"/>
      <c r="C4039" s="28"/>
      <c r="D4039" s="28"/>
      <c r="E4039" s="28"/>
      <c r="F4039" s="28"/>
      <c r="G4039" s="28"/>
      <c r="H4039" s="28"/>
      <c r="I4039" s="28"/>
      <c r="J4039" s="28"/>
      <c r="K4039" s="28"/>
      <c r="L4039" s="28"/>
      <c r="M4039" s="28"/>
      <c r="N4039" s="28"/>
      <c r="O4039" s="28"/>
      <c r="P4039" s="28"/>
      <c r="Q4039" s="28"/>
      <c r="R4039" s="28"/>
      <c r="S4039" s="28"/>
    </row>
    <row r="4040" spans="1:19" x14ac:dyDescent="0.25">
      <c r="A4040" s="28"/>
      <c r="B4040" s="28"/>
      <c r="C4040" s="28"/>
      <c r="D4040" s="28"/>
      <c r="E4040" s="28"/>
      <c r="F4040" s="28"/>
      <c r="G4040" s="28"/>
      <c r="H4040" s="28"/>
      <c r="I4040" s="28"/>
      <c r="J4040" s="28"/>
      <c r="K4040" s="28"/>
      <c r="L4040" s="28"/>
      <c r="M4040" s="28"/>
      <c r="N4040" s="28"/>
      <c r="O4040" s="28"/>
      <c r="P4040" s="28"/>
      <c r="Q4040" s="28"/>
      <c r="R4040" s="28"/>
      <c r="S4040" s="28"/>
    </row>
    <row r="4041" spans="1:19" x14ac:dyDescent="0.25">
      <c r="A4041" s="28"/>
      <c r="B4041" s="28"/>
      <c r="C4041" s="28"/>
      <c r="D4041" s="28"/>
      <c r="E4041" s="28"/>
      <c r="F4041" s="28"/>
      <c r="G4041" s="28"/>
      <c r="H4041" s="28"/>
      <c r="I4041" s="28"/>
      <c r="J4041" s="28"/>
      <c r="K4041" s="28"/>
      <c r="L4041" s="28"/>
      <c r="M4041" s="28"/>
      <c r="N4041" s="28"/>
      <c r="O4041" s="28"/>
      <c r="P4041" s="28"/>
      <c r="Q4041" s="28"/>
      <c r="R4041" s="28"/>
      <c r="S4041" s="28"/>
    </row>
    <row r="4042" spans="1:19" x14ac:dyDescent="0.25">
      <c r="A4042" s="28"/>
      <c r="B4042" s="28"/>
      <c r="C4042" s="28"/>
      <c r="D4042" s="28"/>
      <c r="E4042" s="28"/>
      <c r="F4042" s="28"/>
      <c r="G4042" s="28"/>
      <c r="H4042" s="28"/>
      <c r="I4042" s="28"/>
      <c r="J4042" s="28"/>
      <c r="K4042" s="28"/>
      <c r="L4042" s="28"/>
      <c r="M4042" s="28"/>
      <c r="N4042" s="28"/>
      <c r="O4042" s="28"/>
      <c r="P4042" s="28"/>
      <c r="Q4042" s="28"/>
      <c r="R4042" s="28"/>
      <c r="S4042" s="28"/>
    </row>
    <row r="4043" spans="1:19" x14ac:dyDescent="0.25">
      <c r="A4043" s="28"/>
      <c r="B4043" s="28"/>
      <c r="C4043" s="28"/>
      <c r="D4043" s="28"/>
      <c r="E4043" s="28"/>
      <c r="F4043" s="28"/>
      <c r="G4043" s="28"/>
      <c r="H4043" s="28"/>
      <c r="I4043" s="28"/>
      <c r="J4043" s="28"/>
      <c r="K4043" s="28"/>
      <c r="L4043" s="28"/>
      <c r="M4043" s="28"/>
      <c r="N4043" s="28"/>
      <c r="O4043" s="28"/>
      <c r="P4043" s="28"/>
      <c r="Q4043" s="28"/>
      <c r="R4043" s="28"/>
      <c r="S4043" s="28"/>
    </row>
    <row r="4044" spans="1:19" x14ac:dyDescent="0.25">
      <c r="A4044" s="28"/>
      <c r="B4044" s="28"/>
      <c r="C4044" s="28"/>
      <c r="D4044" s="28"/>
      <c r="E4044" s="28"/>
      <c r="F4044" s="28"/>
      <c r="G4044" s="28"/>
      <c r="H4044" s="28"/>
      <c r="I4044" s="28"/>
      <c r="J4044" s="28"/>
      <c r="K4044" s="28"/>
      <c r="L4044" s="28"/>
      <c r="M4044" s="28"/>
      <c r="N4044" s="28"/>
      <c r="O4044" s="28"/>
      <c r="P4044" s="28"/>
      <c r="Q4044" s="28"/>
      <c r="R4044" s="28"/>
      <c r="S4044" s="28"/>
    </row>
    <row r="4045" spans="1:19" x14ac:dyDescent="0.25">
      <c r="A4045" s="28"/>
      <c r="B4045" s="28"/>
      <c r="C4045" s="28"/>
      <c r="D4045" s="28"/>
      <c r="E4045" s="28"/>
      <c r="F4045" s="28"/>
      <c r="G4045" s="28"/>
      <c r="H4045" s="28"/>
      <c r="I4045" s="28"/>
      <c r="J4045" s="28"/>
      <c r="K4045" s="28"/>
      <c r="L4045" s="28"/>
      <c r="M4045" s="28"/>
      <c r="N4045" s="28"/>
      <c r="O4045" s="28"/>
      <c r="P4045" s="28"/>
      <c r="Q4045" s="28"/>
      <c r="R4045" s="28"/>
      <c r="S4045" s="28"/>
    </row>
    <row r="4046" spans="1:19" x14ac:dyDescent="0.25">
      <c r="A4046" s="28"/>
      <c r="B4046" s="28"/>
      <c r="C4046" s="28"/>
      <c r="D4046" s="28"/>
      <c r="E4046" s="28"/>
      <c r="F4046" s="28"/>
      <c r="G4046" s="28"/>
      <c r="H4046" s="28"/>
      <c r="I4046" s="28"/>
      <c r="J4046" s="28"/>
      <c r="K4046" s="28"/>
      <c r="L4046" s="28"/>
      <c r="M4046" s="28"/>
      <c r="N4046" s="28"/>
      <c r="O4046" s="28"/>
      <c r="P4046" s="28"/>
      <c r="Q4046" s="28"/>
      <c r="R4046" s="28"/>
      <c r="S4046" s="28"/>
    </row>
    <row r="4047" spans="1:19" x14ac:dyDescent="0.25">
      <c r="A4047" s="28"/>
      <c r="B4047" s="28"/>
      <c r="C4047" s="28"/>
      <c r="D4047" s="28"/>
      <c r="E4047" s="28"/>
      <c r="F4047" s="28"/>
      <c r="G4047" s="28"/>
      <c r="H4047" s="28"/>
      <c r="I4047" s="28"/>
      <c r="J4047" s="28"/>
      <c r="K4047" s="28"/>
      <c r="L4047" s="28"/>
      <c r="M4047" s="28"/>
      <c r="N4047" s="28"/>
      <c r="O4047" s="28"/>
      <c r="P4047" s="28"/>
      <c r="Q4047" s="28"/>
      <c r="R4047" s="28"/>
      <c r="S4047" s="28"/>
    </row>
    <row r="4048" spans="1:19" x14ac:dyDescent="0.25">
      <c r="A4048" s="28"/>
      <c r="B4048" s="28"/>
      <c r="C4048" s="28"/>
      <c r="D4048" s="28"/>
      <c r="E4048" s="28"/>
      <c r="F4048" s="28"/>
      <c r="G4048" s="28"/>
      <c r="H4048" s="28"/>
      <c r="I4048" s="28"/>
      <c r="J4048" s="28"/>
      <c r="K4048" s="28"/>
      <c r="L4048" s="28"/>
      <c r="M4048" s="28"/>
      <c r="N4048" s="28"/>
      <c r="O4048" s="28"/>
      <c r="P4048" s="28"/>
      <c r="Q4048" s="28"/>
      <c r="R4048" s="28"/>
      <c r="S4048" s="28"/>
    </row>
    <row r="4049" spans="1:19" x14ac:dyDescent="0.25">
      <c r="A4049" s="28"/>
      <c r="B4049" s="28"/>
      <c r="C4049" s="28"/>
      <c r="D4049" s="28"/>
      <c r="E4049" s="28"/>
      <c r="F4049" s="28"/>
      <c r="G4049" s="28"/>
      <c r="H4049" s="28"/>
      <c r="I4049" s="28"/>
      <c r="J4049" s="28"/>
      <c r="K4049" s="28"/>
      <c r="L4049" s="28"/>
      <c r="M4049" s="28"/>
      <c r="N4049" s="28"/>
      <c r="O4049" s="28"/>
      <c r="P4049" s="28"/>
      <c r="Q4049" s="28"/>
      <c r="R4049" s="28"/>
      <c r="S4049" s="28"/>
    </row>
    <row r="4050" spans="1:19" x14ac:dyDescent="0.25">
      <c r="A4050" s="28"/>
      <c r="B4050" s="28"/>
      <c r="C4050" s="28"/>
      <c r="D4050" s="28"/>
      <c r="E4050" s="28"/>
      <c r="F4050" s="28"/>
      <c r="G4050" s="28"/>
      <c r="H4050" s="28"/>
      <c r="I4050" s="28"/>
      <c r="J4050" s="28"/>
      <c r="K4050" s="28"/>
      <c r="L4050" s="28"/>
      <c r="M4050" s="28"/>
      <c r="N4050" s="28"/>
      <c r="O4050" s="28"/>
      <c r="P4050" s="28"/>
      <c r="Q4050" s="28"/>
      <c r="R4050" s="28"/>
      <c r="S4050" s="28"/>
    </row>
    <row r="4051" spans="1:19" x14ac:dyDescent="0.25">
      <c r="A4051" s="28"/>
      <c r="B4051" s="28"/>
      <c r="C4051" s="28"/>
      <c r="D4051" s="28"/>
      <c r="E4051" s="28"/>
      <c r="F4051" s="28"/>
      <c r="G4051" s="28"/>
      <c r="H4051" s="28"/>
      <c r="I4051" s="28"/>
      <c r="J4051" s="28"/>
      <c r="K4051" s="28"/>
      <c r="L4051" s="28"/>
      <c r="M4051" s="28"/>
      <c r="N4051" s="28"/>
      <c r="O4051" s="28"/>
      <c r="P4051" s="28"/>
      <c r="Q4051" s="28"/>
      <c r="R4051" s="28"/>
      <c r="S4051" s="28"/>
    </row>
    <row r="4052" spans="1:19" x14ac:dyDescent="0.25">
      <c r="A4052" s="28"/>
      <c r="B4052" s="28"/>
      <c r="C4052" s="28"/>
      <c r="D4052" s="28"/>
      <c r="E4052" s="28"/>
      <c r="F4052" s="28"/>
      <c r="G4052" s="28"/>
      <c r="H4052" s="28"/>
      <c r="I4052" s="28"/>
      <c r="J4052" s="28"/>
      <c r="K4052" s="28"/>
      <c r="L4052" s="28"/>
      <c r="M4052" s="28"/>
      <c r="N4052" s="28"/>
      <c r="O4052" s="28"/>
      <c r="P4052" s="28"/>
      <c r="Q4052" s="28"/>
      <c r="R4052" s="28"/>
      <c r="S4052" s="28"/>
    </row>
    <row r="4053" spans="1:19" x14ac:dyDescent="0.25">
      <c r="A4053" s="28"/>
      <c r="B4053" s="28"/>
      <c r="C4053" s="28"/>
      <c r="D4053" s="28"/>
      <c r="E4053" s="28"/>
      <c r="F4053" s="28"/>
      <c r="G4053" s="28"/>
      <c r="H4053" s="28"/>
      <c r="I4053" s="28"/>
      <c r="J4053" s="28"/>
      <c r="K4053" s="28"/>
      <c r="L4053" s="28"/>
      <c r="M4053" s="28"/>
      <c r="N4053" s="28"/>
      <c r="O4053" s="28"/>
      <c r="P4053" s="28"/>
      <c r="Q4053" s="28"/>
      <c r="R4053" s="28"/>
      <c r="S4053" s="28"/>
    </row>
    <row r="4054" spans="1:19" x14ac:dyDescent="0.25">
      <c r="A4054" s="28"/>
      <c r="B4054" s="28"/>
      <c r="C4054" s="28"/>
      <c r="D4054" s="28"/>
      <c r="E4054" s="28"/>
      <c r="F4054" s="28"/>
      <c r="G4054" s="28"/>
      <c r="H4054" s="28"/>
      <c r="I4054" s="28"/>
      <c r="J4054" s="28"/>
      <c r="K4054" s="28"/>
      <c r="L4054" s="28"/>
      <c r="M4054" s="28"/>
      <c r="N4054" s="28"/>
      <c r="O4054" s="28"/>
      <c r="P4054" s="28"/>
      <c r="Q4054" s="28"/>
      <c r="R4054" s="28"/>
      <c r="S4054" s="28"/>
    </row>
    <row r="4055" spans="1:19" x14ac:dyDescent="0.25">
      <c r="A4055" s="28"/>
      <c r="B4055" s="28"/>
      <c r="C4055" s="28"/>
      <c r="D4055" s="28"/>
      <c r="E4055" s="28"/>
      <c r="F4055" s="28"/>
      <c r="G4055" s="28"/>
      <c r="H4055" s="28"/>
      <c r="I4055" s="28"/>
      <c r="J4055" s="28"/>
      <c r="K4055" s="28"/>
      <c r="L4055" s="28"/>
      <c r="M4055" s="28"/>
      <c r="N4055" s="28"/>
      <c r="O4055" s="28"/>
      <c r="P4055" s="28"/>
      <c r="Q4055" s="28"/>
      <c r="R4055" s="28"/>
      <c r="S4055" s="28"/>
    </row>
    <row r="4056" spans="1:19" x14ac:dyDescent="0.25">
      <c r="A4056" s="28"/>
      <c r="B4056" s="28"/>
      <c r="C4056" s="28"/>
      <c r="D4056" s="28"/>
      <c r="E4056" s="28"/>
      <c r="F4056" s="28"/>
      <c r="G4056" s="28"/>
      <c r="H4056" s="28"/>
      <c r="I4056" s="28"/>
      <c r="J4056" s="28"/>
      <c r="K4056" s="28"/>
      <c r="L4056" s="28"/>
      <c r="M4056" s="28"/>
      <c r="N4056" s="28"/>
      <c r="O4056" s="28"/>
      <c r="P4056" s="28"/>
      <c r="Q4056" s="28"/>
      <c r="R4056" s="28"/>
      <c r="S4056" s="28"/>
    </row>
    <row r="4057" spans="1:19" x14ac:dyDescent="0.25">
      <c r="A4057" s="28"/>
      <c r="B4057" s="28"/>
      <c r="C4057" s="28"/>
      <c r="D4057" s="28"/>
      <c r="E4057" s="28"/>
      <c r="F4057" s="28"/>
      <c r="G4057" s="28"/>
      <c r="H4057" s="28"/>
      <c r="I4057" s="28"/>
      <c r="J4057" s="28"/>
      <c r="K4057" s="28"/>
      <c r="L4057" s="28"/>
      <c r="M4057" s="28"/>
      <c r="N4057" s="28"/>
      <c r="O4057" s="28"/>
      <c r="P4057" s="28"/>
      <c r="Q4057" s="28"/>
      <c r="R4057" s="28"/>
      <c r="S4057" s="28"/>
    </row>
    <row r="4058" spans="1:19" x14ac:dyDescent="0.25">
      <c r="A4058" s="28"/>
      <c r="B4058" s="28"/>
      <c r="C4058" s="28"/>
      <c r="D4058" s="28"/>
      <c r="E4058" s="28"/>
      <c r="F4058" s="28"/>
      <c r="G4058" s="28"/>
      <c r="H4058" s="28"/>
      <c r="I4058" s="28"/>
      <c r="J4058" s="28"/>
      <c r="K4058" s="28"/>
      <c r="L4058" s="28"/>
      <c r="M4058" s="28"/>
      <c r="N4058" s="28"/>
      <c r="O4058" s="28"/>
      <c r="P4058" s="28"/>
      <c r="Q4058" s="28"/>
      <c r="R4058" s="28"/>
      <c r="S4058" s="28"/>
    </row>
    <row r="4059" spans="1:19" x14ac:dyDescent="0.25">
      <c r="A4059" s="28"/>
      <c r="B4059" s="28"/>
      <c r="C4059" s="28"/>
      <c r="D4059" s="28"/>
      <c r="E4059" s="28"/>
      <c r="F4059" s="28"/>
      <c r="G4059" s="28"/>
      <c r="H4059" s="28"/>
      <c r="I4059" s="28"/>
      <c r="J4059" s="28"/>
      <c r="K4059" s="28"/>
      <c r="L4059" s="28"/>
      <c r="M4059" s="28"/>
      <c r="N4059" s="28"/>
      <c r="O4059" s="28"/>
      <c r="P4059" s="28"/>
      <c r="Q4059" s="28"/>
      <c r="R4059" s="28"/>
      <c r="S4059" s="28"/>
    </row>
    <row r="4060" spans="1:19" x14ac:dyDescent="0.25">
      <c r="A4060" s="28"/>
      <c r="B4060" s="28"/>
      <c r="C4060" s="28"/>
      <c r="D4060" s="28"/>
      <c r="E4060" s="28"/>
      <c r="F4060" s="28"/>
      <c r="G4060" s="28"/>
      <c r="H4060" s="28"/>
      <c r="I4060" s="28"/>
      <c r="J4060" s="28"/>
      <c r="K4060" s="28"/>
      <c r="L4060" s="28"/>
      <c r="M4060" s="28"/>
      <c r="N4060" s="28"/>
      <c r="O4060" s="28"/>
      <c r="P4060" s="28"/>
      <c r="Q4060" s="28"/>
      <c r="R4060" s="28"/>
      <c r="S4060" s="28"/>
    </row>
    <row r="4061" spans="1:19" x14ac:dyDescent="0.25">
      <c r="A4061" s="28"/>
      <c r="B4061" s="28"/>
      <c r="C4061" s="28"/>
      <c r="D4061" s="28"/>
      <c r="E4061" s="28"/>
      <c r="F4061" s="28"/>
      <c r="G4061" s="28"/>
      <c r="H4061" s="28"/>
      <c r="I4061" s="28"/>
      <c r="J4061" s="28"/>
      <c r="K4061" s="28"/>
      <c r="L4061" s="28"/>
      <c r="M4061" s="28"/>
      <c r="N4061" s="28"/>
      <c r="O4061" s="28"/>
      <c r="P4061" s="28"/>
      <c r="Q4061" s="28"/>
      <c r="R4061" s="28"/>
      <c r="S4061" s="28"/>
    </row>
    <row r="4062" spans="1:19" x14ac:dyDescent="0.25">
      <c r="A4062" s="28"/>
      <c r="B4062" s="28"/>
      <c r="C4062" s="28"/>
      <c r="D4062" s="28"/>
      <c r="E4062" s="28"/>
      <c r="F4062" s="28"/>
      <c r="G4062" s="28"/>
      <c r="H4062" s="28"/>
      <c r="I4062" s="28"/>
      <c r="J4062" s="28"/>
      <c r="K4062" s="28"/>
      <c r="L4062" s="28"/>
      <c r="M4062" s="28"/>
      <c r="N4062" s="28"/>
      <c r="O4062" s="28"/>
      <c r="P4062" s="28"/>
      <c r="Q4062" s="28"/>
      <c r="R4062" s="28"/>
      <c r="S4062" s="28"/>
    </row>
    <row r="4063" spans="1:19" x14ac:dyDescent="0.25">
      <c r="A4063" s="28"/>
      <c r="B4063" s="28"/>
      <c r="C4063" s="28"/>
      <c r="D4063" s="28"/>
      <c r="E4063" s="28"/>
      <c r="F4063" s="28"/>
      <c r="G4063" s="28"/>
      <c r="H4063" s="28"/>
      <c r="I4063" s="28"/>
      <c r="J4063" s="28"/>
      <c r="K4063" s="28"/>
      <c r="L4063" s="28"/>
      <c r="M4063" s="28"/>
      <c r="N4063" s="28"/>
      <c r="O4063" s="28"/>
      <c r="P4063" s="28"/>
      <c r="Q4063" s="28"/>
      <c r="R4063" s="28"/>
      <c r="S4063" s="28"/>
    </row>
    <row r="4064" spans="1:19" x14ac:dyDescent="0.25">
      <c r="A4064" s="28"/>
      <c r="B4064" s="28"/>
      <c r="C4064" s="28"/>
      <c r="D4064" s="28"/>
      <c r="E4064" s="28"/>
      <c r="F4064" s="28"/>
      <c r="G4064" s="28"/>
      <c r="H4064" s="28"/>
      <c r="I4064" s="28"/>
      <c r="J4064" s="28"/>
      <c r="K4064" s="28"/>
      <c r="L4064" s="28"/>
      <c r="M4064" s="28"/>
      <c r="N4064" s="28"/>
      <c r="O4064" s="28"/>
      <c r="P4064" s="28"/>
      <c r="Q4064" s="28"/>
      <c r="R4064" s="28"/>
      <c r="S4064" s="28"/>
    </row>
    <row r="4065" spans="1:19" x14ac:dyDescent="0.25">
      <c r="A4065" s="28"/>
      <c r="B4065" s="28"/>
      <c r="C4065" s="28"/>
      <c r="D4065" s="28"/>
      <c r="E4065" s="28"/>
      <c r="F4065" s="28"/>
      <c r="G4065" s="28"/>
      <c r="H4065" s="28"/>
      <c r="I4065" s="28"/>
      <c r="J4065" s="28"/>
      <c r="K4065" s="28"/>
      <c r="L4065" s="28"/>
      <c r="M4065" s="28"/>
      <c r="N4065" s="28"/>
      <c r="O4065" s="28"/>
      <c r="P4065" s="28"/>
      <c r="Q4065" s="28"/>
      <c r="R4065" s="28"/>
      <c r="S4065" s="28"/>
    </row>
    <row r="4066" spans="1:19" x14ac:dyDescent="0.25">
      <c r="A4066" s="28"/>
      <c r="B4066" s="28"/>
      <c r="C4066" s="28"/>
      <c r="D4066" s="28"/>
      <c r="E4066" s="28"/>
      <c r="F4066" s="28"/>
      <c r="G4066" s="28"/>
      <c r="H4066" s="28"/>
      <c r="I4066" s="28"/>
      <c r="J4066" s="28"/>
      <c r="K4066" s="28"/>
      <c r="L4066" s="28"/>
      <c r="M4066" s="28"/>
      <c r="N4066" s="28"/>
      <c r="O4066" s="28"/>
      <c r="P4066" s="28"/>
      <c r="Q4066" s="28"/>
      <c r="R4066" s="28"/>
      <c r="S4066" s="28"/>
    </row>
    <row r="4067" spans="1:19" x14ac:dyDescent="0.25">
      <c r="A4067" s="28"/>
      <c r="B4067" s="28"/>
      <c r="C4067" s="28"/>
      <c r="D4067" s="28"/>
      <c r="E4067" s="28"/>
      <c r="F4067" s="28"/>
      <c r="G4067" s="28"/>
      <c r="H4067" s="28"/>
      <c r="I4067" s="28"/>
      <c r="J4067" s="28"/>
      <c r="K4067" s="28"/>
      <c r="L4067" s="28"/>
      <c r="M4067" s="28"/>
      <c r="N4067" s="28"/>
      <c r="O4067" s="28"/>
      <c r="P4067" s="28"/>
      <c r="Q4067" s="28"/>
      <c r="R4067" s="28"/>
      <c r="S4067" s="28"/>
    </row>
    <row r="4068" spans="1:19" x14ac:dyDescent="0.25">
      <c r="A4068" s="28"/>
      <c r="B4068" s="28"/>
      <c r="C4068" s="28"/>
      <c r="D4068" s="28"/>
      <c r="E4068" s="28"/>
      <c r="F4068" s="28"/>
      <c r="G4068" s="28"/>
      <c r="H4068" s="28"/>
      <c r="I4068" s="28"/>
      <c r="J4068" s="28"/>
      <c r="K4068" s="28"/>
      <c r="L4068" s="28"/>
      <c r="M4068" s="28"/>
      <c r="N4068" s="28"/>
      <c r="O4068" s="28"/>
      <c r="P4068" s="28"/>
      <c r="Q4068" s="28"/>
      <c r="R4068" s="28"/>
      <c r="S4068" s="28"/>
    </row>
    <row r="4069" spans="1:19" x14ac:dyDescent="0.25">
      <c r="A4069" s="28"/>
      <c r="B4069" s="28"/>
      <c r="C4069" s="28"/>
      <c r="D4069" s="28"/>
      <c r="E4069" s="28"/>
      <c r="F4069" s="28"/>
      <c r="G4069" s="28"/>
      <c r="H4069" s="28"/>
      <c r="I4069" s="28"/>
      <c r="J4069" s="28"/>
      <c r="K4069" s="28"/>
      <c r="L4069" s="28"/>
      <c r="M4069" s="28"/>
      <c r="N4069" s="28"/>
      <c r="O4069" s="28"/>
      <c r="P4069" s="28"/>
      <c r="Q4069" s="28"/>
      <c r="R4069" s="28"/>
      <c r="S4069" s="28"/>
    </row>
    <row r="4070" spans="1:19" x14ac:dyDescent="0.25">
      <c r="A4070" s="28"/>
      <c r="B4070" s="28"/>
      <c r="C4070" s="28"/>
      <c r="D4070" s="28"/>
      <c r="E4070" s="28"/>
      <c r="F4070" s="28"/>
      <c r="G4070" s="28"/>
      <c r="H4070" s="28"/>
      <c r="I4070" s="28"/>
      <c r="J4070" s="28"/>
      <c r="K4070" s="28"/>
      <c r="L4070" s="28"/>
      <c r="M4070" s="28"/>
      <c r="N4070" s="28"/>
      <c r="O4070" s="28"/>
      <c r="P4070" s="28"/>
      <c r="Q4070" s="28"/>
      <c r="R4070" s="28"/>
      <c r="S4070" s="28"/>
    </row>
    <row r="4071" spans="1:19" x14ac:dyDescent="0.25">
      <c r="A4071" s="28"/>
      <c r="B4071" s="28"/>
      <c r="C4071" s="28"/>
      <c r="D4071" s="28"/>
      <c r="E4071" s="28"/>
      <c r="F4071" s="28"/>
      <c r="G4071" s="28"/>
      <c r="H4071" s="28"/>
      <c r="I4071" s="28"/>
      <c r="J4071" s="28"/>
      <c r="K4071" s="28"/>
      <c r="L4071" s="28"/>
      <c r="M4071" s="28"/>
      <c r="N4071" s="28"/>
      <c r="O4071" s="28"/>
      <c r="P4071" s="28"/>
      <c r="Q4071" s="28"/>
      <c r="R4071" s="28"/>
      <c r="S4071" s="28"/>
    </row>
    <row r="4072" spans="1:19" x14ac:dyDescent="0.25">
      <c r="A4072" s="28"/>
      <c r="B4072" s="28"/>
      <c r="C4072" s="28"/>
      <c r="D4072" s="28"/>
      <c r="E4072" s="28"/>
      <c r="F4072" s="28"/>
      <c r="G4072" s="28"/>
      <c r="H4072" s="28"/>
      <c r="I4072" s="28"/>
      <c r="J4072" s="28"/>
      <c r="K4072" s="28"/>
      <c r="L4072" s="28"/>
      <c r="M4072" s="28"/>
      <c r="N4072" s="28"/>
      <c r="O4072" s="28"/>
      <c r="P4072" s="28"/>
      <c r="Q4072" s="28"/>
      <c r="R4072" s="28"/>
      <c r="S4072" s="28"/>
    </row>
    <row r="4073" spans="1:19" x14ac:dyDescent="0.25">
      <c r="A4073" s="28"/>
      <c r="B4073" s="28"/>
      <c r="C4073" s="28"/>
      <c r="D4073" s="28"/>
      <c r="E4073" s="28"/>
      <c r="F4073" s="28"/>
      <c r="G4073" s="28"/>
      <c r="H4073" s="28"/>
      <c r="I4073" s="28"/>
      <c r="J4073" s="28"/>
      <c r="K4073" s="28"/>
      <c r="L4073" s="28"/>
      <c r="M4073" s="28"/>
      <c r="N4073" s="28"/>
      <c r="O4073" s="28"/>
      <c r="P4073" s="28"/>
      <c r="Q4073" s="28"/>
      <c r="R4073" s="28"/>
      <c r="S4073" s="28"/>
    </row>
    <row r="4074" spans="1:19" x14ac:dyDescent="0.25">
      <c r="A4074" s="28"/>
      <c r="B4074" s="28"/>
      <c r="C4074" s="28"/>
      <c r="D4074" s="28"/>
      <c r="E4074" s="28"/>
      <c r="F4074" s="28"/>
      <c r="G4074" s="28"/>
      <c r="H4074" s="28"/>
      <c r="I4074" s="28"/>
      <c r="J4074" s="28"/>
      <c r="K4074" s="28"/>
      <c r="L4074" s="28"/>
      <c r="M4074" s="28"/>
      <c r="N4074" s="28"/>
      <c r="O4074" s="28"/>
      <c r="P4074" s="28"/>
      <c r="Q4074" s="28"/>
      <c r="R4074" s="28"/>
      <c r="S4074" s="28"/>
    </row>
    <row r="4075" spans="1:19" x14ac:dyDescent="0.25">
      <c r="A4075" s="28"/>
      <c r="B4075" s="28"/>
      <c r="C4075" s="28"/>
      <c r="D4075" s="28"/>
      <c r="E4075" s="28"/>
      <c r="F4075" s="28"/>
      <c r="G4075" s="28"/>
      <c r="H4075" s="28"/>
      <c r="I4075" s="28"/>
      <c r="J4075" s="28"/>
      <c r="K4075" s="28"/>
      <c r="L4075" s="28"/>
      <c r="M4075" s="28"/>
      <c r="N4075" s="28"/>
      <c r="O4075" s="28"/>
      <c r="P4075" s="28"/>
      <c r="Q4075" s="28"/>
      <c r="R4075" s="28"/>
      <c r="S4075" s="28"/>
    </row>
    <row r="4076" spans="1:19" x14ac:dyDescent="0.25">
      <c r="A4076" s="28"/>
      <c r="B4076" s="28"/>
      <c r="C4076" s="28"/>
      <c r="D4076" s="28"/>
      <c r="E4076" s="28"/>
      <c r="F4076" s="28"/>
      <c r="G4076" s="28"/>
      <c r="H4076" s="28"/>
      <c r="I4076" s="28"/>
      <c r="J4076" s="28"/>
      <c r="K4076" s="28"/>
      <c r="L4076" s="28"/>
      <c r="M4076" s="28"/>
      <c r="N4076" s="28"/>
      <c r="O4076" s="28"/>
      <c r="P4076" s="28"/>
      <c r="Q4076" s="28"/>
      <c r="R4076" s="28"/>
      <c r="S4076" s="28"/>
    </row>
    <row r="4077" spans="1:19" x14ac:dyDescent="0.25">
      <c r="A4077" s="28"/>
      <c r="B4077" s="28"/>
      <c r="C4077" s="28"/>
      <c r="D4077" s="28"/>
      <c r="E4077" s="28"/>
      <c r="F4077" s="28"/>
      <c r="G4077" s="28"/>
      <c r="H4077" s="28"/>
      <c r="I4077" s="28"/>
      <c r="J4077" s="28"/>
      <c r="K4077" s="28"/>
      <c r="L4077" s="28"/>
      <c r="M4077" s="28"/>
      <c r="N4077" s="28"/>
      <c r="O4077" s="28"/>
      <c r="P4077" s="28"/>
      <c r="Q4077" s="28"/>
      <c r="R4077" s="28"/>
      <c r="S4077" s="28"/>
    </row>
    <row r="4078" spans="1:19" x14ac:dyDescent="0.25">
      <c r="A4078" s="28"/>
      <c r="B4078" s="28"/>
      <c r="C4078" s="28"/>
      <c r="D4078" s="28"/>
      <c r="E4078" s="28"/>
      <c r="F4078" s="28"/>
      <c r="G4078" s="28"/>
      <c r="H4078" s="28"/>
      <c r="I4078" s="28"/>
      <c r="J4078" s="28"/>
      <c r="K4078" s="28"/>
      <c r="L4078" s="28"/>
      <c r="M4078" s="28"/>
      <c r="N4078" s="28"/>
      <c r="O4078" s="28"/>
      <c r="P4078" s="28"/>
      <c r="Q4078" s="28"/>
      <c r="R4078" s="28"/>
      <c r="S4078" s="28"/>
    </row>
    <row r="4079" spans="1:19" x14ac:dyDescent="0.25">
      <c r="A4079" s="28"/>
      <c r="B4079" s="28"/>
      <c r="C4079" s="28"/>
      <c r="D4079" s="28"/>
      <c r="E4079" s="28"/>
      <c r="F4079" s="28"/>
      <c r="G4079" s="28"/>
      <c r="H4079" s="28"/>
      <c r="I4079" s="28"/>
      <c r="J4079" s="28"/>
      <c r="K4079" s="28"/>
      <c r="L4079" s="28"/>
      <c r="M4079" s="28"/>
      <c r="N4079" s="28"/>
      <c r="O4079" s="28"/>
      <c r="P4079" s="28"/>
      <c r="Q4079" s="28"/>
      <c r="R4079" s="28"/>
      <c r="S4079" s="28"/>
    </row>
    <row r="4080" spans="1:19" x14ac:dyDescent="0.25">
      <c r="A4080" s="28"/>
      <c r="B4080" s="28"/>
      <c r="C4080" s="28"/>
      <c r="D4080" s="28"/>
      <c r="E4080" s="28"/>
      <c r="F4080" s="28"/>
      <c r="G4080" s="28"/>
      <c r="H4080" s="28"/>
      <c r="I4080" s="28"/>
      <c r="J4080" s="28"/>
      <c r="K4080" s="28"/>
      <c r="L4080" s="28"/>
      <c r="M4080" s="28"/>
      <c r="N4080" s="28"/>
      <c r="O4080" s="28"/>
      <c r="P4080" s="28"/>
      <c r="Q4080" s="28"/>
      <c r="R4080" s="28"/>
      <c r="S4080" s="28"/>
    </row>
    <row r="4081" spans="1:19" x14ac:dyDescent="0.25">
      <c r="A4081" s="28"/>
      <c r="B4081" s="28"/>
      <c r="C4081" s="28"/>
      <c r="D4081" s="28"/>
      <c r="E4081" s="28"/>
      <c r="F4081" s="28"/>
      <c r="G4081" s="28"/>
      <c r="H4081" s="28"/>
      <c r="I4081" s="28"/>
      <c r="J4081" s="28"/>
      <c r="K4081" s="28"/>
      <c r="L4081" s="28"/>
      <c r="M4081" s="28"/>
      <c r="N4081" s="28"/>
      <c r="O4081" s="28"/>
      <c r="P4081" s="28"/>
      <c r="Q4081" s="28"/>
      <c r="R4081" s="28"/>
      <c r="S4081" s="28"/>
    </row>
    <row r="4082" spans="1:19" x14ac:dyDescent="0.25">
      <c r="A4082" s="28"/>
      <c r="B4082" s="28"/>
      <c r="C4082" s="28"/>
      <c r="D4082" s="28"/>
      <c r="E4082" s="28"/>
      <c r="F4082" s="28"/>
      <c r="G4082" s="28"/>
      <c r="H4082" s="28"/>
      <c r="I4082" s="28"/>
      <c r="J4082" s="28"/>
      <c r="K4082" s="28"/>
      <c r="L4082" s="28"/>
      <c r="M4082" s="28"/>
      <c r="N4082" s="28"/>
      <c r="O4082" s="28"/>
      <c r="P4082" s="28"/>
      <c r="Q4082" s="28"/>
      <c r="R4082" s="28"/>
      <c r="S4082" s="28"/>
    </row>
    <row r="4083" spans="1:19" x14ac:dyDescent="0.25">
      <c r="A4083" s="28"/>
      <c r="B4083" s="28"/>
      <c r="C4083" s="28"/>
      <c r="D4083" s="28"/>
      <c r="E4083" s="28"/>
      <c r="F4083" s="28"/>
      <c r="G4083" s="28"/>
      <c r="H4083" s="28"/>
      <c r="I4083" s="28"/>
      <c r="J4083" s="28"/>
      <c r="K4083" s="28"/>
      <c r="L4083" s="28"/>
      <c r="M4083" s="28"/>
      <c r="N4083" s="28"/>
      <c r="O4083" s="28"/>
      <c r="P4083" s="28"/>
      <c r="Q4083" s="28"/>
      <c r="R4083" s="28"/>
      <c r="S4083" s="28"/>
    </row>
    <row r="4084" spans="1:19" x14ac:dyDescent="0.25">
      <c r="A4084" s="28"/>
      <c r="B4084" s="28"/>
      <c r="C4084" s="28"/>
      <c r="D4084" s="28"/>
      <c r="E4084" s="28"/>
      <c r="F4084" s="28"/>
      <c r="G4084" s="28"/>
      <c r="H4084" s="28"/>
      <c r="I4084" s="28"/>
      <c r="J4084" s="28"/>
      <c r="K4084" s="28"/>
      <c r="L4084" s="28"/>
      <c r="M4084" s="28"/>
      <c r="N4084" s="28"/>
      <c r="O4084" s="28"/>
      <c r="P4084" s="28"/>
      <c r="Q4084" s="28"/>
      <c r="R4084" s="28"/>
      <c r="S4084" s="28"/>
    </row>
    <row r="4085" spans="1:19" x14ac:dyDescent="0.25">
      <c r="A4085" s="28"/>
      <c r="B4085" s="28"/>
      <c r="C4085" s="28"/>
      <c r="D4085" s="28"/>
      <c r="E4085" s="28"/>
      <c r="F4085" s="28"/>
      <c r="G4085" s="28"/>
      <c r="H4085" s="28"/>
      <c r="I4085" s="28"/>
      <c r="J4085" s="28"/>
      <c r="K4085" s="28"/>
      <c r="L4085" s="28"/>
      <c r="M4085" s="28"/>
      <c r="N4085" s="28"/>
      <c r="O4085" s="28"/>
      <c r="P4085" s="28"/>
      <c r="Q4085" s="28"/>
      <c r="R4085" s="28"/>
      <c r="S4085" s="28"/>
    </row>
    <row r="4086" spans="1:19" x14ac:dyDescent="0.25">
      <c r="A4086" s="28"/>
      <c r="B4086" s="28"/>
      <c r="C4086" s="28"/>
      <c r="D4086" s="28"/>
      <c r="E4086" s="28"/>
      <c r="F4086" s="28"/>
      <c r="G4086" s="28"/>
      <c r="H4086" s="28"/>
      <c r="I4086" s="28"/>
      <c r="J4086" s="28"/>
      <c r="K4086" s="28"/>
      <c r="L4086" s="28"/>
      <c r="M4086" s="28"/>
      <c r="N4086" s="28"/>
      <c r="O4086" s="28"/>
      <c r="P4086" s="28"/>
      <c r="Q4086" s="28"/>
      <c r="R4086" s="28"/>
      <c r="S4086" s="28"/>
    </row>
    <row r="4087" spans="1:19" x14ac:dyDescent="0.25">
      <c r="A4087" s="28"/>
      <c r="B4087" s="28"/>
      <c r="C4087" s="28"/>
      <c r="D4087" s="28"/>
      <c r="E4087" s="28"/>
      <c r="F4087" s="28"/>
      <c r="G4087" s="28"/>
      <c r="H4087" s="28"/>
      <c r="I4087" s="28"/>
      <c r="J4087" s="28"/>
      <c r="K4087" s="28"/>
      <c r="L4087" s="28"/>
      <c r="M4087" s="28"/>
      <c r="N4087" s="28"/>
      <c r="O4087" s="28"/>
      <c r="P4087" s="28"/>
      <c r="Q4087" s="28"/>
      <c r="R4087" s="28"/>
      <c r="S4087" s="28"/>
    </row>
    <row r="4088" spans="1:19" x14ac:dyDescent="0.25">
      <c r="A4088" s="28"/>
      <c r="B4088" s="28"/>
      <c r="C4088" s="28"/>
      <c r="D4088" s="28"/>
      <c r="E4088" s="28"/>
      <c r="F4088" s="28"/>
      <c r="G4088" s="28"/>
      <c r="H4088" s="28"/>
      <c r="I4088" s="28"/>
      <c r="J4088" s="28"/>
      <c r="K4088" s="28"/>
      <c r="L4088" s="28"/>
      <c r="M4088" s="28"/>
      <c r="N4088" s="28"/>
      <c r="O4088" s="28"/>
      <c r="P4088" s="28"/>
      <c r="Q4088" s="28"/>
      <c r="R4088" s="28"/>
      <c r="S4088" s="28"/>
    </row>
    <row r="4089" spans="1:19" x14ac:dyDescent="0.25">
      <c r="A4089" s="28"/>
      <c r="B4089" s="28"/>
      <c r="C4089" s="28"/>
      <c r="D4089" s="28"/>
      <c r="E4089" s="28"/>
      <c r="F4089" s="28"/>
      <c r="G4089" s="28"/>
      <c r="H4089" s="28"/>
      <c r="I4089" s="28"/>
      <c r="J4089" s="28"/>
      <c r="K4089" s="28"/>
      <c r="L4089" s="28"/>
      <c r="M4089" s="28"/>
      <c r="N4089" s="28"/>
      <c r="O4089" s="28"/>
      <c r="P4089" s="28"/>
      <c r="Q4089" s="28"/>
      <c r="R4089" s="28"/>
      <c r="S4089" s="28"/>
    </row>
    <row r="4090" spans="1:19" x14ac:dyDescent="0.25">
      <c r="A4090" s="28"/>
      <c r="B4090" s="28"/>
      <c r="C4090" s="28"/>
      <c r="D4090" s="28"/>
      <c r="E4090" s="28"/>
      <c r="F4090" s="28"/>
      <c r="G4090" s="28"/>
      <c r="H4090" s="28"/>
      <c r="I4090" s="28"/>
      <c r="J4090" s="28"/>
      <c r="K4090" s="28"/>
      <c r="L4090" s="28"/>
      <c r="M4090" s="28"/>
      <c r="N4090" s="28"/>
      <c r="O4090" s="28"/>
      <c r="P4090" s="28"/>
      <c r="Q4090" s="28"/>
      <c r="R4090" s="28"/>
      <c r="S4090" s="28"/>
    </row>
    <row r="4091" spans="1:19" x14ac:dyDescent="0.25">
      <c r="A4091" s="28"/>
      <c r="B4091" s="28"/>
      <c r="C4091" s="28"/>
      <c r="D4091" s="28"/>
      <c r="E4091" s="28"/>
      <c r="F4091" s="28"/>
      <c r="G4091" s="28"/>
      <c r="H4091" s="28"/>
      <c r="I4091" s="28"/>
      <c r="J4091" s="28"/>
      <c r="K4091" s="28"/>
      <c r="L4091" s="28"/>
      <c r="M4091" s="28"/>
      <c r="N4091" s="28"/>
      <c r="O4091" s="28"/>
      <c r="P4091" s="28"/>
      <c r="Q4091" s="28"/>
      <c r="R4091" s="28"/>
      <c r="S4091" s="28"/>
    </row>
    <row r="4092" spans="1:19" x14ac:dyDescent="0.25">
      <c r="A4092" s="28"/>
      <c r="B4092" s="28"/>
      <c r="C4092" s="28"/>
      <c r="D4092" s="28"/>
      <c r="E4092" s="28"/>
      <c r="F4092" s="28"/>
      <c r="G4092" s="28"/>
      <c r="H4092" s="28"/>
      <c r="I4092" s="28"/>
      <c r="J4092" s="28"/>
      <c r="K4092" s="28"/>
      <c r="L4092" s="28"/>
      <c r="M4092" s="28"/>
      <c r="N4092" s="28"/>
      <c r="O4092" s="28"/>
      <c r="P4092" s="28"/>
      <c r="Q4092" s="28"/>
      <c r="R4092" s="28"/>
      <c r="S4092" s="28"/>
    </row>
    <row r="4093" spans="1:19" x14ac:dyDescent="0.25">
      <c r="A4093" s="28"/>
      <c r="B4093" s="28"/>
      <c r="C4093" s="28"/>
      <c r="D4093" s="28"/>
      <c r="E4093" s="28"/>
      <c r="F4093" s="28"/>
      <c r="G4093" s="28"/>
      <c r="H4093" s="28"/>
      <c r="I4093" s="28"/>
      <c r="J4093" s="28"/>
      <c r="K4093" s="28"/>
      <c r="L4093" s="28"/>
      <c r="M4093" s="28"/>
      <c r="N4093" s="28"/>
      <c r="O4093" s="28"/>
      <c r="P4093" s="28"/>
      <c r="Q4093" s="28"/>
      <c r="R4093" s="28"/>
      <c r="S4093" s="28"/>
    </row>
    <row r="4094" spans="1:19" x14ac:dyDescent="0.25">
      <c r="A4094" s="28"/>
      <c r="B4094" s="28"/>
      <c r="C4094" s="28"/>
      <c r="D4094" s="28"/>
      <c r="E4094" s="28"/>
      <c r="F4094" s="28"/>
      <c r="G4094" s="28"/>
      <c r="H4094" s="28"/>
      <c r="I4094" s="28"/>
      <c r="J4094" s="28"/>
      <c r="K4094" s="28"/>
      <c r="L4094" s="28"/>
      <c r="M4094" s="28"/>
      <c r="N4094" s="28"/>
      <c r="O4094" s="28"/>
      <c r="P4094" s="28"/>
      <c r="Q4094" s="28"/>
      <c r="R4094" s="28"/>
      <c r="S4094" s="28"/>
    </row>
    <row r="4095" spans="1:19" x14ac:dyDescent="0.25">
      <c r="A4095" s="28"/>
      <c r="B4095" s="28"/>
      <c r="C4095" s="28"/>
      <c r="D4095" s="28"/>
      <c r="E4095" s="28"/>
      <c r="F4095" s="28"/>
      <c r="G4095" s="28"/>
      <c r="H4095" s="28"/>
      <c r="I4095" s="28"/>
      <c r="J4095" s="28"/>
      <c r="K4095" s="28"/>
      <c r="L4095" s="28"/>
      <c r="M4095" s="28"/>
      <c r="N4095" s="28"/>
      <c r="O4095" s="28"/>
      <c r="P4095" s="28"/>
      <c r="Q4095" s="28"/>
      <c r="R4095" s="28"/>
      <c r="S4095" s="28"/>
    </row>
    <row r="4096" spans="1:19" x14ac:dyDescent="0.25">
      <c r="A4096" s="28"/>
      <c r="B4096" s="28"/>
      <c r="C4096" s="28"/>
      <c r="D4096" s="28"/>
      <c r="E4096" s="28"/>
      <c r="F4096" s="28"/>
      <c r="G4096" s="28"/>
      <c r="H4096" s="28"/>
      <c r="I4096" s="28"/>
      <c r="J4096" s="28"/>
      <c r="K4096" s="28"/>
      <c r="L4096" s="28"/>
      <c r="M4096" s="28"/>
      <c r="N4096" s="28"/>
      <c r="O4096" s="28"/>
      <c r="P4096" s="28"/>
      <c r="Q4096" s="28"/>
      <c r="R4096" s="28"/>
      <c r="S4096" s="28"/>
    </row>
    <row r="4097" spans="1:19" x14ac:dyDescent="0.25">
      <c r="A4097" s="28"/>
      <c r="B4097" s="28"/>
      <c r="C4097" s="28"/>
      <c r="D4097" s="28"/>
      <c r="E4097" s="28"/>
      <c r="F4097" s="28"/>
      <c r="G4097" s="28"/>
      <c r="H4097" s="28"/>
      <c r="I4097" s="28"/>
      <c r="J4097" s="28"/>
      <c r="K4097" s="28"/>
      <c r="L4097" s="28"/>
      <c r="M4097" s="28"/>
      <c r="N4097" s="28"/>
      <c r="O4097" s="28"/>
      <c r="P4097" s="28"/>
      <c r="Q4097" s="28"/>
      <c r="R4097" s="28"/>
      <c r="S4097" s="28"/>
    </row>
    <row r="4098" spans="1:19" x14ac:dyDescent="0.25">
      <c r="A4098" s="28"/>
      <c r="B4098" s="28"/>
      <c r="C4098" s="28"/>
      <c r="D4098" s="28"/>
      <c r="E4098" s="28"/>
      <c r="F4098" s="28"/>
      <c r="G4098" s="28"/>
      <c r="H4098" s="28"/>
      <c r="I4098" s="28"/>
      <c r="J4098" s="28"/>
      <c r="K4098" s="28"/>
      <c r="L4098" s="28"/>
      <c r="M4098" s="28"/>
      <c r="N4098" s="28"/>
      <c r="O4098" s="28"/>
      <c r="P4098" s="28"/>
      <c r="Q4098" s="28"/>
      <c r="R4098" s="28"/>
      <c r="S4098" s="28"/>
    </row>
    <row r="4099" spans="1:19" x14ac:dyDescent="0.25">
      <c r="A4099" s="28"/>
      <c r="B4099" s="28"/>
      <c r="C4099" s="28"/>
      <c r="D4099" s="28"/>
      <c r="E4099" s="28"/>
      <c r="F4099" s="28"/>
      <c r="G4099" s="28"/>
      <c r="H4099" s="28"/>
      <c r="I4099" s="28"/>
      <c r="J4099" s="28"/>
      <c r="K4099" s="28"/>
      <c r="L4099" s="28"/>
      <c r="M4099" s="28"/>
      <c r="N4099" s="28"/>
      <c r="O4099" s="28"/>
      <c r="P4099" s="28"/>
      <c r="Q4099" s="28"/>
      <c r="R4099" s="28"/>
      <c r="S4099" s="28"/>
    </row>
    <row r="4100" spans="1:19" x14ac:dyDescent="0.25">
      <c r="A4100" s="28"/>
      <c r="B4100" s="28"/>
      <c r="C4100" s="28"/>
      <c r="D4100" s="28"/>
      <c r="E4100" s="28"/>
      <c r="F4100" s="28"/>
      <c r="G4100" s="28"/>
      <c r="H4100" s="28"/>
      <c r="I4100" s="28"/>
      <c r="J4100" s="28"/>
      <c r="K4100" s="28"/>
      <c r="L4100" s="28"/>
      <c r="M4100" s="28"/>
      <c r="N4100" s="28"/>
      <c r="O4100" s="28"/>
      <c r="P4100" s="28"/>
      <c r="Q4100" s="28"/>
      <c r="R4100" s="28"/>
      <c r="S4100" s="28"/>
    </row>
    <row r="4101" spans="1:19" x14ac:dyDescent="0.25">
      <c r="A4101" s="28"/>
      <c r="B4101" s="28"/>
      <c r="C4101" s="28"/>
      <c r="D4101" s="28"/>
      <c r="E4101" s="28"/>
      <c r="F4101" s="28"/>
      <c r="G4101" s="28"/>
      <c r="H4101" s="28"/>
      <c r="I4101" s="28"/>
      <c r="J4101" s="28"/>
      <c r="K4101" s="28"/>
      <c r="L4101" s="28"/>
      <c r="M4101" s="28"/>
      <c r="N4101" s="28"/>
      <c r="O4101" s="28"/>
      <c r="P4101" s="28"/>
      <c r="Q4101" s="28"/>
      <c r="R4101" s="28"/>
      <c r="S4101" s="28"/>
    </row>
    <row r="4102" spans="1:19" x14ac:dyDescent="0.25">
      <c r="A4102" s="28"/>
      <c r="B4102" s="28"/>
      <c r="C4102" s="28"/>
      <c r="D4102" s="28"/>
      <c r="E4102" s="28"/>
      <c r="F4102" s="28"/>
      <c r="G4102" s="28"/>
      <c r="H4102" s="28"/>
      <c r="I4102" s="28"/>
      <c r="J4102" s="28"/>
      <c r="K4102" s="28"/>
      <c r="L4102" s="28"/>
      <c r="M4102" s="28"/>
      <c r="N4102" s="28"/>
      <c r="O4102" s="28"/>
      <c r="P4102" s="28"/>
      <c r="Q4102" s="28"/>
      <c r="R4102" s="28"/>
      <c r="S4102" s="28"/>
    </row>
    <row r="4103" spans="1:19" x14ac:dyDescent="0.25">
      <c r="A4103" s="28"/>
      <c r="B4103" s="28"/>
      <c r="C4103" s="28"/>
      <c r="D4103" s="28"/>
      <c r="E4103" s="28"/>
      <c r="F4103" s="28"/>
      <c r="G4103" s="28"/>
      <c r="H4103" s="28"/>
      <c r="I4103" s="28"/>
      <c r="J4103" s="28"/>
      <c r="K4103" s="28"/>
      <c r="L4103" s="28"/>
      <c r="M4103" s="28"/>
      <c r="N4103" s="28"/>
      <c r="O4103" s="28"/>
      <c r="P4103" s="28"/>
      <c r="Q4103" s="28"/>
      <c r="R4103" s="28"/>
      <c r="S4103" s="28"/>
    </row>
    <row r="4104" spans="1:19" x14ac:dyDescent="0.25">
      <c r="A4104" s="28"/>
      <c r="B4104" s="28"/>
      <c r="C4104" s="28"/>
      <c r="D4104" s="28"/>
      <c r="E4104" s="28"/>
      <c r="F4104" s="28"/>
      <c r="G4104" s="28"/>
      <c r="H4104" s="28"/>
      <c r="I4104" s="28"/>
      <c r="J4104" s="28"/>
      <c r="K4104" s="28"/>
      <c r="L4104" s="28"/>
      <c r="M4104" s="28"/>
      <c r="N4104" s="28"/>
      <c r="O4104" s="28"/>
      <c r="P4104" s="28"/>
      <c r="Q4104" s="28"/>
      <c r="R4104" s="28"/>
      <c r="S4104" s="28"/>
    </row>
    <row r="4105" spans="1:19" x14ac:dyDescent="0.25">
      <c r="A4105" s="28"/>
      <c r="B4105" s="28"/>
      <c r="C4105" s="28"/>
      <c r="D4105" s="28"/>
      <c r="E4105" s="28"/>
      <c r="F4105" s="28"/>
      <c r="G4105" s="28"/>
      <c r="H4105" s="28"/>
      <c r="I4105" s="28"/>
      <c r="J4105" s="28"/>
      <c r="K4105" s="28"/>
      <c r="L4105" s="28"/>
      <c r="M4105" s="28"/>
      <c r="N4105" s="28"/>
      <c r="O4105" s="28"/>
      <c r="P4105" s="28"/>
      <c r="Q4105" s="28"/>
      <c r="R4105" s="28"/>
      <c r="S4105" s="28"/>
    </row>
    <row r="4106" spans="1:19" x14ac:dyDescent="0.25">
      <c r="A4106" s="28"/>
      <c r="B4106" s="28"/>
      <c r="C4106" s="28"/>
      <c r="D4106" s="28"/>
      <c r="E4106" s="28"/>
      <c r="F4106" s="28"/>
      <c r="G4106" s="28"/>
      <c r="H4106" s="28"/>
      <c r="I4106" s="28"/>
      <c r="J4106" s="28"/>
      <c r="K4106" s="28"/>
      <c r="L4106" s="28"/>
      <c r="M4106" s="28"/>
      <c r="N4106" s="28"/>
      <c r="O4106" s="28"/>
      <c r="P4106" s="28"/>
      <c r="Q4106" s="28"/>
      <c r="R4106" s="28"/>
      <c r="S4106" s="28"/>
    </row>
    <row r="4107" spans="1:19" x14ac:dyDescent="0.25">
      <c r="A4107" s="28"/>
      <c r="B4107" s="28"/>
      <c r="C4107" s="28"/>
      <c r="D4107" s="28"/>
      <c r="E4107" s="28"/>
      <c r="F4107" s="28"/>
      <c r="G4107" s="28"/>
      <c r="H4107" s="28"/>
      <c r="I4107" s="28"/>
      <c r="J4107" s="28"/>
      <c r="K4107" s="28"/>
      <c r="L4107" s="28"/>
      <c r="M4107" s="28"/>
      <c r="N4107" s="28"/>
      <c r="O4107" s="28"/>
      <c r="P4107" s="28"/>
      <c r="Q4107" s="28"/>
      <c r="R4107" s="28"/>
      <c r="S4107" s="28"/>
    </row>
    <row r="4108" spans="1:19" x14ac:dyDescent="0.25">
      <c r="A4108" s="28"/>
      <c r="B4108" s="28"/>
      <c r="C4108" s="28"/>
      <c r="D4108" s="28"/>
      <c r="E4108" s="28"/>
      <c r="F4108" s="28"/>
      <c r="G4108" s="28"/>
      <c r="H4108" s="28"/>
      <c r="I4108" s="28"/>
      <c r="J4108" s="28"/>
      <c r="K4108" s="28"/>
      <c r="L4108" s="28"/>
      <c r="M4108" s="28"/>
      <c r="N4108" s="28"/>
      <c r="O4108" s="28"/>
      <c r="P4108" s="28"/>
      <c r="Q4108" s="28"/>
      <c r="R4108" s="28"/>
      <c r="S4108" s="28"/>
    </row>
    <row r="4109" spans="1:19" x14ac:dyDescent="0.25">
      <c r="A4109" s="28"/>
      <c r="B4109" s="28"/>
      <c r="C4109" s="28"/>
      <c r="D4109" s="28"/>
      <c r="E4109" s="28"/>
      <c r="F4109" s="28"/>
      <c r="G4109" s="28"/>
      <c r="H4109" s="28"/>
      <c r="I4109" s="28"/>
      <c r="J4109" s="28"/>
      <c r="K4109" s="28"/>
      <c r="L4109" s="28"/>
      <c r="M4109" s="28"/>
      <c r="N4109" s="28"/>
      <c r="O4109" s="28"/>
      <c r="P4109" s="28"/>
      <c r="Q4109" s="28"/>
      <c r="R4109" s="28"/>
      <c r="S4109" s="28"/>
    </row>
    <row r="4110" spans="1:19" x14ac:dyDescent="0.25">
      <c r="A4110" s="28"/>
      <c r="B4110" s="28"/>
      <c r="C4110" s="28"/>
      <c r="D4110" s="28"/>
      <c r="E4110" s="28"/>
      <c r="F4110" s="28"/>
      <c r="G4110" s="28"/>
      <c r="H4110" s="28"/>
      <c r="I4110" s="28"/>
      <c r="J4110" s="28"/>
      <c r="K4110" s="28"/>
      <c r="L4110" s="28"/>
      <c r="M4110" s="28"/>
      <c r="N4110" s="28"/>
      <c r="O4110" s="28"/>
      <c r="P4110" s="28"/>
      <c r="Q4110" s="28"/>
      <c r="R4110" s="28"/>
      <c r="S4110" s="28"/>
    </row>
    <row r="4111" spans="1:19" x14ac:dyDescent="0.25">
      <c r="A4111" s="28"/>
      <c r="B4111" s="28"/>
      <c r="C4111" s="28"/>
      <c r="D4111" s="28"/>
      <c r="E4111" s="28"/>
      <c r="F4111" s="28"/>
      <c r="G4111" s="28"/>
      <c r="H4111" s="28"/>
      <c r="I4111" s="28"/>
      <c r="J4111" s="28"/>
      <c r="K4111" s="28"/>
      <c r="L4111" s="28"/>
      <c r="M4111" s="28"/>
      <c r="N4111" s="28"/>
      <c r="O4111" s="28"/>
      <c r="P4111" s="28"/>
      <c r="Q4111" s="28"/>
      <c r="R4111" s="28"/>
      <c r="S4111" s="28"/>
    </row>
    <row r="4112" spans="1:19" x14ac:dyDescent="0.25">
      <c r="A4112" s="28"/>
      <c r="B4112" s="28"/>
      <c r="C4112" s="28"/>
      <c r="D4112" s="28"/>
      <c r="E4112" s="28"/>
      <c r="F4112" s="28"/>
      <c r="G4112" s="28"/>
      <c r="H4112" s="28"/>
      <c r="I4112" s="28"/>
      <c r="J4112" s="28"/>
      <c r="K4112" s="28"/>
      <c r="L4112" s="28"/>
      <c r="M4112" s="28"/>
      <c r="N4112" s="28"/>
      <c r="O4112" s="28"/>
      <c r="P4112" s="28"/>
      <c r="Q4112" s="28"/>
      <c r="R4112" s="28"/>
      <c r="S4112" s="28"/>
    </row>
    <row r="4113" spans="1:19" x14ac:dyDescent="0.25">
      <c r="A4113" s="28"/>
      <c r="B4113" s="28"/>
      <c r="C4113" s="28"/>
      <c r="D4113" s="28"/>
      <c r="E4113" s="28"/>
      <c r="F4113" s="28"/>
      <c r="G4113" s="28"/>
      <c r="H4113" s="28"/>
      <c r="I4113" s="28"/>
      <c r="J4113" s="28"/>
      <c r="K4113" s="28"/>
      <c r="L4113" s="28"/>
      <c r="M4113" s="28"/>
      <c r="N4113" s="28"/>
      <c r="O4113" s="28"/>
      <c r="P4113" s="28"/>
      <c r="Q4113" s="28"/>
      <c r="R4113" s="28"/>
      <c r="S4113" s="28"/>
    </row>
    <row r="4114" spans="1:19" x14ac:dyDescent="0.25">
      <c r="A4114" s="28"/>
      <c r="B4114" s="28"/>
      <c r="C4114" s="28"/>
      <c r="D4114" s="28"/>
      <c r="E4114" s="28"/>
      <c r="F4114" s="28"/>
      <c r="G4114" s="28"/>
      <c r="H4114" s="28"/>
      <c r="I4114" s="28"/>
      <c r="J4114" s="28"/>
      <c r="K4114" s="28"/>
      <c r="L4114" s="28"/>
      <c r="M4114" s="28"/>
      <c r="N4114" s="28"/>
      <c r="O4114" s="28"/>
      <c r="P4114" s="28"/>
      <c r="Q4114" s="28"/>
      <c r="R4114" s="28"/>
      <c r="S4114" s="28"/>
    </row>
    <row r="4115" spans="1:19" x14ac:dyDescent="0.25">
      <c r="A4115" s="28"/>
      <c r="B4115" s="28"/>
      <c r="C4115" s="28"/>
      <c r="D4115" s="28"/>
      <c r="E4115" s="28"/>
      <c r="F4115" s="28"/>
      <c r="G4115" s="28"/>
      <c r="H4115" s="28"/>
      <c r="I4115" s="28"/>
      <c r="J4115" s="28"/>
      <c r="K4115" s="28"/>
      <c r="L4115" s="28"/>
      <c r="M4115" s="28"/>
      <c r="N4115" s="28"/>
      <c r="O4115" s="28"/>
      <c r="P4115" s="28"/>
      <c r="Q4115" s="28"/>
      <c r="R4115" s="28"/>
      <c r="S4115" s="28"/>
    </row>
    <row r="4116" spans="1:19" x14ac:dyDescent="0.25">
      <c r="A4116" s="28"/>
      <c r="B4116" s="28"/>
      <c r="C4116" s="28"/>
      <c r="D4116" s="28"/>
      <c r="E4116" s="28"/>
      <c r="F4116" s="28"/>
      <c r="G4116" s="28"/>
      <c r="H4116" s="28"/>
      <c r="I4116" s="28"/>
      <c r="J4116" s="28"/>
      <c r="K4116" s="28"/>
      <c r="L4116" s="28"/>
      <c r="M4116" s="28"/>
      <c r="N4116" s="28"/>
      <c r="O4116" s="28"/>
      <c r="P4116" s="28"/>
      <c r="Q4116" s="28"/>
      <c r="R4116" s="28"/>
      <c r="S4116" s="28"/>
    </row>
    <row r="4117" spans="1:19" x14ac:dyDescent="0.25">
      <c r="A4117" s="28"/>
      <c r="B4117" s="28"/>
      <c r="C4117" s="28"/>
      <c r="D4117" s="28"/>
      <c r="E4117" s="28"/>
      <c r="F4117" s="28"/>
      <c r="G4117" s="28"/>
      <c r="H4117" s="28"/>
      <c r="I4117" s="28"/>
      <c r="J4117" s="28"/>
      <c r="K4117" s="28"/>
      <c r="L4117" s="28"/>
      <c r="M4117" s="28"/>
      <c r="N4117" s="28"/>
      <c r="O4117" s="28"/>
      <c r="P4117" s="28"/>
      <c r="Q4117" s="28"/>
      <c r="R4117" s="28"/>
      <c r="S4117" s="28"/>
    </row>
    <row r="4118" spans="1:19" x14ac:dyDescent="0.25">
      <c r="A4118" s="28"/>
      <c r="B4118" s="28"/>
      <c r="C4118" s="28"/>
      <c r="D4118" s="28"/>
      <c r="E4118" s="28"/>
      <c r="F4118" s="28"/>
      <c r="G4118" s="28"/>
      <c r="H4118" s="28"/>
      <c r="I4118" s="28"/>
      <c r="J4118" s="28"/>
      <c r="K4118" s="28"/>
      <c r="L4118" s="28"/>
      <c r="M4118" s="28"/>
      <c r="N4118" s="28"/>
      <c r="O4118" s="28"/>
      <c r="P4118" s="28"/>
      <c r="Q4118" s="28"/>
      <c r="R4118" s="28"/>
      <c r="S4118" s="28"/>
    </row>
    <row r="4119" spans="1:19" x14ac:dyDescent="0.25">
      <c r="A4119" s="28"/>
      <c r="B4119" s="28"/>
      <c r="C4119" s="28"/>
      <c r="D4119" s="28"/>
      <c r="E4119" s="28"/>
      <c r="F4119" s="28"/>
      <c r="G4119" s="28"/>
      <c r="H4119" s="28"/>
      <c r="I4119" s="28"/>
      <c r="J4119" s="28"/>
      <c r="K4119" s="28"/>
      <c r="L4119" s="28"/>
      <c r="M4119" s="28"/>
      <c r="N4119" s="28"/>
      <c r="O4119" s="28"/>
      <c r="P4119" s="28"/>
      <c r="Q4119" s="28"/>
      <c r="R4119" s="28"/>
      <c r="S4119" s="28"/>
    </row>
    <row r="4120" spans="1:19" x14ac:dyDescent="0.25">
      <c r="A4120" s="28"/>
      <c r="B4120" s="28"/>
      <c r="C4120" s="28"/>
      <c r="D4120" s="28"/>
      <c r="E4120" s="28"/>
      <c r="F4120" s="28"/>
      <c r="G4120" s="28"/>
      <c r="H4120" s="28"/>
      <c r="I4120" s="28"/>
      <c r="J4120" s="28"/>
      <c r="K4120" s="28"/>
      <c r="L4120" s="28"/>
      <c r="M4120" s="28"/>
      <c r="N4120" s="28"/>
      <c r="O4120" s="28"/>
      <c r="P4120" s="28"/>
      <c r="Q4120" s="28"/>
      <c r="R4120" s="28"/>
      <c r="S4120" s="28"/>
    </row>
    <row r="4121" spans="1:19" x14ac:dyDescent="0.25">
      <c r="A4121" s="28"/>
      <c r="B4121" s="28"/>
      <c r="C4121" s="28"/>
      <c r="D4121" s="28"/>
      <c r="E4121" s="28"/>
      <c r="F4121" s="28"/>
      <c r="G4121" s="28"/>
      <c r="H4121" s="28"/>
      <c r="I4121" s="28"/>
      <c r="J4121" s="28"/>
      <c r="K4121" s="28"/>
      <c r="L4121" s="28"/>
      <c r="M4121" s="28"/>
      <c r="N4121" s="28"/>
      <c r="O4121" s="28"/>
      <c r="P4121" s="28"/>
      <c r="Q4121" s="28"/>
      <c r="R4121" s="28"/>
      <c r="S4121" s="28"/>
    </row>
    <row r="4122" spans="1:19" x14ac:dyDescent="0.25">
      <c r="A4122" s="28"/>
      <c r="B4122" s="28"/>
      <c r="C4122" s="28"/>
      <c r="D4122" s="28"/>
      <c r="E4122" s="28"/>
      <c r="F4122" s="28"/>
      <c r="G4122" s="28"/>
      <c r="H4122" s="28"/>
      <c r="I4122" s="28"/>
      <c r="J4122" s="28"/>
      <c r="K4122" s="28"/>
      <c r="L4122" s="28"/>
      <c r="M4122" s="28"/>
      <c r="N4122" s="28"/>
      <c r="O4122" s="28"/>
      <c r="P4122" s="28"/>
      <c r="Q4122" s="28"/>
      <c r="R4122" s="28"/>
      <c r="S4122" s="28"/>
    </row>
    <row r="4123" spans="1:19" x14ac:dyDescent="0.25">
      <c r="A4123" s="28"/>
      <c r="B4123" s="28"/>
      <c r="C4123" s="28"/>
      <c r="D4123" s="28"/>
      <c r="E4123" s="28"/>
      <c r="F4123" s="28"/>
      <c r="G4123" s="28"/>
      <c r="H4123" s="28"/>
      <c r="I4123" s="28"/>
      <c r="J4123" s="28"/>
      <c r="K4123" s="28"/>
      <c r="L4123" s="28"/>
      <c r="M4123" s="28"/>
      <c r="N4123" s="28"/>
      <c r="O4123" s="28"/>
      <c r="P4123" s="28"/>
      <c r="Q4123" s="28"/>
      <c r="R4123" s="28"/>
      <c r="S4123" s="28"/>
    </row>
    <row r="4124" spans="1:19" x14ac:dyDescent="0.25">
      <c r="A4124" s="28"/>
      <c r="B4124" s="28"/>
      <c r="C4124" s="28"/>
      <c r="D4124" s="28"/>
      <c r="E4124" s="28"/>
      <c r="F4124" s="28"/>
      <c r="G4124" s="28"/>
      <c r="H4124" s="28"/>
      <c r="I4124" s="28"/>
      <c r="J4124" s="28"/>
      <c r="K4124" s="28"/>
      <c r="L4124" s="28"/>
      <c r="M4124" s="28"/>
      <c r="N4124" s="28"/>
      <c r="O4124" s="28"/>
      <c r="P4124" s="28"/>
      <c r="Q4124" s="28"/>
      <c r="R4124" s="28"/>
      <c r="S4124" s="28"/>
    </row>
    <row r="4125" spans="1:19" x14ac:dyDescent="0.25">
      <c r="A4125" s="28"/>
      <c r="B4125" s="28"/>
      <c r="C4125" s="28"/>
      <c r="D4125" s="28"/>
      <c r="E4125" s="28"/>
      <c r="F4125" s="28"/>
      <c r="G4125" s="28"/>
      <c r="H4125" s="28"/>
      <c r="I4125" s="28"/>
      <c r="J4125" s="28"/>
      <c r="K4125" s="28"/>
      <c r="L4125" s="28"/>
      <c r="M4125" s="28"/>
      <c r="N4125" s="28"/>
      <c r="O4125" s="28"/>
      <c r="P4125" s="28"/>
      <c r="Q4125" s="28"/>
      <c r="R4125" s="28"/>
      <c r="S4125" s="28"/>
    </row>
    <row r="4126" spans="1:19" x14ac:dyDescent="0.25">
      <c r="A4126" s="28"/>
      <c r="B4126" s="28"/>
      <c r="C4126" s="28"/>
      <c r="D4126" s="28"/>
      <c r="E4126" s="28"/>
      <c r="F4126" s="28"/>
      <c r="G4126" s="28"/>
      <c r="H4126" s="28"/>
      <c r="I4126" s="28"/>
      <c r="J4126" s="28"/>
      <c r="K4126" s="28"/>
      <c r="L4126" s="28"/>
      <c r="M4126" s="28"/>
      <c r="N4126" s="28"/>
      <c r="O4126" s="28"/>
      <c r="P4126" s="28"/>
      <c r="Q4126" s="28"/>
      <c r="R4126" s="28"/>
      <c r="S4126" s="28"/>
    </row>
    <row r="4127" spans="1:19" x14ac:dyDescent="0.25">
      <c r="A4127" s="28"/>
      <c r="B4127" s="28"/>
      <c r="C4127" s="28"/>
      <c r="D4127" s="28"/>
      <c r="E4127" s="28"/>
      <c r="F4127" s="28"/>
      <c r="G4127" s="28"/>
      <c r="H4127" s="28"/>
      <c r="I4127" s="28"/>
      <c r="J4127" s="28"/>
      <c r="K4127" s="28"/>
      <c r="L4127" s="28"/>
      <c r="M4127" s="28"/>
      <c r="N4127" s="28"/>
      <c r="O4127" s="28"/>
      <c r="P4127" s="28"/>
      <c r="Q4127" s="28"/>
      <c r="R4127" s="28"/>
      <c r="S4127" s="28"/>
    </row>
    <row r="4128" spans="1:19" x14ac:dyDescent="0.25">
      <c r="A4128" s="28"/>
      <c r="B4128" s="28"/>
      <c r="C4128" s="28"/>
      <c r="D4128" s="28"/>
      <c r="E4128" s="28"/>
      <c r="F4128" s="28"/>
      <c r="G4128" s="28"/>
      <c r="H4128" s="28"/>
      <c r="I4128" s="28"/>
      <c r="J4128" s="28"/>
      <c r="K4128" s="28"/>
      <c r="L4128" s="28"/>
      <c r="M4128" s="28"/>
      <c r="N4128" s="28"/>
      <c r="O4128" s="28"/>
      <c r="P4128" s="28"/>
      <c r="Q4128" s="28"/>
      <c r="R4128" s="28"/>
      <c r="S4128" s="28"/>
    </row>
    <row r="4129" spans="1:19" x14ac:dyDescent="0.25">
      <c r="A4129" s="28"/>
      <c r="B4129" s="28"/>
      <c r="C4129" s="28"/>
      <c r="D4129" s="28"/>
      <c r="E4129" s="28"/>
      <c r="F4129" s="28"/>
      <c r="G4129" s="28"/>
      <c r="H4129" s="28"/>
      <c r="I4129" s="28"/>
      <c r="J4129" s="28"/>
      <c r="K4129" s="28"/>
      <c r="L4129" s="28"/>
      <c r="M4129" s="28"/>
      <c r="N4129" s="28"/>
      <c r="O4129" s="28"/>
      <c r="P4129" s="28"/>
      <c r="Q4129" s="28"/>
      <c r="R4129" s="28"/>
      <c r="S4129" s="28"/>
    </row>
    <row r="4130" spans="1:19" x14ac:dyDescent="0.25">
      <c r="A4130" s="28"/>
      <c r="B4130" s="28"/>
      <c r="C4130" s="28"/>
      <c r="D4130" s="28"/>
      <c r="E4130" s="28"/>
      <c r="F4130" s="28"/>
      <c r="G4130" s="28"/>
      <c r="H4130" s="28"/>
      <c r="I4130" s="28"/>
      <c r="J4130" s="28"/>
      <c r="K4130" s="28"/>
      <c r="L4130" s="28"/>
      <c r="M4130" s="28"/>
      <c r="N4130" s="28"/>
      <c r="O4130" s="28"/>
      <c r="P4130" s="28"/>
      <c r="Q4130" s="28"/>
      <c r="R4130" s="28"/>
      <c r="S4130" s="28"/>
    </row>
    <row r="4131" spans="1:19" x14ac:dyDescent="0.25">
      <c r="A4131" s="28"/>
      <c r="B4131" s="28"/>
      <c r="C4131" s="28"/>
      <c r="D4131" s="28"/>
      <c r="E4131" s="28"/>
      <c r="F4131" s="28"/>
      <c r="G4131" s="28"/>
      <c r="H4131" s="28"/>
      <c r="I4131" s="28"/>
      <c r="J4131" s="28"/>
      <c r="K4131" s="28"/>
      <c r="L4131" s="28"/>
      <c r="M4131" s="28"/>
      <c r="N4131" s="28"/>
      <c r="O4131" s="28"/>
      <c r="P4131" s="28"/>
      <c r="Q4131" s="28"/>
      <c r="R4131" s="28"/>
      <c r="S4131" s="28"/>
    </row>
    <row r="4132" spans="1:19" x14ac:dyDescent="0.25">
      <c r="A4132" s="28"/>
      <c r="B4132" s="28"/>
      <c r="C4132" s="28"/>
      <c r="D4132" s="28"/>
      <c r="E4132" s="28"/>
      <c r="F4132" s="28"/>
      <c r="G4132" s="28"/>
      <c r="H4132" s="28"/>
      <c r="I4132" s="28"/>
      <c r="J4132" s="28"/>
      <c r="K4132" s="28"/>
      <c r="L4132" s="28"/>
      <c r="M4132" s="28"/>
      <c r="N4132" s="28"/>
      <c r="O4132" s="28"/>
      <c r="P4132" s="28"/>
      <c r="Q4132" s="28"/>
      <c r="R4132" s="28"/>
      <c r="S4132" s="28"/>
    </row>
    <row r="4133" spans="1:19" x14ac:dyDescent="0.25">
      <c r="A4133" s="28"/>
      <c r="B4133" s="28"/>
      <c r="C4133" s="28"/>
      <c r="D4133" s="28"/>
      <c r="E4133" s="28"/>
      <c r="F4133" s="28"/>
      <c r="G4133" s="28"/>
      <c r="H4133" s="28"/>
      <c r="I4133" s="28"/>
      <c r="J4133" s="28"/>
      <c r="K4133" s="28"/>
      <c r="L4133" s="28"/>
      <c r="M4133" s="28"/>
      <c r="N4133" s="28"/>
      <c r="O4133" s="28"/>
      <c r="P4133" s="28"/>
      <c r="Q4133" s="28"/>
      <c r="R4133" s="28"/>
      <c r="S4133" s="28"/>
    </row>
    <row r="4134" spans="1:19" x14ac:dyDescent="0.25">
      <c r="A4134" s="28"/>
      <c r="B4134" s="28"/>
      <c r="C4134" s="28"/>
      <c r="D4134" s="28"/>
      <c r="E4134" s="28"/>
      <c r="F4134" s="28"/>
      <c r="G4134" s="28"/>
      <c r="H4134" s="28"/>
      <c r="I4134" s="28"/>
      <c r="J4134" s="28"/>
      <c r="K4134" s="28"/>
      <c r="L4134" s="28"/>
      <c r="M4134" s="28"/>
      <c r="N4134" s="28"/>
      <c r="O4134" s="28"/>
      <c r="P4134" s="28"/>
      <c r="Q4134" s="28"/>
      <c r="R4134" s="28"/>
      <c r="S4134" s="28"/>
    </row>
    <row r="4135" spans="1:19" x14ac:dyDescent="0.25">
      <c r="A4135" s="28"/>
      <c r="B4135" s="28"/>
      <c r="C4135" s="28"/>
      <c r="D4135" s="28"/>
      <c r="E4135" s="28"/>
      <c r="F4135" s="28"/>
      <c r="G4135" s="28"/>
      <c r="H4135" s="28"/>
      <c r="I4135" s="28"/>
      <c r="J4135" s="28"/>
      <c r="K4135" s="28"/>
      <c r="L4135" s="28"/>
      <c r="M4135" s="28"/>
      <c r="N4135" s="28"/>
      <c r="O4135" s="28"/>
      <c r="P4135" s="28"/>
      <c r="Q4135" s="28"/>
      <c r="R4135" s="28"/>
      <c r="S4135" s="28"/>
    </row>
    <row r="4136" spans="1:19" x14ac:dyDescent="0.25">
      <c r="A4136" s="28"/>
      <c r="B4136" s="28"/>
      <c r="C4136" s="28"/>
      <c r="D4136" s="28"/>
      <c r="E4136" s="28"/>
      <c r="F4136" s="28"/>
      <c r="G4136" s="28"/>
      <c r="H4136" s="28"/>
      <c r="I4136" s="28"/>
      <c r="J4136" s="28"/>
      <c r="K4136" s="28"/>
      <c r="L4136" s="28"/>
      <c r="M4136" s="28"/>
      <c r="N4136" s="28"/>
      <c r="O4136" s="28"/>
      <c r="P4136" s="28"/>
      <c r="Q4136" s="28"/>
      <c r="R4136" s="28"/>
      <c r="S4136" s="28"/>
    </row>
    <row r="4137" spans="1:19" x14ac:dyDescent="0.25">
      <c r="A4137" s="28"/>
      <c r="B4137" s="28"/>
      <c r="C4137" s="28"/>
      <c r="D4137" s="28"/>
      <c r="E4137" s="28"/>
      <c r="F4137" s="28"/>
      <c r="G4137" s="28"/>
      <c r="H4137" s="28"/>
      <c r="I4137" s="28"/>
      <c r="J4137" s="28"/>
      <c r="K4137" s="28"/>
      <c r="L4137" s="28"/>
      <c r="M4137" s="28"/>
      <c r="N4137" s="28"/>
      <c r="O4137" s="28"/>
      <c r="P4137" s="28"/>
      <c r="Q4137" s="28"/>
      <c r="R4137" s="28"/>
      <c r="S4137" s="28"/>
    </row>
    <row r="4138" spans="1:19" x14ac:dyDescent="0.25">
      <c r="A4138" s="28"/>
      <c r="B4138" s="28"/>
      <c r="C4138" s="28"/>
      <c r="D4138" s="28"/>
      <c r="E4138" s="28"/>
      <c r="F4138" s="28"/>
      <c r="G4138" s="28"/>
      <c r="H4138" s="28"/>
      <c r="I4138" s="28"/>
      <c r="J4138" s="28"/>
      <c r="K4138" s="28"/>
      <c r="L4138" s="28"/>
      <c r="M4138" s="28"/>
      <c r="N4138" s="28"/>
      <c r="O4138" s="28"/>
      <c r="P4138" s="28"/>
      <c r="Q4138" s="28"/>
      <c r="R4138" s="28"/>
      <c r="S4138" s="28"/>
    </row>
    <row r="4139" spans="1:19" x14ac:dyDescent="0.25">
      <c r="A4139" s="28"/>
      <c r="B4139" s="28"/>
      <c r="C4139" s="28"/>
      <c r="D4139" s="28"/>
      <c r="E4139" s="28"/>
      <c r="F4139" s="28"/>
      <c r="G4139" s="28"/>
      <c r="H4139" s="28"/>
      <c r="I4139" s="28"/>
      <c r="J4139" s="28"/>
      <c r="K4139" s="28"/>
      <c r="L4139" s="28"/>
      <c r="M4139" s="28"/>
      <c r="N4139" s="28"/>
      <c r="O4139" s="28"/>
      <c r="P4139" s="28"/>
      <c r="Q4139" s="28"/>
      <c r="R4139" s="28"/>
      <c r="S4139" s="28"/>
    </row>
    <row r="4140" spans="1:19" x14ac:dyDescent="0.25">
      <c r="A4140" s="28"/>
      <c r="B4140" s="28"/>
      <c r="C4140" s="28"/>
      <c r="D4140" s="28"/>
      <c r="E4140" s="28"/>
      <c r="F4140" s="28"/>
      <c r="G4140" s="28"/>
      <c r="H4140" s="28"/>
      <c r="I4140" s="28"/>
      <c r="J4140" s="28"/>
      <c r="K4140" s="28"/>
      <c r="L4140" s="28"/>
      <c r="M4140" s="28"/>
      <c r="N4140" s="28"/>
      <c r="O4140" s="28"/>
      <c r="P4140" s="28"/>
      <c r="Q4140" s="28"/>
      <c r="R4140" s="28"/>
      <c r="S4140" s="28"/>
    </row>
    <row r="4141" spans="1:19" x14ac:dyDescent="0.25">
      <c r="A4141" s="28"/>
      <c r="B4141" s="28"/>
      <c r="C4141" s="28"/>
      <c r="D4141" s="28"/>
      <c r="E4141" s="28"/>
      <c r="F4141" s="28"/>
      <c r="G4141" s="28"/>
      <c r="H4141" s="28"/>
      <c r="I4141" s="28"/>
      <c r="J4141" s="28"/>
      <c r="K4141" s="28"/>
      <c r="L4141" s="28"/>
      <c r="M4141" s="28"/>
      <c r="N4141" s="28"/>
      <c r="O4141" s="28"/>
      <c r="P4141" s="28"/>
      <c r="Q4141" s="28"/>
      <c r="R4141" s="28"/>
      <c r="S4141" s="28"/>
    </row>
    <row r="4142" spans="1:19" x14ac:dyDescent="0.25">
      <c r="A4142" s="28"/>
      <c r="B4142" s="28"/>
      <c r="C4142" s="28"/>
      <c r="D4142" s="28"/>
      <c r="E4142" s="28"/>
      <c r="F4142" s="28"/>
      <c r="G4142" s="28"/>
      <c r="H4142" s="28"/>
      <c r="I4142" s="28"/>
      <c r="J4142" s="28"/>
      <c r="K4142" s="28"/>
      <c r="L4142" s="28"/>
      <c r="M4142" s="28"/>
      <c r="N4142" s="28"/>
      <c r="O4142" s="28"/>
      <c r="P4142" s="28"/>
      <c r="Q4142" s="28"/>
      <c r="R4142" s="28"/>
      <c r="S4142" s="28"/>
    </row>
    <row r="4143" spans="1:19" x14ac:dyDescent="0.25">
      <c r="A4143" s="28"/>
      <c r="B4143" s="28"/>
      <c r="C4143" s="28"/>
      <c r="D4143" s="28"/>
      <c r="E4143" s="28"/>
      <c r="F4143" s="28"/>
      <c r="G4143" s="28"/>
      <c r="H4143" s="28"/>
      <c r="I4143" s="28"/>
      <c r="J4143" s="28"/>
      <c r="K4143" s="28"/>
      <c r="L4143" s="28"/>
      <c r="M4143" s="28"/>
      <c r="N4143" s="28"/>
      <c r="O4143" s="28"/>
      <c r="P4143" s="28"/>
      <c r="Q4143" s="28"/>
      <c r="R4143" s="28"/>
      <c r="S4143" s="28"/>
    </row>
    <row r="4144" spans="1:19" x14ac:dyDescent="0.25">
      <c r="A4144" s="28"/>
      <c r="B4144" s="28"/>
      <c r="C4144" s="28"/>
      <c r="D4144" s="28"/>
      <c r="E4144" s="28"/>
      <c r="F4144" s="28"/>
      <c r="G4144" s="28"/>
      <c r="H4144" s="28"/>
      <c r="I4144" s="28"/>
      <c r="J4144" s="28"/>
      <c r="K4144" s="28"/>
      <c r="L4144" s="28"/>
      <c r="M4144" s="28"/>
      <c r="N4144" s="28"/>
      <c r="O4144" s="28"/>
      <c r="P4144" s="28"/>
      <c r="Q4144" s="28"/>
      <c r="R4144" s="28"/>
      <c r="S4144" s="28"/>
    </row>
    <row r="4145" spans="1:19" x14ac:dyDescent="0.25">
      <c r="A4145" s="28"/>
      <c r="B4145" s="28"/>
      <c r="C4145" s="28"/>
      <c r="D4145" s="28"/>
      <c r="E4145" s="28"/>
      <c r="F4145" s="28"/>
      <c r="G4145" s="28"/>
      <c r="H4145" s="28"/>
      <c r="I4145" s="28"/>
      <c r="J4145" s="28"/>
      <c r="K4145" s="28"/>
      <c r="L4145" s="28"/>
      <c r="M4145" s="28"/>
      <c r="N4145" s="28"/>
      <c r="O4145" s="28"/>
      <c r="P4145" s="28"/>
      <c r="Q4145" s="28"/>
      <c r="R4145" s="28"/>
      <c r="S4145" s="28"/>
    </row>
    <row r="4146" spans="1:19" x14ac:dyDescent="0.25">
      <c r="A4146" s="28"/>
      <c r="B4146" s="28"/>
      <c r="C4146" s="28"/>
      <c r="D4146" s="28"/>
      <c r="E4146" s="28"/>
      <c r="F4146" s="28"/>
      <c r="G4146" s="28"/>
      <c r="H4146" s="28"/>
      <c r="I4146" s="28"/>
      <c r="J4146" s="28"/>
      <c r="K4146" s="28"/>
      <c r="L4146" s="28"/>
      <c r="M4146" s="28"/>
      <c r="N4146" s="28"/>
      <c r="O4146" s="28"/>
      <c r="P4146" s="28"/>
      <c r="Q4146" s="28"/>
      <c r="R4146" s="28"/>
      <c r="S4146" s="28"/>
    </row>
    <row r="4147" spans="1:19" x14ac:dyDescent="0.25">
      <c r="A4147" s="28"/>
      <c r="B4147" s="28"/>
      <c r="C4147" s="28"/>
      <c r="D4147" s="28"/>
      <c r="E4147" s="28"/>
      <c r="F4147" s="28"/>
      <c r="G4147" s="28"/>
      <c r="H4147" s="28"/>
      <c r="I4147" s="28"/>
      <c r="J4147" s="28"/>
      <c r="K4147" s="28"/>
      <c r="L4147" s="28"/>
      <c r="M4147" s="28"/>
      <c r="N4147" s="28"/>
      <c r="O4147" s="28"/>
      <c r="P4147" s="28"/>
      <c r="Q4147" s="28"/>
      <c r="R4147" s="28"/>
      <c r="S4147" s="28"/>
    </row>
    <row r="4148" spans="1:19" x14ac:dyDescent="0.25">
      <c r="A4148" s="28"/>
      <c r="B4148" s="28"/>
      <c r="C4148" s="28"/>
      <c r="D4148" s="28"/>
      <c r="E4148" s="28"/>
      <c r="F4148" s="28"/>
      <c r="G4148" s="28"/>
      <c r="H4148" s="28"/>
      <c r="I4148" s="28"/>
      <c r="J4148" s="28"/>
      <c r="K4148" s="28"/>
      <c r="L4148" s="28"/>
      <c r="M4148" s="28"/>
      <c r="N4148" s="28"/>
      <c r="O4148" s="28"/>
      <c r="P4148" s="28"/>
      <c r="Q4148" s="28"/>
      <c r="R4148" s="28"/>
      <c r="S4148" s="28"/>
    </row>
    <row r="4149" spans="1:19" x14ac:dyDescent="0.25">
      <c r="A4149" s="28"/>
      <c r="B4149" s="28"/>
      <c r="C4149" s="28"/>
      <c r="D4149" s="28"/>
      <c r="E4149" s="28"/>
      <c r="F4149" s="28"/>
      <c r="G4149" s="28"/>
      <c r="H4149" s="28"/>
      <c r="I4149" s="28"/>
      <c r="J4149" s="28"/>
      <c r="K4149" s="28"/>
      <c r="L4149" s="28"/>
      <c r="M4149" s="28"/>
      <c r="N4149" s="28"/>
      <c r="O4149" s="28"/>
      <c r="P4149" s="28"/>
      <c r="Q4149" s="28"/>
      <c r="R4149" s="28"/>
      <c r="S4149" s="28"/>
    </row>
    <row r="4150" spans="1:19" x14ac:dyDescent="0.25">
      <c r="A4150" s="28"/>
      <c r="B4150" s="28"/>
      <c r="C4150" s="28"/>
      <c r="D4150" s="28"/>
      <c r="E4150" s="28"/>
      <c r="F4150" s="28"/>
      <c r="G4150" s="28"/>
      <c r="H4150" s="28"/>
      <c r="I4150" s="28"/>
      <c r="J4150" s="28"/>
      <c r="K4150" s="28"/>
      <c r="L4150" s="28"/>
      <c r="M4150" s="28"/>
      <c r="N4150" s="28"/>
      <c r="O4150" s="28"/>
      <c r="P4150" s="28"/>
      <c r="Q4150" s="28"/>
      <c r="R4150" s="28"/>
      <c r="S4150" s="28"/>
    </row>
    <row r="4151" spans="1:19" x14ac:dyDescent="0.25">
      <c r="A4151" s="28"/>
      <c r="B4151" s="28"/>
      <c r="C4151" s="28"/>
      <c r="D4151" s="28"/>
      <c r="E4151" s="28"/>
      <c r="F4151" s="28"/>
      <c r="G4151" s="28"/>
      <c r="H4151" s="28"/>
      <c r="I4151" s="28"/>
      <c r="J4151" s="28"/>
      <c r="K4151" s="28"/>
      <c r="L4151" s="28"/>
      <c r="M4151" s="28"/>
      <c r="N4151" s="28"/>
      <c r="O4151" s="28"/>
      <c r="P4151" s="28"/>
      <c r="Q4151" s="28"/>
      <c r="R4151" s="28"/>
      <c r="S4151" s="28"/>
    </row>
    <row r="4152" spans="1:19" x14ac:dyDescent="0.25">
      <c r="A4152" s="28"/>
      <c r="B4152" s="28"/>
      <c r="C4152" s="28"/>
      <c r="D4152" s="28"/>
      <c r="E4152" s="28"/>
      <c r="F4152" s="28"/>
      <c r="G4152" s="28"/>
      <c r="H4152" s="28"/>
      <c r="I4152" s="28"/>
      <c r="J4152" s="28"/>
      <c r="K4152" s="28"/>
      <c r="L4152" s="28"/>
      <c r="M4152" s="28"/>
      <c r="N4152" s="28"/>
      <c r="O4152" s="28"/>
      <c r="P4152" s="28"/>
      <c r="Q4152" s="28"/>
      <c r="R4152" s="28"/>
      <c r="S4152" s="28"/>
    </row>
    <row r="4153" spans="1:19" x14ac:dyDescent="0.25">
      <c r="A4153" s="28"/>
      <c r="B4153" s="28"/>
      <c r="C4153" s="28"/>
      <c r="D4153" s="28"/>
      <c r="E4153" s="28"/>
      <c r="F4153" s="28"/>
      <c r="G4153" s="28"/>
      <c r="H4153" s="28"/>
      <c r="I4153" s="28"/>
      <c r="J4153" s="28"/>
      <c r="K4153" s="28"/>
      <c r="L4153" s="28"/>
      <c r="M4153" s="28"/>
      <c r="N4153" s="28"/>
      <c r="O4153" s="28"/>
      <c r="P4153" s="28"/>
      <c r="Q4153" s="28"/>
      <c r="R4153" s="28"/>
      <c r="S4153" s="28"/>
    </row>
    <row r="4154" spans="1:19" x14ac:dyDescent="0.25">
      <c r="A4154" s="28"/>
      <c r="B4154" s="28"/>
      <c r="C4154" s="28"/>
      <c r="D4154" s="28"/>
      <c r="E4154" s="28"/>
      <c r="F4154" s="28"/>
      <c r="G4154" s="28"/>
      <c r="H4154" s="28"/>
      <c r="I4154" s="28"/>
      <c r="J4154" s="28"/>
      <c r="K4154" s="28"/>
      <c r="L4154" s="28"/>
      <c r="M4154" s="28"/>
      <c r="N4154" s="28"/>
      <c r="O4154" s="28"/>
      <c r="P4154" s="28"/>
      <c r="Q4154" s="28"/>
      <c r="R4154" s="28"/>
      <c r="S4154" s="28"/>
    </row>
    <row r="4155" spans="1:19" x14ac:dyDescent="0.25">
      <c r="A4155" s="28"/>
      <c r="B4155" s="28"/>
      <c r="C4155" s="28"/>
      <c r="D4155" s="28"/>
      <c r="E4155" s="28"/>
      <c r="F4155" s="28"/>
      <c r="G4155" s="28"/>
      <c r="H4155" s="28"/>
      <c r="I4155" s="28"/>
      <c r="J4155" s="28"/>
      <c r="K4155" s="28"/>
      <c r="L4155" s="28"/>
      <c r="M4155" s="28"/>
      <c r="N4155" s="28"/>
      <c r="O4155" s="28"/>
      <c r="P4155" s="28"/>
      <c r="Q4155" s="28"/>
      <c r="R4155" s="28"/>
      <c r="S4155" s="28"/>
    </row>
    <row r="4156" spans="1:19" x14ac:dyDescent="0.25">
      <c r="A4156" s="28"/>
      <c r="B4156" s="28"/>
      <c r="C4156" s="28"/>
      <c r="D4156" s="28"/>
      <c r="E4156" s="28"/>
      <c r="F4156" s="28"/>
      <c r="G4156" s="28"/>
      <c r="H4156" s="28"/>
      <c r="I4156" s="28"/>
      <c r="J4156" s="28"/>
      <c r="K4156" s="28"/>
      <c r="L4156" s="28"/>
      <c r="M4156" s="28"/>
      <c r="N4156" s="28"/>
      <c r="O4156" s="28"/>
      <c r="P4156" s="28"/>
      <c r="Q4156" s="28"/>
      <c r="R4156" s="28"/>
      <c r="S4156" s="28"/>
    </row>
    <row r="4157" spans="1:19" x14ac:dyDescent="0.25">
      <c r="A4157" s="28"/>
      <c r="B4157" s="28"/>
      <c r="C4157" s="28"/>
      <c r="D4157" s="28"/>
      <c r="E4157" s="28"/>
      <c r="F4157" s="28"/>
      <c r="G4157" s="28"/>
      <c r="H4157" s="28"/>
      <c r="I4157" s="28"/>
      <c r="J4157" s="28"/>
      <c r="K4157" s="28"/>
      <c r="L4157" s="28"/>
      <c r="M4157" s="28"/>
      <c r="N4157" s="28"/>
      <c r="O4157" s="28"/>
      <c r="P4157" s="28"/>
      <c r="Q4157" s="28"/>
      <c r="R4157" s="28"/>
      <c r="S4157" s="28"/>
    </row>
    <row r="4158" spans="1:19" x14ac:dyDescent="0.25">
      <c r="A4158" s="28"/>
      <c r="B4158" s="28"/>
      <c r="C4158" s="28"/>
      <c r="D4158" s="28"/>
      <c r="E4158" s="28"/>
      <c r="F4158" s="28"/>
      <c r="G4158" s="28"/>
      <c r="H4158" s="28"/>
      <c r="I4158" s="28"/>
      <c r="J4158" s="28"/>
      <c r="K4158" s="28"/>
      <c r="L4158" s="28"/>
      <c r="M4158" s="28"/>
      <c r="N4158" s="28"/>
      <c r="O4158" s="28"/>
      <c r="P4158" s="28"/>
      <c r="Q4158" s="28"/>
      <c r="R4158" s="28"/>
      <c r="S4158" s="28"/>
    </row>
    <row r="4159" spans="1:19" x14ac:dyDescent="0.25">
      <c r="A4159" s="28"/>
      <c r="B4159" s="28"/>
      <c r="C4159" s="28"/>
      <c r="D4159" s="28"/>
      <c r="E4159" s="28"/>
      <c r="F4159" s="28"/>
      <c r="G4159" s="28"/>
      <c r="H4159" s="28"/>
      <c r="I4159" s="28"/>
      <c r="J4159" s="28"/>
      <c r="K4159" s="28"/>
      <c r="L4159" s="28"/>
      <c r="M4159" s="28"/>
      <c r="N4159" s="28"/>
      <c r="O4159" s="28"/>
      <c r="P4159" s="28"/>
      <c r="Q4159" s="28"/>
      <c r="R4159" s="28"/>
      <c r="S4159" s="28"/>
    </row>
    <row r="4160" spans="1:19" x14ac:dyDescent="0.25">
      <c r="A4160" s="28"/>
      <c r="B4160" s="28"/>
      <c r="C4160" s="28"/>
      <c r="D4160" s="28"/>
      <c r="E4160" s="28"/>
      <c r="F4160" s="28"/>
      <c r="G4160" s="28"/>
      <c r="H4160" s="28"/>
      <c r="I4160" s="28"/>
      <c r="J4160" s="28"/>
      <c r="K4160" s="28"/>
      <c r="L4160" s="28"/>
      <c r="M4160" s="28"/>
      <c r="N4160" s="28"/>
      <c r="O4160" s="28"/>
      <c r="P4160" s="28"/>
      <c r="Q4160" s="28"/>
      <c r="R4160" s="28"/>
      <c r="S4160" s="28"/>
    </row>
    <row r="4161" spans="1:19" x14ac:dyDescent="0.25">
      <c r="A4161" s="28"/>
      <c r="B4161" s="28"/>
      <c r="C4161" s="28"/>
      <c r="D4161" s="28"/>
      <c r="E4161" s="28"/>
      <c r="F4161" s="28"/>
      <c r="G4161" s="28"/>
      <c r="H4161" s="28"/>
      <c r="I4161" s="28"/>
      <c r="J4161" s="28"/>
      <c r="K4161" s="28"/>
      <c r="L4161" s="28"/>
      <c r="M4161" s="28"/>
      <c r="N4161" s="28"/>
      <c r="O4161" s="28"/>
      <c r="P4161" s="28"/>
      <c r="Q4161" s="28"/>
      <c r="R4161" s="28"/>
      <c r="S4161" s="28"/>
    </row>
    <row r="4162" spans="1:19" x14ac:dyDescent="0.25">
      <c r="A4162" s="28"/>
      <c r="B4162" s="28"/>
      <c r="C4162" s="28"/>
      <c r="D4162" s="28"/>
      <c r="E4162" s="28"/>
      <c r="F4162" s="28"/>
      <c r="G4162" s="28"/>
      <c r="H4162" s="28"/>
      <c r="I4162" s="28"/>
      <c r="J4162" s="28"/>
      <c r="K4162" s="28"/>
      <c r="L4162" s="28"/>
      <c r="M4162" s="28"/>
      <c r="N4162" s="28"/>
      <c r="O4162" s="28"/>
      <c r="P4162" s="28"/>
      <c r="Q4162" s="28"/>
      <c r="R4162" s="28"/>
      <c r="S4162" s="28"/>
    </row>
    <row r="4163" spans="1:19" x14ac:dyDescent="0.25">
      <c r="A4163" s="28"/>
      <c r="B4163" s="28"/>
      <c r="C4163" s="28"/>
      <c r="D4163" s="28"/>
      <c r="E4163" s="28"/>
      <c r="F4163" s="28"/>
      <c r="G4163" s="28"/>
      <c r="H4163" s="28"/>
      <c r="I4163" s="28"/>
      <c r="J4163" s="28"/>
      <c r="K4163" s="28"/>
      <c r="L4163" s="28"/>
      <c r="M4163" s="28"/>
      <c r="N4163" s="28"/>
      <c r="O4163" s="28"/>
      <c r="P4163" s="28"/>
      <c r="Q4163" s="28"/>
      <c r="R4163" s="28"/>
      <c r="S4163" s="28"/>
    </row>
    <row r="4164" spans="1:19" x14ac:dyDescent="0.25">
      <c r="A4164" s="28"/>
      <c r="B4164" s="28"/>
      <c r="C4164" s="28"/>
      <c r="D4164" s="28"/>
      <c r="E4164" s="28"/>
      <c r="F4164" s="28"/>
      <c r="G4164" s="28"/>
      <c r="H4164" s="28"/>
      <c r="I4164" s="28"/>
      <c r="J4164" s="28"/>
      <c r="K4164" s="28"/>
      <c r="L4164" s="28"/>
      <c r="M4164" s="28"/>
      <c r="N4164" s="28"/>
      <c r="O4164" s="28"/>
      <c r="P4164" s="28"/>
      <c r="Q4164" s="28"/>
      <c r="R4164" s="28"/>
      <c r="S4164" s="28"/>
    </row>
    <row r="4165" spans="1:19" x14ac:dyDescent="0.25">
      <c r="A4165" s="28"/>
      <c r="B4165" s="28"/>
      <c r="C4165" s="28"/>
      <c r="D4165" s="28"/>
      <c r="E4165" s="28"/>
      <c r="F4165" s="28"/>
      <c r="G4165" s="28"/>
      <c r="H4165" s="28"/>
      <c r="I4165" s="28"/>
      <c r="J4165" s="28"/>
      <c r="K4165" s="28"/>
      <c r="L4165" s="28"/>
      <c r="M4165" s="28"/>
      <c r="N4165" s="28"/>
      <c r="O4165" s="28"/>
      <c r="P4165" s="28"/>
      <c r="Q4165" s="28"/>
      <c r="R4165" s="28"/>
      <c r="S4165" s="28"/>
    </row>
    <row r="4166" spans="1:19" x14ac:dyDescent="0.25">
      <c r="A4166" s="28"/>
      <c r="B4166" s="28"/>
      <c r="C4166" s="28"/>
      <c r="D4166" s="28"/>
      <c r="E4166" s="28"/>
      <c r="F4166" s="28"/>
      <c r="G4166" s="28"/>
      <c r="H4166" s="28"/>
      <c r="I4166" s="28"/>
      <c r="J4166" s="28"/>
      <c r="K4166" s="28"/>
      <c r="L4166" s="28"/>
      <c r="M4166" s="28"/>
      <c r="N4166" s="28"/>
      <c r="O4166" s="28"/>
      <c r="P4166" s="28"/>
      <c r="Q4166" s="28"/>
      <c r="R4166" s="28"/>
      <c r="S4166" s="28"/>
    </row>
    <row r="4167" spans="1:19" x14ac:dyDescent="0.25">
      <c r="A4167" s="28"/>
      <c r="B4167" s="28"/>
      <c r="C4167" s="28"/>
      <c r="D4167" s="28"/>
      <c r="E4167" s="28"/>
      <c r="F4167" s="28"/>
      <c r="G4167" s="28"/>
      <c r="H4167" s="28"/>
      <c r="I4167" s="28"/>
      <c r="J4167" s="28"/>
      <c r="K4167" s="28"/>
      <c r="L4167" s="28"/>
      <c r="M4167" s="28"/>
      <c r="N4167" s="28"/>
      <c r="O4167" s="28"/>
      <c r="P4167" s="28"/>
      <c r="Q4167" s="28"/>
      <c r="R4167" s="28"/>
      <c r="S4167" s="28"/>
    </row>
    <row r="4168" spans="1:19" x14ac:dyDescent="0.25">
      <c r="A4168" s="28"/>
      <c r="B4168" s="28"/>
      <c r="C4168" s="28"/>
      <c r="D4168" s="28"/>
      <c r="E4168" s="28"/>
      <c r="F4168" s="28"/>
      <c r="G4168" s="28"/>
      <c r="H4168" s="28"/>
      <c r="I4168" s="28"/>
      <c r="J4168" s="28"/>
      <c r="K4168" s="28"/>
      <c r="L4168" s="28"/>
      <c r="M4168" s="28"/>
      <c r="N4168" s="28"/>
      <c r="O4168" s="28"/>
      <c r="P4168" s="28"/>
      <c r="Q4168" s="28"/>
      <c r="R4168" s="28"/>
      <c r="S4168" s="28"/>
    </row>
    <row r="4169" spans="1:19" x14ac:dyDescent="0.25">
      <c r="A4169" s="28"/>
      <c r="B4169" s="28"/>
      <c r="C4169" s="28"/>
      <c r="D4169" s="28"/>
      <c r="E4169" s="28"/>
      <c r="F4169" s="28"/>
      <c r="G4169" s="28"/>
      <c r="H4169" s="28"/>
      <c r="I4169" s="28"/>
      <c r="J4169" s="28"/>
      <c r="K4169" s="28"/>
      <c r="L4169" s="28"/>
      <c r="M4169" s="28"/>
      <c r="N4169" s="28"/>
      <c r="O4169" s="28"/>
      <c r="P4169" s="28"/>
      <c r="Q4169" s="28"/>
      <c r="R4169" s="28"/>
      <c r="S4169" s="28"/>
    </row>
    <row r="4170" spans="1:19" x14ac:dyDescent="0.25">
      <c r="A4170" s="28"/>
      <c r="B4170" s="28"/>
      <c r="C4170" s="28"/>
      <c r="D4170" s="28"/>
      <c r="E4170" s="28"/>
      <c r="F4170" s="28"/>
      <c r="G4170" s="28"/>
      <c r="H4170" s="28"/>
      <c r="I4170" s="28"/>
      <c r="J4170" s="28"/>
      <c r="K4170" s="28"/>
      <c r="L4170" s="28"/>
      <c r="M4170" s="28"/>
      <c r="N4170" s="28"/>
      <c r="O4170" s="28"/>
      <c r="P4170" s="28"/>
      <c r="Q4170" s="28"/>
      <c r="R4170" s="28"/>
      <c r="S4170" s="28"/>
    </row>
    <row r="4171" spans="1:19" x14ac:dyDescent="0.25">
      <c r="A4171" s="28"/>
      <c r="B4171" s="28"/>
      <c r="C4171" s="28"/>
      <c r="D4171" s="28"/>
      <c r="E4171" s="28"/>
      <c r="F4171" s="28"/>
      <c r="G4171" s="28"/>
      <c r="H4171" s="28"/>
      <c r="I4171" s="28"/>
      <c r="J4171" s="28"/>
      <c r="K4171" s="28"/>
      <c r="L4171" s="28"/>
      <c r="M4171" s="28"/>
      <c r="N4171" s="28"/>
      <c r="O4171" s="28"/>
      <c r="P4171" s="28"/>
      <c r="Q4171" s="28"/>
      <c r="R4171" s="28"/>
      <c r="S4171" s="28"/>
    </row>
    <row r="4172" spans="1:19" x14ac:dyDescent="0.25">
      <c r="A4172" s="28"/>
      <c r="B4172" s="28"/>
      <c r="C4172" s="28"/>
      <c r="D4172" s="28"/>
      <c r="E4172" s="28"/>
      <c r="F4172" s="28"/>
      <c r="G4172" s="28"/>
      <c r="H4172" s="28"/>
      <c r="I4172" s="28"/>
      <c r="J4172" s="28"/>
      <c r="K4172" s="28"/>
      <c r="L4172" s="28"/>
      <c r="M4172" s="28"/>
      <c r="N4172" s="28"/>
      <c r="O4172" s="28"/>
      <c r="P4172" s="28"/>
      <c r="Q4172" s="28"/>
      <c r="R4172" s="28"/>
      <c r="S4172" s="28"/>
    </row>
    <row r="4173" spans="1:19" x14ac:dyDescent="0.25">
      <c r="A4173" s="28"/>
      <c r="B4173" s="28"/>
      <c r="C4173" s="28"/>
      <c r="D4173" s="28"/>
      <c r="E4173" s="28"/>
      <c r="F4173" s="28"/>
      <c r="G4173" s="28"/>
      <c r="H4173" s="28"/>
      <c r="I4173" s="28"/>
      <c r="J4173" s="28"/>
      <c r="K4173" s="28"/>
      <c r="L4173" s="28"/>
      <c r="M4173" s="28"/>
      <c r="N4173" s="28"/>
      <c r="O4173" s="28"/>
      <c r="P4173" s="28"/>
      <c r="Q4173" s="28"/>
      <c r="R4173" s="28"/>
      <c r="S4173" s="28"/>
    </row>
    <row r="4174" spans="1:19" x14ac:dyDescent="0.25">
      <c r="A4174" s="28"/>
      <c r="B4174" s="28"/>
      <c r="C4174" s="28"/>
      <c r="D4174" s="28"/>
      <c r="E4174" s="28"/>
      <c r="F4174" s="28"/>
      <c r="G4174" s="28"/>
      <c r="H4174" s="28"/>
      <c r="I4174" s="28"/>
      <c r="J4174" s="28"/>
      <c r="K4174" s="28"/>
      <c r="L4174" s="28"/>
      <c r="M4174" s="28"/>
      <c r="N4174" s="28"/>
      <c r="O4174" s="28"/>
      <c r="P4174" s="28"/>
      <c r="Q4174" s="28"/>
      <c r="R4174" s="28"/>
      <c r="S4174" s="28"/>
    </row>
    <row r="4175" spans="1:19" x14ac:dyDescent="0.25">
      <c r="A4175" s="28"/>
      <c r="B4175" s="28"/>
      <c r="C4175" s="28"/>
      <c r="D4175" s="28"/>
      <c r="E4175" s="28"/>
      <c r="F4175" s="28"/>
      <c r="G4175" s="28"/>
      <c r="H4175" s="28"/>
      <c r="I4175" s="28"/>
      <c r="J4175" s="28"/>
      <c r="K4175" s="28"/>
      <c r="L4175" s="28"/>
      <c r="M4175" s="28"/>
      <c r="N4175" s="28"/>
      <c r="O4175" s="28"/>
      <c r="P4175" s="28"/>
      <c r="Q4175" s="28"/>
      <c r="R4175" s="28"/>
      <c r="S4175" s="28"/>
    </row>
    <row r="4176" spans="1:19" x14ac:dyDescent="0.25">
      <c r="A4176" s="28"/>
      <c r="B4176" s="28"/>
      <c r="C4176" s="28"/>
      <c r="D4176" s="28"/>
      <c r="E4176" s="28"/>
      <c r="F4176" s="28"/>
      <c r="G4176" s="28"/>
      <c r="H4176" s="28"/>
      <c r="I4176" s="28"/>
      <c r="J4176" s="28"/>
      <c r="K4176" s="28"/>
      <c r="L4176" s="28"/>
      <c r="M4176" s="28"/>
      <c r="N4176" s="28"/>
      <c r="O4176" s="28"/>
      <c r="P4176" s="28"/>
      <c r="Q4176" s="28"/>
      <c r="R4176" s="28"/>
      <c r="S4176" s="28"/>
    </row>
    <row r="4177" spans="1:19" x14ac:dyDescent="0.25">
      <c r="A4177" s="28"/>
      <c r="B4177" s="28"/>
      <c r="C4177" s="28"/>
      <c r="D4177" s="28"/>
      <c r="E4177" s="28"/>
      <c r="F4177" s="28"/>
      <c r="G4177" s="28"/>
      <c r="H4177" s="28"/>
      <c r="I4177" s="28"/>
      <c r="J4177" s="28"/>
      <c r="K4177" s="28"/>
      <c r="L4177" s="28"/>
      <c r="M4177" s="28"/>
      <c r="N4177" s="28"/>
      <c r="O4177" s="28"/>
      <c r="P4177" s="28"/>
      <c r="Q4177" s="28"/>
      <c r="R4177" s="28"/>
      <c r="S4177" s="28"/>
    </row>
    <row r="4178" spans="1:19" x14ac:dyDescent="0.25">
      <c r="A4178" s="28"/>
      <c r="B4178" s="28"/>
      <c r="C4178" s="28"/>
      <c r="D4178" s="28"/>
      <c r="E4178" s="28"/>
      <c r="F4178" s="28"/>
      <c r="G4178" s="28"/>
      <c r="H4178" s="28"/>
      <c r="I4178" s="28"/>
      <c r="J4178" s="28"/>
      <c r="K4178" s="28"/>
      <c r="L4178" s="28"/>
      <c r="M4178" s="28"/>
      <c r="N4178" s="28"/>
      <c r="O4178" s="28"/>
      <c r="P4178" s="28"/>
      <c r="Q4178" s="28"/>
      <c r="R4178" s="28"/>
      <c r="S4178" s="28"/>
    </row>
    <row r="4179" spans="1:19" x14ac:dyDescent="0.25">
      <c r="A4179" s="28"/>
      <c r="B4179" s="28"/>
      <c r="C4179" s="28"/>
      <c r="D4179" s="28"/>
      <c r="E4179" s="28"/>
      <c r="F4179" s="28"/>
      <c r="G4179" s="28"/>
      <c r="H4179" s="28"/>
      <c r="I4179" s="28"/>
      <c r="J4179" s="28"/>
      <c r="K4179" s="28"/>
      <c r="L4179" s="28"/>
      <c r="M4179" s="28"/>
      <c r="N4179" s="28"/>
      <c r="O4179" s="28"/>
      <c r="P4179" s="28"/>
      <c r="Q4179" s="28"/>
      <c r="R4179" s="28"/>
      <c r="S4179" s="28"/>
    </row>
    <row r="4180" spans="1:19" x14ac:dyDescent="0.25">
      <c r="A4180" s="28"/>
      <c r="B4180" s="28"/>
      <c r="C4180" s="28"/>
      <c r="D4180" s="28"/>
      <c r="E4180" s="28"/>
      <c r="F4180" s="28"/>
      <c r="G4180" s="28"/>
      <c r="H4180" s="28"/>
      <c r="I4180" s="28"/>
      <c r="J4180" s="28"/>
      <c r="K4180" s="28"/>
      <c r="L4180" s="28"/>
      <c r="M4180" s="28"/>
      <c r="N4180" s="28"/>
      <c r="O4180" s="28"/>
      <c r="P4180" s="28"/>
      <c r="Q4180" s="28"/>
      <c r="R4180" s="28"/>
      <c r="S4180" s="28"/>
    </row>
    <row r="4181" spans="1:19" x14ac:dyDescent="0.25">
      <c r="A4181" s="28"/>
      <c r="B4181" s="28"/>
      <c r="C4181" s="28"/>
      <c r="D4181" s="28"/>
      <c r="E4181" s="28"/>
      <c r="F4181" s="28"/>
      <c r="G4181" s="28"/>
      <c r="H4181" s="28"/>
      <c r="I4181" s="28"/>
      <c r="J4181" s="28"/>
      <c r="K4181" s="28"/>
      <c r="L4181" s="28"/>
      <c r="M4181" s="28"/>
      <c r="N4181" s="28"/>
      <c r="O4181" s="28"/>
      <c r="P4181" s="28"/>
      <c r="Q4181" s="28"/>
      <c r="R4181" s="28"/>
      <c r="S4181" s="28"/>
    </row>
    <row r="4182" spans="1:19" x14ac:dyDescent="0.25">
      <c r="A4182" s="28"/>
      <c r="B4182" s="28"/>
      <c r="C4182" s="28"/>
      <c r="D4182" s="28"/>
      <c r="E4182" s="28"/>
      <c r="F4182" s="28"/>
      <c r="G4182" s="28"/>
      <c r="H4182" s="28"/>
      <c r="I4182" s="28"/>
      <c r="J4182" s="28"/>
      <c r="K4182" s="28"/>
      <c r="L4182" s="28"/>
      <c r="M4182" s="28"/>
      <c r="N4182" s="28"/>
      <c r="O4182" s="28"/>
      <c r="P4182" s="28"/>
      <c r="Q4182" s="28"/>
      <c r="R4182" s="28"/>
      <c r="S4182" s="28"/>
    </row>
    <row r="4183" spans="1:19" x14ac:dyDescent="0.25">
      <c r="A4183" s="28"/>
      <c r="B4183" s="28"/>
      <c r="C4183" s="28"/>
      <c r="D4183" s="28"/>
      <c r="E4183" s="28"/>
      <c r="F4183" s="28"/>
      <c r="G4183" s="28"/>
      <c r="H4183" s="28"/>
      <c r="I4183" s="28"/>
      <c r="J4183" s="28"/>
      <c r="K4183" s="28"/>
      <c r="L4183" s="28"/>
      <c r="M4183" s="28"/>
      <c r="N4183" s="28"/>
      <c r="O4183" s="28"/>
      <c r="P4183" s="28"/>
      <c r="Q4183" s="28"/>
      <c r="R4183" s="28"/>
      <c r="S4183" s="28"/>
    </row>
    <row r="4184" spans="1:19" x14ac:dyDescent="0.25">
      <c r="A4184" s="28"/>
      <c r="B4184" s="28"/>
      <c r="C4184" s="28"/>
      <c r="D4184" s="28"/>
      <c r="E4184" s="28"/>
      <c r="F4184" s="28"/>
      <c r="G4184" s="28"/>
      <c r="H4184" s="28"/>
      <c r="I4184" s="28"/>
      <c r="J4184" s="28"/>
      <c r="K4184" s="28"/>
      <c r="L4184" s="28"/>
      <c r="M4184" s="28"/>
      <c r="N4184" s="28"/>
      <c r="O4184" s="28"/>
      <c r="P4184" s="28"/>
      <c r="Q4184" s="28"/>
      <c r="R4184" s="28"/>
      <c r="S4184" s="28"/>
    </row>
    <row r="4185" spans="1:19" x14ac:dyDescent="0.25">
      <c r="A4185" s="28"/>
      <c r="B4185" s="28"/>
      <c r="C4185" s="28"/>
      <c r="D4185" s="28"/>
      <c r="E4185" s="28"/>
      <c r="F4185" s="28"/>
      <c r="G4185" s="28"/>
      <c r="H4185" s="28"/>
      <c r="I4185" s="28"/>
      <c r="J4185" s="28"/>
      <c r="K4185" s="28"/>
      <c r="L4185" s="28"/>
      <c r="M4185" s="28"/>
      <c r="N4185" s="28"/>
      <c r="O4185" s="28"/>
      <c r="P4185" s="28"/>
      <c r="Q4185" s="28"/>
      <c r="R4185" s="28"/>
      <c r="S4185" s="28"/>
    </row>
    <row r="4186" spans="1:19" x14ac:dyDescent="0.25">
      <c r="A4186" s="28"/>
      <c r="B4186" s="28"/>
      <c r="C4186" s="28"/>
      <c r="D4186" s="28"/>
      <c r="E4186" s="28"/>
      <c r="F4186" s="28"/>
      <c r="G4186" s="28"/>
      <c r="H4186" s="28"/>
      <c r="I4186" s="28"/>
      <c r="J4186" s="28"/>
      <c r="K4186" s="28"/>
      <c r="L4186" s="28"/>
      <c r="M4186" s="28"/>
      <c r="N4186" s="28"/>
      <c r="O4186" s="28"/>
      <c r="P4186" s="28"/>
      <c r="Q4186" s="28"/>
      <c r="R4186" s="28"/>
      <c r="S4186" s="28"/>
    </row>
    <row r="4187" spans="1:19" x14ac:dyDescent="0.25">
      <c r="A4187" s="28"/>
      <c r="B4187" s="28"/>
      <c r="C4187" s="28"/>
      <c r="D4187" s="28"/>
      <c r="E4187" s="28"/>
      <c r="F4187" s="28"/>
      <c r="G4187" s="28"/>
      <c r="H4187" s="28"/>
      <c r="I4187" s="28"/>
      <c r="J4187" s="28"/>
      <c r="K4187" s="28"/>
      <c r="L4187" s="28"/>
      <c r="M4187" s="28"/>
      <c r="N4187" s="28"/>
      <c r="O4187" s="28"/>
      <c r="P4187" s="28"/>
      <c r="Q4187" s="28"/>
      <c r="R4187" s="28"/>
      <c r="S4187" s="28"/>
    </row>
    <row r="4188" spans="1:19" x14ac:dyDescent="0.25">
      <c r="A4188" s="28"/>
      <c r="B4188" s="28"/>
      <c r="C4188" s="28"/>
      <c r="D4188" s="28"/>
      <c r="E4188" s="28"/>
      <c r="F4188" s="28"/>
      <c r="G4188" s="28"/>
      <c r="H4188" s="28"/>
      <c r="I4188" s="28"/>
      <c r="J4188" s="28"/>
      <c r="K4188" s="28"/>
      <c r="L4188" s="28"/>
      <c r="M4188" s="28"/>
      <c r="N4188" s="28"/>
      <c r="O4188" s="28"/>
      <c r="P4188" s="28"/>
      <c r="Q4188" s="28"/>
      <c r="R4188" s="28"/>
      <c r="S4188" s="28"/>
    </row>
    <row r="4189" spans="1:19" x14ac:dyDescent="0.25">
      <c r="A4189" s="28"/>
      <c r="B4189" s="28"/>
      <c r="C4189" s="28"/>
      <c r="D4189" s="28"/>
      <c r="E4189" s="28"/>
      <c r="F4189" s="28"/>
      <c r="G4189" s="28"/>
      <c r="H4189" s="28"/>
      <c r="I4189" s="28"/>
      <c r="J4189" s="28"/>
      <c r="K4189" s="28"/>
      <c r="L4189" s="28"/>
      <c r="M4189" s="28"/>
      <c r="N4189" s="28"/>
      <c r="O4189" s="28"/>
      <c r="P4189" s="28"/>
      <c r="Q4189" s="28"/>
      <c r="R4189" s="28"/>
      <c r="S4189" s="28"/>
    </row>
    <row r="4190" spans="1:19" x14ac:dyDescent="0.25">
      <c r="A4190" s="28"/>
      <c r="B4190" s="28"/>
      <c r="C4190" s="28"/>
      <c r="D4190" s="28"/>
      <c r="E4190" s="28"/>
      <c r="F4190" s="28"/>
      <c r="G4190" s="28"/>
      <c r="H4190" s="28"/>
      <c r="I4190" s="28"/>
      <c r="J4190" s="28"/>
      <c r="K4190" s="28"/>
      <c r="L4190" s="28"/>
      <c r="M4190" s="28"/>
      <c r="N4190" s="28"/>
      <c r="O4190" s="28"/>
      <c r="P4190" s="28"/>
      <c r="Q4190" s="28"/>
      <c r="R4190" s="28"/>
      <c r="S4190" s="28"/>
    </row>
    <row r="4191" spans="1:19" x14ac:dyDescent="0.25">
      <c r="A4191" s="28"/>
      <c r="B4191" s="28"/>
      <c r="C4191" s="28"/>
      <c r="D4191" s="28"/>
      <c r="E4191" s="28"/>
      <c r="F4191" s="28"/>
      <c r="G4191" s="28"/>
      <c r="H4191" s="28"/>
      <c r="I4191" s="28"/>
      <c r="J4191" s="28"/>
      <c r="K4191" s="28"/>
      <c r="L4191" s="28"/>
      <c r="M4191" s="28"/>
      <c r="N4191" s="28"/>
      <c r="O4191" s="28"/>
      <c r="P4191" s="28"/>
      <c r="Q4191" s="28"/>
      <c r="R4191" s="28"/>
      <c r="S4191" s="28"/>
    </row>
    <row r="4192" spans="1:19" x14ac:dyDescent="0.25">
      <c r="A4192" s="28"/>
      <c r="B4192" s="28"/>
      <c r="C4192" s="28"/>
      <c r="D4192" s="28"/>
      <c r="E4192" s="28"/>
      <c r="F4192" s="28"/>
      <c r="G4192" s="28"/>
      <c r="H4192" s="28"/>
      <c r="I4192" s="28"/>
      <c r="J4192" s="28"/>
      <c r="K4192" s="28"/>
      <c r="L4192" s="28"/>
      <c r="M4192" s="28"/>
      <c r="N4192" s="28"/>
      <c r="O4192" s="28"/>
      <c r="P4192" s="28"/>
      <c r="Q4192" s="28"/>
      <c r="R4192" s="28"/>
      <c r="S4192" s="28"/>
    </row>
    <row r="4193" spans="1:19" x14ac:dyDescent="0.25">
      <c r="A4193" s="28"/>
      <c r="B4193" s="28"/>
      <c r="C4193" s="28"/>
      <c r="D4193" s="28"/>
      <c r="E4193" s="28"/>
      <c r="F4193" s="28"/>
      <c r="G4193" s="28"/>
      <c r="H4193" s="28"/>
      <c r="I4193" s="28"/>
      <c r="J4193" s="28"/>
      <c r="K4193" s="28"/>
      <c r="L4193" s="28"/>
      <c r="M4193" s="28"/>
      <c r="N4193" s="28"/>
      <c r="O4193" s="28"/>
      <c r="P4193" s="28"/>
      <c r="Q4193" s="28"/>
      <c r="R4193" s="28"/>
      <c r="S4193" s="28"/>
    </row>
    <row r="4194" spans="1:19" x14ac:dyDescent="0.25">
      <c r="A4194" s="28"/>
      <c r="B4194" s="28"/>
      <c r="C4194" s="28"/>
      <c r="D4194" s="28"/>
      <c r="E4194" s="28"/>
      <c r="F4194" s="28"/>
      <c r="G4194" s="28"/>
      <c r="H4194" s="28"/>
      <c r="I4194" s="28"/>
      <c r="J4194" s="28"/>
      <c r="K4194" s="28"/>
      <c r="L4194" s="28"/>
      <c r="M4194" s="28"/>
      <c r="N4194" s="28"/>
      <c r="O4194" s="28"/>
      <c r="P4194" s="28"/>
      <c r="Q4194" s="28"/>
      <c r="R4194" s="28"/>
      <c r="S4194" s="28"/>
    </row>
    <row r="4195" spans="1:19" x14ac:dyDescent="0.25">
      <c r="A4195" s="28"/>
      <c r="B4195" s="28"/>
      <c r="C4195" s="28"/>
      <c r="D4195" s="28"/>
      <c r="E4195" s="28"/>
      <c r="F4195" s="28"/>
      <c r="G4195" s="28"/>
      <c r="H4195" s="28"/>
      <c r="I4195" s="28"/>
      <c r="J4195" s="28"/>
      <c r="K4195" s="28"/>
      <c r="L4195" s="28"/>
      <c r="M4195" s="28"/>
      <c r="N4195" s="28"/>
      <c r="O4195" s="28"/>
      <c r="P4195" s="28"/>
      <c r="Q4195" s="28"/>
      <c r="R4195" s="28"/>
      <c r="S4195" s="28"/>
    </row>
    <row r="4196" spans="1:19" x14ac:dyDescent="0.25">
      <c r="A4196" s="28"/>
      <c r="B4196" s="28"/>
      <c r="C4196" s="28"/>
      <c r="D4196" s="28"/>
      <c r="E4196" s="28"/>
      <c r="F4196" s="28"/>
      <c r="G4196" s="28"/>
      <c r="H4196" s="28"/>
      <c r="I4196" s="28"/>
      <c r="J4196" s="28"/>
      <c r="K4196" s="28"/>
      <c r="L4196" s="28"/>
      <c r="M4196" s="28"/>
      <c r="N4196" s="28"/>
      <c r="O4196" s="28"/>
      <c r="P4196" s="28"/>
      <c r="Q4196" s="28"/>
      <c r="R4196" s="28"/>
      <c r="S4196" s="28"/>
    </row>
    <row r="4197" spans="1:19" x14ac:dyDescent="0.25">
      <c r="A4197" s="28"/>
      <c r="B4197" s="28"/>
      <c r="C4197" s="28"/>
      <c r="D4197" s="28"/>
      <c r="E4197" s="28"/>
      <c r="F4197" s="28"/>
      <c r="G4197" s="28"/>
      <c r="H4197" s="28"/>
      <c r="I4197" s="28"/>
      <c r="J4197" s="28"/>
      <c r="K4197" s="28"/>
      <c r="L4197" s="28"/>
      <c r="M4197" s="28"/>
      <c r="N4197" s="28"/>
      <c r="O4197" s="28"/>
      <c r="P4197" s="28"/>
      <c r="Q4197" s="28"/>
      <c r="R4197" s="28"/>
      <c r="S4197" s="28"/>
    </row>
    <row r="4198" spans="1:19" x14ac:dyDescent="0.25">
      <c r="A4198" s="28"/>
      <c r="B4198" s="28"/>
      <c r="C4198" s="28"/>
      <c r="D4198" s="28"/>
      <c r="E4198" s="28"/>
      <c r="F4198" s="28"/>
      <c r="G4198" s="28"/>
      <c r="H4198" s="28"/>
      <c r="I4198" s="28"/>
      <c r="J4198" s="28"/>
      <c r="K4198" s="28"/>
      <c r="L4198" s="28"/>
      <c r="M4198" s="28"/>
      <c r="N4198" s="28"/>
      <c r="O4198" s="28"/>
      <c r="P4198" s="28"/>
      <c r="Q4198" s="28"/>
      <c r="R4198" s="28"/>
      <c r="S4198" s="28"/>
    </row>
    <row r="4199" spans="1:19" x14ac:dyDescent="0.25">
      <c r="A4199" s="28"/>
      <c r="B4199" s="28"/>
      <c r="C4199" s="28"/>
      <c r="D4199" s="28"/>
      <c r="E4199" s="28"/>
      <c r="F4199" s="28"/>
      <c r="G4199" s="28"/>
      <c r="H4199" s="28"/>
      <c r="I4199" s="28"/>
      <c r="J4199" s="28"/>
      <c r="K4199" s="28"/>
      <c r="L4199" s="28"/>
      <c r="M4199" s="28"/>
      <c r="N4199" s="28"/>
      <c r="O4199" s="28"/>
      <c r="P4199" s="28"/>
      <c r="Q4199" s="28"/>
      <c r="R4199" s="28"/>
      <c r="S4199" s="28"/>
    </row>
    <row r="4200" spans="1:19" x14ac:dyDescent="0.25">
      <c r="A4200" s="28"/>
      <c r="B4200" s="28"/>
      <c r="C4200" s="28"/>
      <c r="D4200" s="28"/>
      <c r="E4200" s="28"/>
      <c r="F4200" s="28"/>
      <c r="G4200" s="28"/>
      <c r="H4200" s="28"/>
      <c r="I4200" s="28"/>
      <c r="J4200" s="28"/>
      <c r="K4200" s="28"/>
      <c r="L4200" s="28"/>
      <c r="M4200" s="28"/>
      <c r="N4200" s="28"/>
      <c r="O4200" s="28"/>
      <c r="P4200" s="28"/>
      <c r="Q4200" s="28"/>
      <c r="R4200" s="28"/>
      <c r="S4200" s="28"/>
    </row>
    <row r="4201" spans="1:19" x14ac:dyDescent="0.25">
      <c r="A4201" s="28"/>
      <c r="B4201" s="28"/>
      <c r="C4201" s="28"/>
      <c r="D4201" s="28"/>
      <c r="E4201" s="28"/>
      <c r="F4201" s="28"/>
      <c r="G4201" s="28"/>
      <c r="H4201" s="28"/>
      <c r="I4201" s="28"/>
      <c r="J4201" s="28"/>
      <c r="K4201" s="28"/>
      <c r="L4201" s="28"/>
      <c r="M4201" s="28"/>
      <c r="N4201" s="28"/>
      <c r="O4201" s="28"/>
      <c r="P4201" s="28"/>
      <c r="Q4201" s="28"/>
      <c r="R4201" s="28"/>
      <c r="S4201" s="28"/>
    </row>
    <row r="4202" spans="1:19" x14ac:dyDescent="0.25">
      <c r="A4202" s="28"/>
      <c r="B4202" s="28"/>
      <c r="C4202" s="28"/>
      <c r="D4202" s="28"/>
      <c r="E4202" s="28"/>
      <c r="F4202" s="28"/>
      <c r="G4202" s="28"/>
      <c r="H4202" s="28"/>
      <c r="I4202" s="28"/>
      <c r="J4202" s="28"/>
      <c r="K4202" s="28"/>
      <c r="L4202" s="28"/>
      <c r="M4202" s="28"/>
      <c r="N4202" s="28"/>
      <c r="O4202" s="28"/>
      <c r="P4202" s="28"/>
      <c r="Q4202" s="28"/>
      <c r="R4202" s="28"/>
      <c r="S4202" s="28"/>
    </row>
    <row r="4203" spans="1:19" x14ac:dyDescent="0.25">
      <c r="A4203" s="28"/>
      <c r="B4203" s="28"/>
      <c r="C4203" s="28"/>
      <c r="D4203" s="28"/>
      <c r="E4203" s="28"/>
      <c r="F4203" s="28"/>
      <c r="G4203" s="28"/>
      <c r="H4203" s="28"/>
      <c r="I4203" s="28"/>
      <c r="J4203" s="28"/>
      <c r="K4203" s="28"/>
      <c r="L4203" s="28"/>
      <c r="M4203" s="28"/>
      <c r="N4203" s="28"/>
      <c r="O4203" s="28"/>
      <c r="P4203" s="28"/>
      <c r="Q4203" s="28"/>
      <c r="R4203" s="28"/>
      <c r="S4203" s="28"/>
    </row>
    <row r="4204" spans="1:19" x14ac:dyDescent="0.25">
      <c r="A4204" s="28"/>
      <c r="B4204" s="28"/>
      <c r="C4204" s="28"/>
      <c r="D4204" s="28"/>
      <c r="E4204" s="28"/>
      <c r="F4204" s="28"/>
      <c r="G4204" s="28"/>
      <c r="H4204" s="28"/>
      <c r="I4204" s="28"/>
      <c r="J4204" s="28"/>
      <c r="K4204" s="28"/>
      <c r="L4204" s="28"/>
      <c r="M4204" s="28"/>
      <c r="N4204" s="28"/>
      <c r="O4204" s="28"/>
      <c r="P4204" s="28"/>
      <c r="Q4204" s="28"/>
      <c r="R4204" s="28"/>
      <c r="S4204" s="28"/>
    </row>
    <row r="4205" spans="1:19" x14ac:dyDescent="0.25">
      <c r="A4205" s="28"/>
      <c r="B4205" s="28"/>
      <c r="C4205" s="28"/>
      <c r="D4205" s="28"/>
      <c r="E4205" s="28"/>
      <c r="F4205" s="28"/>
      <c r="G4205" s="28"/>
      <c r="H4205" s="28"/>
      <c r="I4205" s="28"/>
      <c r="J4205" s="28"/>
      <c r="K4205" s="28"/>
      <c r="L4205" s="28"/>
      <c r="M4205" s="28"/>
      <c r="N4205" s="28"/>
      <c r="O4205" s="28"/>
      <c r="P4205" s="28"/>
      <c r="Q4205" s="28"/>
      <c r="R4205" s="28"/>
      <c r="S4205" s="28"/>
    </row>
    <row r="4206" spans="1:19" x14ac:dyDescent="0.25">
      <c r="A4206" s="28"/>
      <c r="B4206" s="28"/>
      <c r="C4206" s="28"/>
      <c r="D4206" s="28"/>
      <c r="E4206" s="28"/>
      <c r="F4206" s="28"/>
      <c r="G4206" s="28"/>
      <c r="H4206" s="28"/>
      <c r="I4206" s="28"/>
      <c r="J4206" s="28"/>
      <c r="K4206" s="28"/>
      <c r="L4206" s="28"/>
      <c r="M4206" s="28"/>
      <c r="N4206" s="28"/>
      <c r="O4206" s="28"/>
      <c r="P4206" s="28"/>
      <c r="Q4206" s="28"/>
      <c r="R4206" s="28"/>
      <c r="S4206" s="28"/>
    </row>
    <row r="4207" spans="1:19" x14ac:dyDescent="0.25">
      <c r="A4207" s="28"/>
      <c r="B4207" s="28"/>
      <c r="C4207" s="28"/>
      <c r="D4207" s="28"/>
      <c r="E4207" s="28"/>
      <c r="F4207" s="28"/>
      <c r="G4207" s="28"/>
      <c r="H4207" s="28"/>
      <c r="I4207" s="28"/>
      <c r="J4207" s="28"/>
      <c r="K4207" s="28"/>
      <c r="L4207" s="28"/>
      <c r="M4207" s="28"/>
      <c r="N4207" s="28"/>
      <c r="O4207" s="28"/>
      <c r="P4207" s="28"/>
      <c r="Q4207" s="28"/>
      <c r="R4207" s="28"/>
      <c r="S4207" s="28"/>
    </row>
    <row r="4208" spans="1:19" x14ac:dyDescent="0.25">
      <c r="A4208" s="28"/>
      <c r="B4208" s="28"/>
      <c r="C4208" s="28"/>
      <c r="D4208" s="28"/>
      <c r="E4208" s="28"/>
      <c r="F4208" s="28"/>
      <c r="G4208" s="28"/>
      <c r="H4208" s="28"/>
      <c r="I4208" s="28"/>
      <c r="J4208" s="28"/>
      <c r="K4208" s="28"/>
      <c r="L4208" s="28"/>
      <c r="M4208" s="28"/>
      <c r="N4208" s="28"/>
      <c r="O4208" s="28"/>
      <c r="P4208" s="28"/>
      <c r="Q4208" s="28"/>
      <c r="R4208" s="28"/>
      <c r="S4208" s="28"/>
    </row>
    <row r="4209" spans="1:19" x14ac:dyDescent="0.25">
      <c r="A4209" s="28"/>
      <c r="B4209" s="28"/>
      <c r="C4209" s="28"/>
      <c r="D4209" s="28"/>
      <c r="E4209" s="28"/>
      <c r="F4209" s="28"/>
      <c r="G4209" s="28"/>
      <c r="H4209" s="28"/>
      <c r="I4209" s="28"/>
      <c r="J4209" s="28"/>
      <c r="K4209" s="28"/>
      <c r="L4209" s="28"/>
      <c r="M4209" s="28"/>
      <c r="N4209" s="28"/>
      <c r="O4209" s="28"/>
      <c r="P4209" s="28"/>
      <c r="Q4209" s="28"/>
      <c r="R4209" s="28"/>
      <c r="S4209" s="28"/>
    </row>
    <row r="4210" spans="1:19" x14ac:dyDescent="0.25">
      <c r="A4210" s="28"/>
      <c r="B4210" s="28"/>
      <c r="C4210" s="28"/>
      <c r="D4210" s="28"/>
      <c r="E4210" s="28"/>
      <c r="F4210" s="28"/>
      <c r="G4210" s="28"/>
      <c r="H4210" s="28"/>
      <c r="I4210" s="28"/>
      <c r="J4210" s="28"/>
      <c r="K4210" s="28"/>
      <c r="L4210" s="28"/>
      <c r="M4210" s="28"/>
      <c r="N4210" s="28"/>
      <c r="O4210" s="28"/>
      <c r="P4210" s="28"/>
      <c r="Q4210" s="28"/>
      <c r="R4210" s="28"/>
      <c r="S4210" s="28"/>
    </row>
    <row r="4211" spans="1:19" x14ac:dyDescent="0.25">
      <c r="A4211" s="28"/>
      <c r="B4211" s="28"/>
      <c r="C4211" s="28"/>
      <c r="D4211" s="28"/>
      <c r="E4211" s="28"/>
      <c r="F4211" s="28"/>
      <c r="G4211" s="28"/>
      <c r="H4211" s="28"/>
      <c r="I4211" s="28"/>
      <c r="J4211" s="28"/>
      <c r="K4211" s="28"/>
      <c r="L4211" s="28"/>
      <c r="M4211" s="28"/>
      <c r="N4211" s="28"/>
      <c r="O4211" s="28"/>
      <c r="P4211" s="28"/>
      <c r="Q4211" s="28"/>
      <c r="R4211" s="28"/>
      <c r="S4211" s="28"/>
    </row>
    <row r="4212" spans="1:19" x14ac:dyDescent="0.25">
      <c r="A4212" s="28"/>
      <c r="B4212" s="28"/>
      <c r="C4212" s="28"/>
      <c r="D4212" s="28"/>
      <c r="E4212" s="28"/>
      <c r="F4212" s="28"/>
      <c r="G4212" s="28"/>
      <c r="H4212" s="28"/>
      <c r="I4212" s="28"/>
      <c r="J4212" s="28"/>
      <c r="K4212" s="28"/>
      <c r="L4212" s="28"/>
      <c r="M4212" s="28"/>
      <c r="N4212" s="28"/>
      <c r="O4212" s="28"/>
      <c r="P4212" s="28"/>
      <c r="Q4212" s="28"/>
      <c r="R4212" s="28"/>
      <c r="S4212" s="28"/>
    </row>
    <row r="4213" spans="1:19" x14ac:dyDescent="0.25">
      <c r="A4213" s="28"/>
      <c r="B4213" s="28"/>
      <c r="C4213" s="28"/>
      <c r="D4213" s="28"/>
      <c r="E4213" s="28"/>
      <c r="F4213" s="28"/>
      <c r="G4213" s="28"/>
      <c r="H4213" s="28"/>
      <c r="I4213" s="28"/>
      <c r="J4213" s="28"/>
      <c r="K4213" s="28"/>
      <c r="L4213" s="28"/>
      <c r="M4213" s="28"/>
      <c r="N4213" s="28"/>
      <c r="O4213" s="28"/>
      <c r="P4213" s="28"/>
      <c r="Q4213" s="28"/>
      <c r="R4213" s="28"/>
      <c r="S4213" s="28"/>
    </row>
    <row r="4214" spans="1:19" x14ac:dyDescent="0.25">
      <c r="A4214" s="28"/>
      <c r="B4214" s="28"/>
      <c r="C4214" s="28"/>
      <c r="D4214" s="28"/>
      <c r="E4214" s="28"/>
      <c r="F4214" s="28"/>
      <c r="G4214" s="28"/>
      <c r="H4214" s="28"/>
      <c r="I4214" s="28"/>
      <c r="J4214" s="28"/>
      <c r="K4214" s="28"/>
      <c r="L4214" s="28"/>
      <c r="M4214" s="28"/>
      <c r="N4214" s="28"/>
      <c r="O4214" s="28"/>
      <c r="P4214" s="28"/>
      <c r="Q4214" s="28"/>
      <c r="R4214" s="28"/>
      <c r="S4214" s="28"/>
    </row>
    <row r="4215" spans="1:19" x14ac:dyDescent="0.25">
      <c r="A4215" s="28"/>
      <c r="B4215" s="28"/>
      <c r="C4215" s="28"/>
      <c r="D4215" s="28"/>
      <c r="E4215" s="28"/>
      <c r="F4215" s="28"/>
      <c r="G4215" s="28"/>
      <c r="H4215" s="28"/>
      <c r="I4215" s="28"/>
      <c r="J4215" s="28"/>
      <c r="K4215" s="28"/>
      <c r="L4215" s="28"/>
      <c r="M4215" s="28"/>
      <c r="N4215" s="28"/>
      <c r="O4215" s="28"/>
      <c r="P4215" s="28"/>
      <c r="Q4215" s="28"/>
      <c r="R4215" s="28"/>
      <c r="S4215" s="28"/>
    </row>
    <row r="4216" spans="1:19" x14ac:dyDescent="0.25">
      <c r="A4216" s="28"/>
      <c r="B4216" s="28"/>
      <c r="C4216" s="28"/>
      <c r="D4216" s="28"/>
      <c r="E4216" s="28"/>
      <c r="F4216" s="28"/>
      <c r="G4216" s="28"/>
      <c r="H4216" s="28"/>
      <c r="I4216" s="28"/>
      <c r="J4216" s="28"/>
      <c r="K4216" s="28"/>
      <c r="L4216" s="28"/>
      <c r="M4216" s="28"/>
      <c r="N4216" s="28"/>
      <c r="O4216" s="28"/>
      <c r="P4216" s="28"/>
      <c r="Q4216" s="28"/>
      <c r="R4216" s="28"/>
      <c r="S4216" s="28"/>
    </row>
    <row r="4217" spans="1:19" x14ac:dyDescent="0.25">
      <c r="A4217" s="28"/>
      <c r="B4217" s="28"/>
      <c r="C4217" s="28"/>
      <c r="D4217" s="28"/>
      <c r="E4217" s="28"/>
      <c r="F4217" s="28"/>
      <c r="G4217" s="28"/>
      <c r="H4217" s="28"/>
      <c r="I4217" s="28"/>
      <c r="J4217" s="28"/>
      <c r="K4217" s="28"/>
      <c r="L4217" s="28"/>
      <c r="M4217" s="28"/>
      <c r="N4217" s="28"/>
      <c r="O4217" s="28"/>
      <c r="P4217" s="28"/>
      <c r="Q4217" s="28"/>
      <c r="R4217" s="28"/>
      <c r="S4217" s="28"/>
    </row>
    <row r="4218" spans="1:19" x14ac:dyDescent="0.25">
      <c r="A4218" s="28"/>
      <c r="B4218" s="28"/>
      <c r="C4218" s="28"/>
      <c r="D4218" s="28"/>
      <c r="E4218" s="28"/>
      <c r="F4218" s="28"/>
      <c r="G4218" s="28"/>
      <c r="H4218" s="28"/>
      <c r="I4218" s="28"/>
      <c r="J4218" s="28"/>
      <c r="K4218" s="28"/>
      <c r="L4218" s="28"/>
      <c r="M4218" s="28"/>
      <c r="N4218" s="28"/>
      <c r="O4218" s="28"/>
      <c r="P4218" s="28"/>
      <c r="Q4218" s="28"/>
      <c r="R4218" s="28"/>
      <c r="S4218" s="28"/>
    </row>
    <row r="4219" spans="1:19" x14ac:dyDescent="0.25">
      <c r="A4219" s="28"/>
      <c r="B4219" s="28"/>
      <c r="C4219" s="28"/>
      <c r="D4219" s="28"/>
      <c r="E4219" s="28"/>
      <c r="F4219" s="28"/>
      <c r="G4219" s="28"/>
      <c r="H4219" s="28"/>
      <c r="I4219" s="28"/>
      <c r="J4219" s="28"/>
      <c r="K4219" s="28"/>
      <c r="L4219" s="28"/>
      <c r="M4219" s="28"/>
      <c r="N4219" s="28"/>
      <c r="O4219" s="28"/>
      <c r="P4219" s="28"/>
      <c r="Q4219" s="28"/>
      <c r="R4219" s="28"/>
      <c r="S4219" s="28"/>
    </row>
    <row r="4220" spans="1:19" x14ac:dyDescent="0.25">
      <c r="A4220" s="28"/>
      <c r="B4220" s="28"/>
      <c r="C4220" s="28"/>
      <c r="D4220" s="28"/>
      <c r="E4220" s="28"/>
      <c r="F4220" s="28"/>
      <c r="G4220" s="28"/>
      <c r="H4220" s="28"/>
      <c r="I4220" s="28"/>
      <c r="J4220" s="28"/>
      <c r="K4220" s="28"/>
      <c r="L4220" s="28"/>
      <c r="M4220" s="28"/>
      <c r="N4220" s="28"/>
      <c r="O4220" s="28"/>
      <c r="P4220" s="28"/>
      <c r="Q4220" s="28"/>
      <c r="R4220" s="28"/>
      <c r="S4220" s="28"/>
    </row>
    <row r="4221" spans="1:19" x14ac:dyDescent="0.25">
      <c r="A4221" s="28"/>
      <c r="B4221" s="28"/>
      <c r="C4221" s="28"/>
      <c r="D4221" s="28"/>
      <c r="E4221" s="28"/>
      <c r="F4221" s="28"/>
      <c r="G4221" s="28"/>
      <c r="H4221" s="28"/>
      <c r="I4221" s="28"/>
      <c r="J4221" s="28"/>
      <c r="K4221" s="28"/>
      <c r="L4221" s="28"/>
      <c r="M4221" s="28"/>
      <c r="N4221" s="28"/>
      <c r="O4221" s="28"/>
      <c r="P4221" s="28"/>
      <c r="Q4221" s="28"/>
      <c r="R4221" s="28"/>
      <c r="S4221" s="28"/>
    </row>
    <row r="4222" spans="1:19" x14ac:dyDescent="0.25">
      <c r="A4222" s="28"/>
      <c r="B4222" s="28"/>
      <c r="C4222" s="28"/>
      <c r="D4222" s="28"/>
      <c r="E4222" s="28"/>
      <c r="F4222" s="28"/>
      <c r="G4222" s="28"/>
      <c r="H4222" s="28"/>
      <c r="I4222" s="28"/>
      <c r="J4222" s="28"/>
      <c r="K4222" s="28"/>
      <c r="L4222" s="28"/>
      <c r="M4222" s="28"/>
      <c r="N4222" s="28"/>
      <c r="O4222" s="28"/>
      <c r="P4222" s="28"/>
      <c r="Q4222" s="28"/>
      <c r="R4222" s="28"/>
      <c r="S4222" s="28"/>
    </row>
    <row r="4223" spans="1:19" x14ac:dyDescent="0.25">
      <c r="A4223" s="28"/>
      <c r="B4223" s="28"/>
      <c r="C4223" s="28"/>
      <c r="D4223" s="28"/>
      <c r="E4223" s="28"/>
      <c r="F4223" s="28"/>
      <c r="G4223" s="28"/>
      <c r="H4223" s="28"/>
      <c r="I4223" s="28"/>
      <c r="J4223" s="28"/>
      <c r="K4223" s="28"/>
      <c r="L4223" s="28"/>
      <c r="M4223" s="28"/>
      <c r="N4223" s="28"/>
      <c r="O4223" s="28"/>
      <c r="P4223" s="28"/>
      <c r="Q4223" s="28"/>
      <c r="R4223" s="28"/>
      <c r="S4223" s="28"/>
    </row>
    <row r="4224" spans="1:19" x14ac:dyDescent="0.25">
      <c r="A4224" s="28"/>
      <c r="B4224" s="28"/>
      <c r="C4224" s="28"/>
      <c r="D4224" s="28"/>
      <c r="E4224" s="28"/>
      <c r="F4224" s="28"/>
      <c r="G4224" s="28"/>
      <c r="H4224" s="28"/>
      <c r="I4224" s="28"/>
      <c r="J4224" s="28"/>
      <c r="K4224" s="28"/>
      <c r="L4224" s="28"/>
      <c r="M4224" s="28"/>
      <c r="N4224" s="28"/>
      <c r="O4224" s="28"/>
      <c r="P4224" s="28"/>
      <c r="Q4224" s="28"/>
      <c r="R4224" s="28"/>
      <c r="S4224" s="28"/>
    </row>
    <row r="4225" spans="1:19" x14ac:dyDescent="0.25">
      <c r="A4225" s="28"/>
      <c r="B4225" s="28"/>
      <c r="C4225" s="28"/>
      <c r="D4225" s="28"/>
      <c r="E4225" s="28"/>
      <c r="F4225" s="28"/>
      <c r="G4225" s="28"/>
      <c r="H4225" s="28"/>
      <c r="I4225" s="28"/>
      <c r="J4225" s="28"/>
      <c r="K4225" s="28"/>
      <c r="L4225" s="28"/>
      <c r="M4225" s="28"/>
      <c r="N4225" s="28"/>
      <c r="O4225" s="28"/>
      <c r="P4225" s="28"/>
      <c r="Q4225" s="28"/>
      <c r="R4225" s="28"/>
      <c r="S4225" s="28"/>
    </row>
    <row r="4226" spans="1:19" x14ac:dyDescent="0.25">
      <c r="A4226" s="28"/>
      <c r="B4226" s="28"/>
      <c r="C4226" s="28"/>
      <c r="D4226" s="28"/>
      <c r="E4226" s="28"/>
      <c r="F4226" s="28"/>
      <c r="G4226" s="28"/>
      <c r="H4226" s="28"/>
      <c r="I4226" s="28"/>
      <c r="J4226" s="28"/>
      <c r="K4226" s="28"/>
      <c r="L4226" s="28"/>
      <c r="M4226" s="28"/>
      <c r="N4226" s="28"/>
      <c r="O4226" s="28"/>
      <c r="P4226" s="28"/>
      <c r="Q4226" s="28"/>
      <c r="R4226" s="28"/>
      <c r="S4226" s="28"/>
    </row>
    <row r="4227" spans="1:19" x14ac:dyDescent="0.25">
      <c r="A4227" s="28"/>
      <c r="B4227" s="28"/>
      <c r="C4227" s="28"/>
      <c r="D4227" s="28"/>
      <c r="E4227" s="28"/>
      <c r="F4227" s="28"/>
      <c r="G4227" s="28"/>
      <c r="H4227" s="28"/>
      <c r="I4227" s="28"/>
      <c r="J4227" s="28"/>
      <c r="K4227" s="28"/>
      <c r="L4227" s="28"/>
      <c r="M4227" s="28"/>
      <c r="N4227" s="28"/>
      <c r="O4227" s="28"/>
      <c r="P4227" s="28"/>
      <c r="Q4227" s="28"/>
      <c r="R4227" s="28"/>
      <c r="S4227" s="28"/>
    </row>
    <row r="4228" spans="1:19" x14ac:dyDescent="0.25">
      <c r="A4228" s="28"/>
      <c r="B4228" s="28"/>
      <c r="C4228" s="28"/>
      <c r="D4228" s="28"/>
      <c r="E4228" s="28"/>
      <c r="F4228" s="28"/>
      <c r="G4228" s="28"/>
      <c r="H4228" s="28"/>
      <c r="I4228" s="28"/>
      <c r="J4228" s="28"/>
      <c r="K4228" s="28"/>
      <c r="L4228" s="28"/>
      <c r="M4228" s="28"/>
      <c r="N4228" s="28"/>
      <c r="O4228" s="28"/>
      <c r="P4228" s="28"/>
      <c r="Q4228" s="28"/>
      <c r="R4228" s="28"/>
      <c r="S4228" s="28"/>
    </row>
    <row r="4229" spans="1:19" x14ac:dyDescent="0.25">
      <c r="A4229" s="28"/>
      <c r="B4229" s="28"/>
      <c r="C4229" s="28"/>
      <c r="D4229" s="28"/>
      <c r="E4229" s="28"/>
      <c r="F4229" s="28"/>
      <c r="G4229" s="28"/>
      <c r="H4229" s="28"/>
      <c r="I4229" s="28"/>
      <c r="J4229" s="28"/>
      <c r="K4229" s="28"/>
      <c r="L4229" s="28"/>
      <c r="M4229" s="28"/>
      <c r="N4229" s="28"/>
      <c r="O4229" s="28"/>
      <c r="P4229" s="28"/>
      <c r="Q4229" s="28"/>
      <c r="R4229" s="28"/>
      <c r="S4229" s="28"/>
    </row>
    <row r="4230" spans="1:19" x14ac:dyDescent="0.25">
      <c r="A4230" s="28"/>
      <c r="B4230" s="28"/>
      <c r="C4230" s="28"/>
      <c r="D4230" s="28"/>
      <c r="E4230" s="28"/>
      <c r="F4230" s="28"/>
      <c r="G4230" s="28"/>
      <c r="H4230" s="28"/>
      <c r="I4230" s="28"/>
      <c r="J4230" s="28"/>
      <c r="K4230" s="28"/>
      <c r="L4230" s="28"/>
      <c r="M4230" s="28"/>
      <c r="N4230" s="28"/>
      <c r="O4230" s="28"/>
      <c r="P4230" s="28"/>
      <c r="Q4230" s="28"/>
      <c r="R4230" s="28"/>
      <c r="S4230" s="28"/>
    </row>
    <row r="4231" spans="1:19" x14ac:dyDescent="0.25">
      <c r="A4231" s="28"/>
      <c r="B4231" s="28"/>
      <c r="C4231" s="28"/>
      <c r="D4231" s="28"/>
      <c r="E4231" s="28"/>
      <c r="F4231" s="28"/>
      <c r="G4231" s="28"/>
      <c r="H4231" s="28"/>
      <c r="I4231" s="28"/>
      <c r="J4231" s="28"/>
      <c r="K4231" s="28"/>
      <c r="L4231" s="28"/>
      <c r="M4231" s="28"/>
      <c r="N4231" s="28"/>
      <c r="O4231" s="28"/>
      <c r="P4231" s="28"/>
      <c r="Q4231" s="28"/>
      <c r="R4231" s="28"/>
      <c r="S4231" s="28"/>
    </row>
    <row r="4232" spans="1:19" x14ac:dyDescent="0.25">
      <c r="A4232" s="28"/>
      <c r="B4232" s="28"/>
      <c r="C4232" s="28"/>
      <c r="D4232" s="28"/>
      <c r="E4232" s="28"/>
      <c r="F4232" s="28"/>
      <c r="G4232" s="28"/>
      <c r="H4232" s="28"/>
      <c r="I4232" s="28"/>
      <c r="J4232" s="28"/>
      <c r="K4232" s="28"/>
      <c r="L4232" s="28"/>
      <c r="M4232" s="28"/>
      <c r="N4232" s="28"/>
      <c r="O4232" s="28"/>
      <c r="P4232" s="28"/>
      <c r="Q4232" s="28"/>
      <c r="R4232" s="28"/>
      <c r="S4232" s="28"/>
    </row>
    <row r="4233" spans="1:19" x14ac:dyDescent="0.25">
      <c r="A4233" s="28"/>
      <c r="B4233" s="28"/>
      <c r="C4233" s="28"/>
      <c r="D4233" s="28"/>
      <c r="E4233" s="28"/>
      <c r="F4233" s="28"/>
      <c r="G4233" s="28"/>
      <c r="H4233" s="28"/>
      <c r="I4233" s="28"/>
      <c r="J4233" s="28"/>
      <c r="K4233" s="28"/>
      <c r="L4233" s="28"/>
      <c r="M4233" s="28"/>
      <c r="N4233" s="28"/>
      <c r="O4233" s="28"/>
      <c r="P4233" s="28"/>
      <c r="Q4233" s="28"/>
      <c r="R4233" s="28"/>
      <c r="S4233" s="28"/>
    </row>
    <row r="4234" spans="1:19" x14ac:dyDescent="0.25">
      <c r="A4234" s="28"/>
      <c r="B4234" s="28"/>
      <c r="C4234" s="28"/>
      <c r="D4234" s="28"/>
      <c r="E4234" s="28"/>
      <c r="F4234" s="28"/>
      <c r="G4234" s="28"/>
      <c r="H4234" s="28"/>
      <c r="I4234" s="28"/>
      <c r="J4234" s="28"/>
      <c r="K4234" s="28"/>
      <c r="L4234" s="28"/>
      <c r="M4234" s="28"/>
      <c r="N4234" s="28"/>
      <c r="O4234" s="28"/>
      <c r="P4234" s="28"/>
      <c r="Q4234" s="28"/>
      <c r="R4234" s="28"/>
      <c r="S4234" s="28"/>
    </row>
    <row r="4235" spans="1:19" x14ac:dyDescent="0.25">
      <c r="A4235" s="28"/>
      <c r="B4235" s="28"/>
      <c r="C4235" s="28"/>
      <c r="D4235" s="28"/>
      <c r="E4235" s="28"/>
      <c r="F4235" s="28"/>
      <c r="G4235" s="28"/>
      <c r="H4235" s="28"/>
      <c r="I4235" s="28"/>
      <c r="J4235" s="28"/>
      <c r="K4235" s="28"/>
      <c r="L4235" s="28"/>
      <c r="M4235" s="28"/>
      <c r="N4235" s="28"/>
      <c r="O4235" s="28"/>
      <c r="P4235" s="28"/>
      <c r="Q4235" s="28"/>
      <c r="R4235" s="28"/>
      <c r="S4235" s="28"/>
    </row>
    <row r="4236" spans="1:19" x14ac:dyDescent="0.25">
      <c r="A4236" s="28"/>
      <c r="B4236" s="28"/>
      <c r="C4236" s="28"/>
      <c r="D4236" s="28"/>
      <c r="E4236" s="28"/>
      <c r="F4236" s="28"/>
      <c r="G4236" s="28"/>
      <c r="H4236" s="28"/>
      <c r="I4236" s="28"/>
      <c r="J4236" s="28"/>
      <c r="K4236" s="28"/>
      <c r="L4236" s="28"/>
      <c r="M4236" s="28"/>
      <c r="N4236" s="28"/>
      <c r="O4236" s="28"/>
      <c r="P4236" s="28"/>
      <c r="Q4236" s="28"/>
      <c r="R4236" s="28"/>
      <c r="S4236" s="28"/>
    </row>
    <row r="4237" spans="1:19" x14ac:dyDescent="0.25">
      <c r="A4237" s="28"/>
      <c r="B4237" s="28"/>
      <c r="C4237" s="28"/>
      <c r="D4237" s="28"/>
      <c r="E4237" s="28"/>
      <c r="F4237" s="28"/>
      <c r="G4237" s="28"/>
      <c r="H4237" s="28"/>
      <c r="I4237" s="28"/>
      <c r="J4237" s="28"/>
      <c r="K4237" s="28"/>
      <c r="L4237" s="28"/>
      <c r="M4237" s="28"/>
      <c r="N4237" s="28"/>
      <c r="O4237" s="28"/>
      <c r="P4237" s="28"/>
      <c r="Q4237" s="28"/>
      <c r="R4237" s="28"/>
      <c r="S4237" s="28"/>
    </row>
    <row r="4238" spans="1:19" x14ac:dyDescent="0.25">
      <c r="A4238" s="28"/>
      <c r="B4238" s="28"/>
      <c r="C4238" s="28"/>
      <c r="D4238" s="28"/>
      <c r="E4238" s="28"/>
      <c r="F4238" s="28"/>
      <c r="G4238" s="28"/>
      <c r="H4238" s="28"/>
      <c r="I4238" s="28"/>
      <c r="J4238" s="28"/>
      <c r="K4238" s="28"/>
      <c r="L4238" s="28"/>
      <c r="M4238" s="28"/>
      <c r="N4238" s="28"/>
      <c r="O4238" s="28"/>
      <c r="P4238" s="28"/>
      <c r="Q4238" s="28"/>
      <c r="R4238" s="28"/>
      <c r="S4238" s="28"/>
    </row>
    <row r="4239" spans="1:19" x14ac:dyDescent="0.25">
      <c r="A4239" s="28"/>
      <c r="B4239" s="28"/>
      <c r="C4239" s="28"/>
      <c r="D4239" s="28"/>
      <c r="E4239" s="28"/>
      <c r="F4239" s="28"/>
      <c r="G4239" s="28"/>
      <c r="H4239" s="28"/>
      <c r="I4239" s="28"/>
      <c r="J4239" s="28"/>
      <c r="K4239" s="28"/>
      <c r="L4239" s="28"/>
      <c r="M4239" s="28"/>
      <c r="N4239" s="28"/>
      <c r="O4239" s="28"/>
      <c r="P4239" s="28"/>
      <c r="Q4239" s="28"/>
      <c r="R4239" s="28"/>
      <c r="S4239" s="28"/>
    </row>
    <row r="4240" spans="1:19" x14ac:dyDescent="0.25">
      <c r="A4240" s="28"/>
      <c r="B4240" s="28"/>
      <c r="C4240" s="28"/>
      <c r="D4240" s="28"/>
      <c r="E4240" s="28"/>
      <c r="F4240" s="28"/>
      <c r="G4240" s="28"/>
      <c r="H4240" s="28"/>
      <c r="I4240" s="28"/>
      <c r="J4240" s="28"/>
      <c r="K4240" s="28"/>
      <c r="L4240" s="28"/>
      <c r="M4240" s="28"/>
      <c r="N4240" s="28"/>
      <c r="O4240" s="28"/>
      <c r="P4240" s="28"/>
      <c r="Q4240" s="28"/>
      <c r="R4240" s="28"/>
      <c r="S4240" s="28"/>
    </row>
    <row r="4241" spans="1:19" x14ac:dyDescent="0.25">
      <c r="A4241" s="28"/>
      <c r="B4241" s="28"/>
      <c r="C4241" s="28"/>
      <c r="D4241" s="28"/>
      <c r="E4241" s="28"/>
      <c r="F4241" s="28"/>
      <c r="G4241" s="28"/>
      <c r="H4241" s="28"/>
      <c r="I4241" s="28"/>
      <c r="J4241" s="28"/>
      <c r="K4241" s="28"/>
      <c r="L4241" s="28"/>
      <c r="M4241" s="28"/>
      <c r="N4241" s="28"/>
      <c r="O4241" s="28"/>
      <c r="P4241" s="28"/>
      <c r="Q4241" s="28"/>
      <c r="R4241" s="28"/>
      <c r="S4241" s="28"/>
    </row>
    <row r="4242" spans="1:19" x14ac:dyDescent="0.25">
      <c r="A4242" s="28"/>
      <c r="B4242" s="28"/>
      <c r="C4242" s="28"/>
      <c r="D4242" s="28"/>
      <c r="E4242" s="28"/>
      <c r="F4242" s="28"/>
      <c r="G4242" s="28"/>
      <c r="H4242" s="28"/>
      <c r="I4242" s="28"/>
      <c r="J4242" s="28"/>
      <c r="K4242" s="28"/>
      <c r="L4242" s="28"/>
      <c r="M4242" s="28"/>
      <c r="N4242" s="28"/>
      <c r="O4242" s="28"/>
      <c r="P4242" s="28"/>
      <c r="Q4242" s="28"/>
      <c r="R4242" s="28"/>
      <c r="S4242" s="28"/>
    </row>
    <row r="4243" spans="1:19" x14ac:dyDescent="0.25">
      <c r="A4243" s="28"/>
      <c r="B4243" s="28"/>
      <c r="C4243" s="28"/>
      <c r="D4243" s="28"/>
      <c r="E4243" s="28"/>
      <c r="F4243" s="28"/>
      <c r="G4243" s="28"/>
      <c r="H4243" s="28"/>
      <c r="I4243" s="28"/>
      <c r="J4243" s="28"/>
      <c r="K4243" s="28"/>
      <c r="L4243" s="28"/>
      <c r="M4243" s="28"/>
      <c r="N4243" s="28"/>
      <c r="O4243" s="28"/>
      <c r="P4243" s="28"/>
      <c r="Q4243" s="28"/>
      <c r="R4243" s="28"/>
      <c r="S4243" s="28"/>
    </row>
    <row r="4244" spans="1:19" x14ac:dyDescent="0.25">
      <c r="A4244" s="28"/>
      <c r="B4244" s="28"/>
      <c r="C4244" s="28"/>
      <c r="D4244" s="28"/>
      <c r="E4244" s="28"/>
      <c r="F4244" s="28"/>
      <c r="G4244" s="28"/>
      <c r="H4244" s="28"/>
      <c r="I4244" s="28"/>
      <c r="J4244" s="28"/>
      <c r="K4244" s="28"/>
      <c r="L4244" s="28"/>
      <c r="M4244" s="28"/>
      <c r="N4244" s="28"/>
      <c r="O4244" s="28"/>
      <c r="P4244" s="28"/>
      <c r="Q4244" s="28"/>
      <c r="R4244" s="28"/>
      <c r="S4244" s="28"/>
    </row>
    <row r="4245" spans="1:19" x14ac:dyDescent="0.25">
      <c r="A4245" s="28"/>
      <c r="B4245" s="28"/>
      <c r="C4245" s="28"/>
      <c r="D4245" s="28"/>
      <c r="E4245" s="28"/>
      <c r="F4245" s="28"/>
      <c r="G4245" s="28"/>
      <c r="H4245" s="28"/>
      <c r="I4245" s="28"/>
      <c r="J4245" s="28"/>
      <c r="K4245" s="28"/>
      <c r="L4245" s="28"/>
      <c r="M4245" s="28"/>
      <c r="N4245" s="28"/>
      <c r="O4245" s="28"/>
      <c r="P4245" s="28"/>
      <c r="Q4245" s="28"/>
      <c r="R4245" s="28"/>
      <c r="S4245" s="28"/>
    </row>
    <row r="4246" spans="1:19" x14ac:dyDescent="0.25">
      <c r="A4246" s="28"/>
      <c r="B4246" s="28"/>
      <c r="C4246" s="28"/>
      <c r="D4246" s="28"/>
      <c r="E4246" s="28"/>
      <c r="F4246" s="28"/>
      <c r="G4246" s="28"/>
      <c r="H4246" s="28"/>
      <c r="I4246" s="28"/>
      <c r="J4246" s="28"/>
      <c r="K4246" s="28"/>
      <c r="L4246" s="28"/>
      <c r="M4246" s="28"/>
      <c r="N4246" s="28"/>
      <c r="O4246" s="28"/>
      <c r="P4246" s="28"/>
      <c r="Q4246" s="28"/>
      <c r="R4246" s="28"/>
      <c r="S4246" s="28"/>
    </row>
    <row r="4247" spans="1:19" x14ac:dyDescent="0.25">
      <c r="A4247" s="28"/>
      <c r="B4247" s="28"/>
      <c r="C4247" s="28"/>
      <c r="D4247" s="28"/>
      <c r="E4247" s="28"/>
      <c r="F4247" s="28"/>
      <c r="G4247" s="28"/>
      <c r="H4247" s="28"/>
      <c r="I4247" s="28"/>
      <c r="J4247" s="28"/>
      <c r="K4247" s="28"/>
      <c r="L4247" s="28"/>
      <c r="M4247" s="28"/>
      <c r="N4247" s="28"/>
      <c r="O4247" s="28"/>
      <c r="P4247" s="28"/>
      <c r="Q4247" s="28"/>
      <c r="R4247" s="28"/>
      <c r="S4247" s="28"/>
    </row>
    <row r="4248" spans="1:19" x14ac:dyDescent="0.25">
      <c r="A4248" s="28"/>
      <c r="B4248" s="28"/>
      <c r="C4248" s="28"/>
      <c r="D4248" s="28"/>
      <c r="E4248" s="28"/>
      <c r="F4248" s="28"/>
      <c r="G4248" s="28"/>
      <c r="H4248" s="28"/>
      <c r="I4248" s="28"/>
      <c r="J4248" s="28"/>
      <c r="K4248" s="28"/>
      <c r="L4248" s="28"/>
      <c r="M4248" s="28"/>
      <c r="N4248" s="28"/>
      <c r="O4248" s="28"/>
      <c r="P4248" s="28"/>
      <c r="Q4248" s="28"/>
      <c r="R4248" s="28"/>
      <c r="S4248" s="28"/>
    </row>
    <row r="4249" spans="1:19" x14ac:dyDescent="0.25">
      <c r="A4249" s="28"/>
      <c r="B4249" s="28"/>
      <c r="C4249" s="28"/>
      <c r="D4249" s="28"/>
      <c r="E4249" s="28"/>
      <c r="F4249" s="28"/>
      <c r="G4249" s="28"/>
      <c r="H4249" s="28"/>
      <c r="I4249" s="28"/>
      <c r="J4249" s="28"/>
      <c r="K4249" s="28"/>
      <c r="L4249" s="28"/>
      <c r="M4249" s="28"/>
      <c r="N4249" s="28"/>
      <c r="O4249" s="28"/>
      <c r="P4249" s="28"/>
      <c r="Q4249" s="28"/>
      <c r="R4249" s="28"/>
      <c r="S4249" s="28"/>
    </row>
    <row r="4250" spans="1:19" x14ac:dyDescent="0.25">
      <c r="A4250" s="28"/>
      <c r="B4250" s="28"/>
      <c r="C4250" s="28"/>
      <c r="D4250" s="28"/>
      <c r="E4250" s="28"/>
      <c r="F4250" s="28"/>
      <c r="G4250" s="28"/>
      <c r="H4250" s="28"/>
      <c r="I4250" s="28"/>
      <c r="J4250" s="28"/>
      <c r="K4250" s="28"/>
      <c r="L4250" s="28"/>
      <c r="M4250" s="28"/>
      <c r="N4250" s="28"/>
      <c r="O4250" s="28"/>
      <c r="P4250" s="28"/>
      <c r="Q4250" s="28"/>
      <c r="R4250" s="28"/>
      <c r="S4250" s="28"/>
    </row>
    <row r="4251" spans="1:19" x14ac:dyDescent="0.25">
      <c r="A4251" s="28"/>
      <c r="B4251" s="28"/>
      <c r="C4251" s="28"/>
      <c r="D4251" s="28"/>
      <c r="E4251" s="28"/>
      <c r="F4251" s="28"/>
      <c r="G4251" s="28"/>
      <c r="H4251" s="28"/>
      <c r="I4251" s="28"/>
      <c r="J4251" s="28"/>
      <c r="K4251" s="28"/>
      <c r="L4251" s="28"/>
      <c r="M4251" s="28"/>
      <c r="N4251" s="28"/>
      <c r="O4251" s="28"/>
      <c r="P4251" s="28"/>
      <c r="Q4251" s="28"/>
      <c r="R4251" s="28"/>
      <c r="S4251" s="28"/>
    </row>
    <row r="4252" spans="1:19" x14ac:dyDescent="0.25">
      <c r="A4252" s="28"/>
      <c r="B4252" s="28"/>
      <c r="C4252" s="28"/>
      <c r="D4252" s="28"/>
      <c r="E4252" s="28"/>
      <c r="F4252" s="28"/>
      <c r="G4252" s="28"/>
      <c r="H4252" s="28"/>
      <c r="I4252" s="28"/>
      <c r="J4252" s="28"/>
      <c r="K4252" s="28"/>
      <c r="L4252" s="28"/>
      <c r="M4252" s="28"/>
      <c r="N4252" s="28"/>
      <c r="O4252" s="28"/>
      <c r="P4252" s="28"/>
      <c r="Q4252" s="28"/>
      <c r="R4252" s="28"/>
      <c r="S4252" s="28"/>
    </row>
    <row r="4253" spans="1:19" x14ac:dyDescent="0.25">
      <c r="A4253" s="28"/>
      <c r="B4253" s="28"/>
      <c r="C4253" s="28"/>
      <c r="D4253" s="28"/>
      <c r="E4253" s="28"/>
      <c r="F4253" s="28"/>
      <c r="G4253" s="28"/>
      <c r="H4253" s="28"/>
      <c r="I4253" s="28"/>
      <c r="J4253" s="28"/>
      <c r="K4253" s="28"/>
      <c r="L4253" s="28"/>
      <c r="M4253" s="28"/>
      <c r="N4253" s="28"/>
      <c r="O4253" s="28"/>
      <c r="P4253" s="28"/>
      <c r="Q4253" s="28"/>
      <c r="R4253" s="28"/>
      <c r="S4253" s="28"/>
    </row>
    <row r="4254" spans="1:19" x14ac:dyDescent="0.25">
      <c r="A4254" s="28"/>
      <c r="B4254" s="28"/>
      <c r="C4254" s="28"/>
      <c r="D4254" s="28"/>
      <c r="E4254" s="28"/>
      <c r="F4254" s="28"/>
      <c r="G4254" s="28"/>
      <c r="H4254" s="28"/>
      <c r="I4254" s="28"/>
      <c r="J4254" s="28"/>
      <c r="K4254" s="28"/>
      <c r="L4254" s="28"/>
      <c r="M4254" s="28"/>
      <c r="N4254" s="28"/>
      <c r="O4254" s="28"/>
      <c r="P4254" s="28"/>
      <c r="Q4254" s="28"/>
      <c r="R4254" s="28"/>
      <c r="S4254" s="28"/>
    </row>
    <row r="4255" spans="1:19" x14ac:dyDescent="0.25">
      <c r="A4255" s="28"/>
      <c r="B4255" s="28"/>
      <c r="C4255" s="28"/>
      <c r="D4255" s="28"/>
      <c r="E4255" s="28"/>
      <c r="F4255" s="28"/>
      <c r="G4255" s="28"/>
      <c r="H4255" s="28"/>
      <c r="I4255" s="28"/>
      <c r="J4255" s="28"/>
      <c r="K4255" s="28"/>
      <c r="L4255" s="28"/>
      <c r="M4255" s="28"/>
      <c r="N4255" s="28"/>
      <c r="O4255" s="28"/>
      <c r="P4255" s="28"/>
      <c r="Q4255" s="28"/>
      <c r="R4255" s="28"/>
      <c r="S4255" s="28"/>
    </row>
    <row r="4256" spans="1:19" x14ac:dyDescent="0.25">
      <c r="A4256" s="28"/>
      <c r="B4256" s="28"/>
      <c r="C4256" s="28"/>
      <c r="D4256" s="28"/>
      <c r="E4256" s="28"/>
      <c r="F4256" s="28"/>
      <c r="G4256" s="28"/>
      <c r="H4256" s="28"/>
      <c r="I4256" s="28"/>
      <c r="J4256" s="28"/>
      <c r="K4256" s="28"/>
      <c r="L4256" s="28"/>
      <c r="M4256" s="28"/>
      <c r="N4256" s="28"/>
      <c r="O4256" s="28"/>
      <c r="P4256" s="28"/>
      <c r="Q4256" s="28"/>
      <c r="R4256" s="28"/>
      <c r="S4256" s="28"/>
    </row>
    <row r="4257" spans="1:19" x14ac:dyDescent="0.25">
      <c r="A4257" s="28"/>
      <c r="B4257" s="28"/>
      <c r="C4257" s="28"/>
      <c r="D4257" s="28"/>
      <c r="E4257" s="28"/>
      <c r="F4257" s="28"/>
      <c r="G4257" s="28"/>
      <c r="H4257" s="28"/>
      <c r="I4257" s="28"/>
      <c r="J4257" s="28"/>
      <c r="K4257" s="28"/>
      <c r="L4257" s="28"/>
      <c r="M4257" s="28"/>
      <c r="N4257" s="28"/>
      <c r="O4257" s="28"/>
      <c r="P4257" s="28"/>
      <c r="Q4257" s="28"/>
      <c r="R4257" s="28"/>
      <c r="S4257" s="28"/>
    </row>
    <row r="4258" spans="1:19" x14ac:dyDescent="0.25">
      <c r="A4258" s="28"/>
      <c r="B4258" s="28"/>
      <c r="C4258" s="28"/>
      <c r="D4258" s="28"/>
      <c r="E4258" s="28"/>
      <c r="F4258" s="28"/>
      <c r="G4258" s="28"/>
      <c r="H4258" s="28"/>
      <c r="I4258" s="28"/>
      <c r="J4258" s="28"/>
      <c r="K4258" s="28"/>
      <c r="L4258" s="28"/>
      <c r="M4258" s="28"/>
      <c r="N4258" s="28"/>
      <c r="O4258" s="28"/>
      <c r="P4258" s="28"/>
      <c r="Q4258" s="28"/>
      <c r="R4258" s="28"/>
      <c r="S4258" s="28"/>
    </row>
    <row r="4259" spans="1:19" x14ac:dyDescent="0.25">
      <c r="A4259" s="28"/>
      <c r="B4259" s="28"/>
      <c r="C4259" s="28"/>
      <c r="D4259" s="28"/>
      <c r="E4259" s="28"/>
      <c r="F4259" s="28"/>
      <c r="G4259" s="28"/>
      <c r="H4259" s="28"/>
      <c r="I4259" s="28"/>
      <c r="J4259" s="28"/>
      <c r="K4259" s="28"/>
      <c r="L4259" s="28"/>
      <c r="M4259" s="28"/>
      <c r="N4259" s="28"/>
      <c r="O4259" s="28"/>
      <c r="P4259" s="28"/>
      <c r="Q4259" s="28"/>
      <c r="R4259" s="28"/>
      <c r="S4259" s="28"/>
    </row>
    <row r="4260" spans="1:19" x14ac:dyDescent="0.25">
      <c r="A4260" s="28"/>
      <c r="B4260" s="28"/>
      <c r="C4260" s="28"/>
      <c r="D4260" s="28"/>
      <c r="E4260" s="28"/>
      <c r="F4260" s="28"/>
      <c r="G4260" s="28"/>
      <c r="H4260" s="28"/>
      <c r="I4260" s="28"/>
      <c r="J4260" s="28"/>
      <c r="K4260" s="28"/>
      <c r="L4260" s="28"/>
      <c r="M4260" s="28"/>
      <c r="N4260" s="28"/>
      <c r="O4260" s="28"/>
      <c r="P4260" s="28"/>
      <c r="Q4260" s="28"/>
      <c r="R4260" s="28"/>
      <c r="S4260" s="28"/>
    </row>
    <row r="4261" spans="1:19" x14ac:dyDescent="0.25">
      <c r="A4261" s="28"/>
      <c r="B4261" s="28"/>
      <c r="C4261" s="28"/>
      <c r="D4261" s="28"/>
      <c r="E4261" s="28"/>
      <c r="F4261" s="28"/>
      <c r="G4261" s="28"/>
      <c r="H4261" s="28"/>
      <c r="I4261" s="28"/>
      <c r="J4261" s="28"/>
      <c r="K4261" s="28"/>
      <c r="L4261" s="28"/>
      <c r="M4261" s="28"/>
      <c r="N4261" s="28"/>
      <c r="O4261" s="28"/>
      <c r="P4261" s="28"/>
      <c r="Q4261" s="28"/>
      <c r="R4261" s="28"/>
      <c r="S4261" s="28"/>
    </row>
    <row r="4262" spans="1:19" x14ac:dyDescent="0.25">
      <c r="A4262" s="28"/>
      <c r="B4262" s="28"/>
      <c r="C4262" s="28"/>
      <c r="D4262" s="28"/>
      <c r="E4262" s="28"/>
      <c r="F4262" s="28"/>
      <c r="G4262" s="28"/>
      <c r="H4262" s="28"/>
      <c r="I4262" s="28"/>
      <c r="J4262" s="28"/>
      <c r="K4262" s="28"/>
      <c r="L4262" s="28"/>
      <c r="M4262" s="28"/>
      <c r="N4262" s="28"/>
      <c r="O4262" s="28"/>
      <c r="P4262" s="28"/>
      <c r="Q4262" s="28"/>
      <c r="R4262" s="28"/>
      <c r="S4262" s="28"/>
    </row>
    <row r="4263" spans="1:19" x14ac:dyDescent="0.25">
      <c r="A4263" s="28"/>
      <c r="B4263" s="28"/>
      <c r="C4263" s="28"/>
      <c r="D4263" s="28"/>
      <c r="E4263" s="28"/>
      <c r="F4263" s="28"/>
      <c r="G4263" s="28"/>
      <c r="H4263" s="28"/>
      <c r="I4263" s="28"/>
      <c r="J4263" s="28"/>
      <c r="K4263" s="28"/>
      <c r="L4263" s="28"/>
      <c r="M4263" s="28"/>
      <c r="N4263" s="28"/>
      <c r="O4263" s="28"/>
      <c r="P4263" s="28"/>
      <c r="Q4263" s="28"/>
      <c r="R4263" s="28"/>
      <c r="S4263" s="28"/>
    </row>
    <row r="4264" spans="1:19" x14ac:dyDescent="0.25">
      <c r="A4264" s="28"/>
      <c r="B4264" s="28"/>
      <c r="C4264" s="28"/>
      <c r="D4264" s="28"/>
      <c r="E4264" s="28"/>
      <c r="F4264" s="28"/>
      <c r="G4264" s="28"/>
      <c r="H4264" s="28"/>
      <c r="I4264" s="28"/>
      <c r="J4264" s="28"/>
      <c r="K4264" s="28"/>
      <c r="L4264" s="28"/>
      <c r="M4264" s="28"/>
      <c r="N4264" s="28"/>
      <c r="O4264" s="28"/>
      <c r="P4264" s="28"/>
      <c r="Q4264" s="28"/>
      <c r="R4264" s="28"/>
      <c r="S4264" s="28"/>
    </row>
    <row r="4265" spans="1:19" x14ac:dyDescent="0.25">
      <c r="A4265" s="28"/>
      <c r="B4265" s="28"/>
      <c r="C4265" s="28"/>
      <c r="D4265" s="28"/>
      <c r="E4265" s="28"/>
      <c r="F4265" s="28"/>
      <c r="G4265" s="28"/>
      <c r="H4265" s="28"/>
      <c r="I4265" s="28"/>
      <c r="J4265" s="28"/>
      <c r="K4265" s="28"/>
      <c r="L4265" s="28"/>
      <c r="M4265" s="28"/>
      <c r="N4265" s="28"/>
      <c r="O4265" s="28"/>
      <c r="P4265" s="28"/>
      <c r="Q4265" s="28"/>
      <c r="R4265" s="28"/>
      <c r="S4265" s="28"/>
    </row>
    <row r="4266" spans="1:19" x14ac:dyDescent="0.25">
      <c r="A4266" s="28"/>
      <c r="B4266" s="28"/>
      <c r="C4266" s="28"/>
      <c r="D4266" s="28"/>
      <c r="E4266" s="28"/>
      <c r="F4266" s="28"/>
      <c r="G4266" s="28"/>
      <c r="H4266" s="28"/>
      <c r="I4266" s="28"/>
      <c r="J4266" s="28"/>
      <c r="K4266" s="28"/>
      <c r="L4266" s="28"/>
      <c r="M4266" s="28"/>
      <c r="N4266" s="28"/>
      <c r="O4266" s="28"/>
      <c r="P4266" s="28"/>
      <c r="Q4266" s="28"/>
      <c r="R4266" s="28"/>
      <c r="S4266" s="28"/>
    </row>
    <row r="4267" spans="1:19" x14ac:dyDescent="0.25">
      <c r="A4267" s="28"/>
      <c r="B4267" s="28"/>
      <c r="C4267" s="28"/>
      <c r="D4267" s="28"/>
      <c r="E4267" s="28"/>
      <c r="F4267" s="28"/>
      <c r="G4267" s="28"/>
      <c r="H4267" s="28"/>
      <c r="I4267" s="28"/>
      <c r="J4267" s="28"/>
      <c r="K4267" s="28"/>
      <c r="L4267" s="28"/>
      <c r="M4267" s="28"/>
      <c r="N4267" s="28"/>
      <c r="O4267" s="28"/>
      <c r="P4267" s="28"/>
      <c r="Q4267" s="28"/>
      <c r="R4267" s="28"/>
      <c r="S4267" s="28"/>
    </row>
    <row r="4268" spans="1:19" x14ac:dyDescent="0.25">
      <c r="A4268" s="28"/>
      <c r="B4268" s="28"/>
      <c r="C4268" s="28"/>
      <c r="D4268" s="28"/>
      <c r="E4268" s="28"/>
      <c r="F4268" s="28"/>
      <c r="G4268" s="28"/>
      <c r="H4268" s="28"/>
      <c r="I4268" s="28"/>
      <c r="J4268" s="28"/>
      <c r="K4268" s="28"/>
      <c r="L4268" s="28"/>
      <c r="M4268" s="28"/>
      <c r="N4268" s="28"/>
      <c r="O4268" s="28"/>
      <c r="P4268" s="28"/>
      <c r="Q4268" s="28"/>
      <c r="R4268" s="28"/>
      <c r="S4268" s="28"/>
    </row>
    <row r="4269" spans="1:19" x14ac:dyDescent="0.25">
      <c r="A4269" s="28"/>
      <c r="B4269" s="28"/>
      <c r="C4269" s="28"/>
      <c r="D4269" s="28"/>
      <c r="E4269" s="28"/>
      <c r="F4269" s="28"/>
      <c r="G4269" s="28"/>
      <c r="H4269" s="28"/>
      <c r="I4269" s="28"/>
      <c r="J4269" s="28"/>
      <c r="K4269" s="28"/>
      <c r="L4269" s="28"/>
      <c r="M4269" s="28"/>
      <c r="N4269" s="28"/>
      <c r="O4269" s="28"/>
      <c r="P4269" s="28"/>
      <c r="Q4269" s="28"/>
      <c r="R4269" s="28"/>
      <c r="S4269" s="28"/>
    </row>
    <row r="4270" spans="1:19" x14ac:dyDescent="0.25">
      <c r="A4270" s="28"/>
      <c r="B4270" s="28"/>
      <c r="C4270" s="28"/>
      <c r="D4270" s="28"/>
      <c r="E4270" s="28"/>
      <c r="F4270" s="28"/>
      <c r="G4270" s="28"/>
      <c r="H4270" s="28"/>
      <c r="I4270" s="28"/>
      <c r="J4270" s="28"/>
      <c r="K4270" s="28"/>
      <c r="L4270" s="28"/>
      <c r="M4270" s="28"/>
      <c r="N4270" s="28"/>
      <c r="O4270" s="28"/>
      <c r="P4270" s="28"/>
      <c r="Q4270" s="28"/>
      <c r="R4270" s="28"/>
      <c r="S4270" s="28"/>
    </row>
    <row r="4271" spans="1:19" x14ac:dyDescent="0.25">
      <c r="A4271" s="28"/>
      <c r="B4271" s="28"/>
      <c r="C4271" s="28"/>
      <c r="D4271" s="28"/>
      <c r="E4271" s="28"/>
      <c r="F4271" s="28"/>
      <c r="G4271" s="28"/>
      <c r="H4271" s="28"/>
      <c r="I4271" s="28"/>
      <c r="J4271" s="28"/>
      <c r="K4271" s="28"/>
      <c r="L4271" s="28"/>
      <c r="M4271" s="28"/>
      <c r="N4271" s="28"/>
      <c r="O4271" s="28"/>
      <c r="P4271" s="28"/>
      <c r="Q4271" s="28"/>
      <c r="R4271" s="28"/>
      <c r="S4271" s="28"/>
    </row>
    <row r="4272" spans="1:19" x14ac:dyDescent="0.25">
      <c r="A4272" s="28"/>
      <c r="B4272" s="28"/>
      <c r="C4272" s="28"/>
      <c r="D4272" s="28"/>
      <c r="E4272" s="28"/>
      <c r="F4272" s="28"/>
      <c r="G4272" s="28"/>
      <c r="H4272" s="28"/>
      <c r="I4272" s="28"/>
      <c r="J4272" s="28"/>
      <c r="K4272" s="28"/>
      <c r="L4272" s="28"/>
      <c r="M4272" s="28"/>
      <c r="N4272" s="28"/>
      <c r="O4272" s="28"/>
      <c r="P4272" s="28"/>
      <c r="Q4272" s="28"/>
      <c r="R4272" s="28"/>
      <c r="S4272" s="28"/>
    </row>
    <row r="4273" spans="1:19" x14ac:dyDescent="0.25">
      <c r="A4273" s="28"/>
      <c r="B4273" s="28"/>
      <c r="C4273" s="28"/>
      <c r="D4273" s="28"/>
      <c r="E4273" s="28"/>
      <c r="F4273" s="28"/>
      <c r="G4273" s="28"/>
      <c r="H4273" s="28"/>
      <c r="I4273" s="28"/>
      <c r="J4273" s="28"/>
      <c r="K4273" s="28"/>
      <c r="L4273" s="28"/>
      <c r="M4273" s="28"/>
      <c r="N4273" s="28"/>
      <c r="O4273" s="28"/>
      <c r="P4273" s="28"/>
      <c r="Q4273" s="28"/>
      <c r="R4273" s="28"/>
      <c r="S4273" s="28"/>
    </row>
    <row r="4274" spans="1:19" x14ac:dyDescent="0.25">
      <c r="A4274" s="28"/>
      <c r="B4274" s="28"/>
      <c r="C4274" s="28"/>
      <c r="D4274" s="28"/>
      <c r="E4274" s="28"/>
      <c r="F4274" s="28"/>
      <c r="G4274" s="28"/>
      <c r="H4274" s="28"/>
      <c r="I4274" s="28"/>
      <c r="J4274" s="28"/>
      <c r="K4274" s="28"/>
      <c r="L4274" s="28"/>
      <c r="M4274" s="28"/>
      <c r="N4274" s="28"/>
      <c r="O4274" s="28"/>
      <c r="P4274" s="28"/>
      <c r="Q4274" s="28"/>
      <c r="R4274" s="28"/>
      <c r="S4274" s="28"/>
    </row>
    <row r="4275" spans="1:19" x14ac:dyDescent="0.25">
      <c r="A4275" s="28"/>
      <c r="B4275" s="28"/>
      <c r="C4275" s="28"/>
      <c r="D4275" s="28"/>
      <c r="E4275" s="28"/>
      <c r="F4275" s="28"/>
      <c r="G4275" s="28"/>
      <c r="H4275" s="28"/>
      <c r="I4275" s="28"/>
      <c r="J4275" s="28"/>
      <c r="K4275" s="28"/>
      <c r="L4275" s="28"/>
      <c r="M4275" s="28"/>
      <c r="N4275" s="28"/>
      <c r="O4275" s="28"/>
      <c r="P4275" s="28"/>
      <c r="Q4275" s="28"/>
      <c r="R4275" s="28"/>
      <c r="S4275" s="28"/>
    </row>
    <row r="4276" spans="1:19" x14ac:dyDescent="0.25">
      <c r="A4276" s="28"/>
      <c r="B4276" s="28"/>
      <c r="C4276" s="28"/>
      <c r="D4276" s="28"/>
      <c r="E4276" s="28"/>
      <c r="F4276" s="28"/>
      <c r="G4276" s="28"/>
      <c r="H4276" s="28"/>
      <c r="I4276" s="28"/>
      <c r="J4276" s="28"/>
      <c r="K4276" s="28"/>
      <c r="L4276" s="28"/>
      <c r="M4276" s="28"/>
      <c r="N4276" s="28"/>
      <c r="O4276" s="28"/>
      <c r="P4276" s="28"/>
      <c r="Q4276" s="28"/>
      <c r="R4276" s="28"/>
      <c r="S4276" s="28"/>
    </row>
    <row r="4277" spans="1:19" x14ac:dyDescent="0.25">
      <c r="A4277" s="28"/>
      <c r="B4277" s="28"/>
      <c r="C4277" s="28"/>
      <c r="D4277" s="28"/>
      <c r="E4277" s="28"/>
      <c r="F4277" s="28"/>
      <c r="G4277" s="28"/>
      <c r="H4277" s="28"/>
      <c r="I4277" s="28"/>
      <c r="J4277" s="28"/>
      <c r="K4277" s="28"/>
      <c r="L4277" s="28"/>
      <c r="M4277" s="28"/>
      <c r="N4277" s="28"/>
      <c r="O4277" s="28"/>
      <c r="P4277" s="28"/>
      <c r="Q4277" s="28"/>
      <c r="R4277" s="28"/>
      <c r="S4277" s="28"/>
    </row>
    <row r="4278" spans="1:19" x14ac:dyDescent="0.25">
      <c r="A4278" s="28"/>
      <c r="B4278" s="28"/>
      <c r="C4278" s="28"/>
      <c r="D4278" s="28"/>
      <c r="E4278" s="28"/>
      <c r="F4278" s="28"/>
      <c r="G4278" s="28"/>
      <c r="H4278" s="28"/>
      <c r="I4278" s="28"/>
      <c r="J4278" s="28"/>
      <c r="K4278" s="28"/>
      <c r="L4278" s="28"/>
      <c r="M4278" s="28"/>
      <c r="N4278" s="28"/>
      <c r="O4278" s="28"/>
      <c r="P4278" s="28"/>
      <c r="Q4278" s="28"/>
      <c r="R4278" s="28"/>
      <c r="S4278" s="28"/>
    </row>
    <row r="4279" spans="1:19" x14ac:dyDescent="0.25">
      <c r="A4279" s="28"/>
      <c r="B4279" s="28"/>
      <c r="C4279" s="28"/>
      <c r="D4279" s="28"/>
      <c r="E4279" s="28"/>
      <c r="F4279" s="28"/>
      <c r="G4279" s="28"/>
      <c r="H4279" s="28"/>
      <c r="I4279" s="28"/>
      <c r="J4279" s="28"/>
      <c r="K4279" s="28"/>
      <c r="L4279" s="28"/>
      <c r="M4279" s="28"/>
      <c r="N4279" s="28"/>
      <c r="O4279" s="28"/>
      <c r="P4279" s="28"/>
      <c r="Q4279" s="28"/>
      <c r="R4279" s="28"/>
      <c r="S4279" s="28"/>
    </row>
    <row r="4280" spans="1:19" x14ac:dyDescent="0.25">
      <c r="A4280" s="28"/>
      <c r="B4280" s="28"/>
      <c r="C4280" s="28"/>
      <c r="D4280" s="28"/>
      <c r="E4280" s="28"/>
      <c r="F4280" s="28"/>
      <c r="G4280" s="28"/>
      <c r="H4280" s="28"/>
      <c r="I4280" s="28"/>
      <c r="J4280" s="28"/>
      <c r="K4280" s="28"/>
      <c r="L4280" s="28"/>
      <c r="M4280" s="28"/>
      <c r="N4280" s="28"/>
      <c r="O4280" s="28"/>
      <c r="P4280" s="28"/>
      <c r="Q4280" s="28"/>
      <c r="R4280" s="28"/>
      <c r="S4280" s="28"/>
    </row>
    <row r="4281" spans="1:19" x14ac:dyDescent="0.25">
      <c r="A4281" s="28"/>
      <c r="B4281" s="28"/>
      <c r="C4281" s="28"/>
      <c r="D4281" s="28"/>
      <c r="E4281" s="28"/>
      <c r="F4281" s="28"/>
      <c r="G4281" s="28"/>
      <c r="H4281" s="28"/>
      <c r="I4281" s="28"/>
      <c r="J4281" s="28"/>
      <c r="K4281" s="28"/>
      <c r="L4281" s="28"/>
      <c r="M4281" s="28"/>
      <c r="N4281" s="28"/>
      <c r="O4281" s="28"/>
      <c r="P4281" s="28"/>
      <c r="Q4281" s="28"/>
      <c r="R4281" s="28"/>
      <c r="S4281" s="28"/>
    </row>
    <row r="4282" spans="1:19" x14ac:dyDescent="0.25">
      <c r="A4282" s="28"/>
      <c r="B4282" s="28"/>
      <c r="C4282" s="28"/>
      <c r="D4282" s="28"/>
      <c r="E4282" s="28"/>
      <c r="F4282" s="28"/>
      <c r="G4282" s="28"/>
      <c r="H4282" s="28"/>
      <c r="I4282" s="28"/>
      <c r="J4282" s="28"/>
      <c r="K4282" s="28"/>
      <c r="L4282" s="28"/>
      <c r="M4282" s="28"/>
      <c r="N4282" s="28"/>
      <c r="O4282" s="28"/>
      <c r="P4282" s="28"/>
      <c r="Q4282" s="28"/>
      <c r="R4282" s="28"/>
      <c r="S4282" s="28"/>
    </row>
    <row r="4283" spans="1:19" x14ac:dyDescent="0.25">
      <c r="A4283" s="28"/>
      <c r="B4283" s="28"/>
      <c r="C4283" s="28"/>
      <c r="D4283" s="28"/>
      <c r="E4283" s="28"/>
      <c r="F4283" s="28"/>
      <c r="G4283" s="28"/>
      <c r="H4283" s="28"/>
      <c r="I4283" s="28"/>
      <c r="J4283" s="28"/>
      <c r="K4283" s="28"/>
      <c r="L4283" s="28"/>
      <c r="M4283" s="28"/>
      <c r="N4283" s="28"/>
      <c r="O4283" s="28"/>
      <c r="P4283" s="28"/>
      <c r="Q4283" s="28"/>
      <c r="R4283" s="28"/>
      <c r="S4283" s="28"/>
    </row>
    <row r="4284" spans="1:19" x14ac:dyDescent="0.25">
      <c r="A4284" s="28"/>
      <c r="B4284" s="28"/>
      <c r="C4284" s="28"/>
      <c r="D4284" s="28"/>
      <c r="E4284" s="28"/>
      <c r="F4284" s="28"/>
      <c r="G4284" s="28"/>
      <c r="H4284" s="28"/>
      <c r="I4284" s="28"/>
      <c r="J4284" s="28"/>
      <c r="K4284" s="28"/>
      <c r="L4284" s="28"/>
      <c r="M4284" s="28"/>
      <c r="N4284" s="28"/>
      <c r="O4284" s="28"/>
      <c r="P4284" s="28"/>
      <c r="Q4284" s="28"/>
      <c r="R4284" s="28"/>
      <c r="S4284" s="28"/>
    </row>
    <row r="4285" spans="1:19" x14ac:dyDescent="0.25">
      <c r="A4285" s="28"/>
      <c r="B4285" s="28"/>
      <c r="C4285" s="28"/>
      <c r="D4285" s="28"/>
      <c r="E4285" s="28"/>
      <c r="F4285" s="28"/>
      <c r="G4285" s="28"/>
      <c r="H4285" s="28"/>
      <c r="I4285" s="28"/>
      <c r="J4285" s="28"/>
      <c r="K4285" s="28"/>
      <c r="L4285" s="28"/>
      <c r="M4285" s="28"/>
      <c r="N4285" s="28"/>
      <c r="O4285" s="28"/>
      <c r="P4285" s="28"/>
      <c r="Q4285" s="28"/>
      <c r="R4285" s="28"/>
      <c r="S4285" s="28"/>
    </row>
    <row r="4286" spans="1:19" x14ac:dyDescent="0.25">
      <c r="A4286" s="28"/>
      <c r="B4286" s="28"/>
      <c r="C4286" s="28"/>
      <c r="D4286" s="28"/>
      <c r="E4286" s="28"/>
      <c r="F4286" s="28"/>
      <c r="G4286" s="28"/>
      <c r="H4286" s="28"/>
      <c r="I4286" s="28"/>
      <c r="J4286" s="28"/>
      <c r="K4286" s="28"/>
      <c r="L4286" s="28"/>
      <c r="M4286" s="28"/>
      <c r="N4286" s="28"/>
      <c r="O4286" s="28"/>
      <c r="P4286" s="28"/>
      <c r="Q4286" s="28"/>
      <c r="R4286" s="28"/>
      <c r="S4286" s="28"/>
    </row>
    <row r="4287" spans="1:19" x14ac:dyDescent="0.25">
      <c r="A4287" s="28"/>
      <c r="B4287" s="28"/>
      <c r="C4287" s="28"/>
      <c r="D4287" s="28"/>
      <c r="E4287" s="28"/>
      <c r="F4287" s="28"/>
      <c r="G4287" s="28"/>
      <c r="H4287" s="28"/>
      <c r="I4287" s="28"/>
      <c r="J4287" s="28"/>
      <c r="K4287" s="28"/>
      <c r="L4287" s="28"/>
      <c r="M4287" s="28"/>
      <c r="N4287" s="28"/>
      <c r="O4287" s="28"/>
      <c r="P4287" s="28"/>
      <c r="Q4287" s="28"/>
      <c r="R4287" s="28"/>
      <c r="S4287" s="28"/>
    </row>
    <row r="4288" spans="1:19" x14ac:dyDescent="0.25">
      <c r="A4288" s="28"/>
      <c r="B4288" s="28"/>
      <c r="C4288" s="28"/>
      <c r="D4288" s="28"/>
      <c r="E4288" s="28"/>
      <c r="F4288" s="28"/>
      <c r="G4288" s="28"/>
      <c r="H4288" s="28"/>
      <c r="I4288" s="28"/>
      <c r="J4288" s="28"/>
      <c r="K4288" s="28"/>
      <c r="L4288" s="28"/>
      <c r="M4288" s="28"/>
      <c r="N4288" s="28"/>
      <c r="O4288" s="28"/>
      <c r="P4288" s="28"/>
      <c r="Q4288" s="28"/>
      <c r="R4288" s="28"/>
      <c r="S4288" s="28"/>
    </row>
    <row r="4289" spans="1:19" x14ac:dyDescent="0.25">
      <c r="A4289" s="28"/>
      <c r="B4289" s="28"/>
      <c r="C4289" s="28"/>
      <c r="D4289" s="28"/>
      <c r="E4289" s="28"/>
      <c r="F4289" s="28"/>
      <c r="G4289" s="28"/>
      <c r="H4289" s="28"/>
      <c r="I4289" s="28"/>
      <c r="J4289" s="28"/>
      <c r="K4289" s="28"/>
      <c r="L4289" s="28"/>
      <c r="M4289" s="28"/>
      <c r="N4289" s="28"/>
      <c r="O4289" s="28"/>
      <c r="P4289" s="28"/>
      <c r="Q4289" s="28"/>
      <c r="R4289" s="28"/>
      <c r="S4289" s="28"/>
    </row>
    <row r="4290" spans="1:19" x14ac:dyDescent="0.25">
      <c r="A4290" s="28"/>
      <c r="B4290" s="28"/>
      <c r="C4290" s="28"/>
      <c r="D4290" s="28"/>
      <c r="E4290" s="28"/>
      <c r="F4290" s="28"/>
      <c r="G4290" s="28"/>
      <c r="H4290" s="28"/>
      <c r="I4290" s="28"/>
      <c r="J4290" s="28"/>
      <c r="K4290" s="28"/>
      <c r="L4290" s="28"/>
      <c r="M4290" s="28"/>
      <c r="N4290" s="28"/>
      <c r="O4290" s="28"/>
      <c r="P4290" s="28"/>
      <c r="Q4290" s="28"/>
      <c r="R4290" s="28"/>
      <c r="S4290" s="28"/>
    </row>
    <row r="4291" spans="1:19" x14ac:dyDescent="0.25">
      <c r="A4291" s="28"/>
      <c r="B4291" s="28"/>
      <c r="C4291" s="28"/>
      <c r="D4291" s="28"/>
      <c r="E4291" s="28"/>
      <c r="F4291" s="28"/>
      <c r="G4291" s="28"/>
      <c r="H4291" s="28"/>
      <c r="I4291" s="28"/>
      <c r="J4291" s="28"/>
      <c r="K4291" s="28"/>
      <c r="L4291" s="28"/>
      <c r="M4291" s="28"/>
      <c r="N4291" s="28"/>
      <c r="O4291" s="28"/>
      <c r="P4291" s="28"/>
      <c r="Q4291" s="28"/>
      <c r="R4291" s="28"/>
      <c r="S4291" s="28"/>
    </row>
    <row r="4292" spans="1:19" x14ac:dyDescent="0.25">
      <c r="A4292" s="28"/>
      <c r="B4292" s="28"/>
      <c r="C4292" s="28"/>
      <c r="D4292" s="28"/>
      <c r="E4292" s="28"/>
      <c r="F4292" s="28"/>
      <c r="G4292" s="28"/>
      <c r="H4292" s="28"/>
      <c r="I4292" s="28"/>
      <c r="J4292" s="28"/>
      <c r="K4292" s="28"/>
      <c r="L4292" s="28"/>
      <c r="M4292" s="28"/>
      <c r="N4292" s="28"/>
      <c r="O4292" s="28"/>
      <c r="P4292" s="28"/>
      <c r="Q4292" s="28"/>
      <c r="R4292" s="28"/>
      <c r="S4292" s="28"/>
    </row>
    <row r="4293" spans="1:19" x14ac:dyDescent="0.25">
      <c r="A4293" s="28"/>
      <c r="B4293" s="28"/>
      <c r="C4293" s="28"/>
      <c r="D4293" s="28"/>
      <c r="E4293" s="28"/>
      <c r="F4293" s="28"/>
      <c r="G4293" s="28"/>
      <c r="H4293" s="28"/>
      <c r="I4293" s="28"/>
      <c r="J4293" s="28"/>
      <c r="K4293" s="28"/>
      <c r="L4293" s="28"/>
      <c r="M4293" s="28"/>
      <c r="N4293" s="28"/>
      <c r="O4293" s="28"/>
      <c r="P4293" s="28"/>
      <c r="Q4293" s="28"/>
      <c r="R4293" s="28"/>
      <c r="S4293" s="28"/>
    </row>
    <row r="4294" spans="1:19" x14ac:dyDescent="0.25">
      <c r="A4294" s="28"/>
      <c r="B4294" s="28"/>
      <c r="C4294" s="28"/>
      <c r="D4294" s="28"/>
      <c r="E4294" s="28"/>
      <c r="F4294" s="28"/>
      <c r="G4294" s="28"/>
      <c r="H4294" s="28"/>
      <c r="I4294" s="28"/>
      <c r="J4294" s="28"/>
      <c r="K4294" s="28"/>
      <c r="L4294" s="28"/>
      <c r="M4294" s="28"/>
      <c r="N4294" s="28"/>
      <c r="O4294" s="28"/>
      <c r="P4294" s="28"/>
      <c r="Q4294" s="28"/>
      <c r="R4294" s="28"/>
      <c r="S4294" s="28"/>
    </row>
    <row r="4295" spans="1:19" x14ac:dyDescent="0.25">
      <c r="A4295" s="28"/>
      <c r="B4295" s="28"/>
      <c r="C4295" s="28"/>
      <c r="D4295" s="28"/>
      <c r="E4295" s="28"/>
      <c r="F4295" s="28"/>
      <c r="G4295" s="28"/>
      <c r="H4295" s="28"/>
      <c r="I4295" s="28"/>
      <c r="J4295" s="28"/>
      <c r="K4295" s="28"/>
      <c r="L4295" s="28"/>
      <c r="M4295" s="28"/>
      <c r="N4295" s="28"/>
      <c r="O4295" s="28"/>
      <c r="P4295" s="28"/>
      <c r="Q4295" s="28"/>
      <c r="R4295" s="28"/>
      <c r="S4295" s="28"/>
    </row>
    <row r="4296" spans="1:19" x14ac:dyDescent="0.25">
      <c r="A4296" s="28"/>
      <c r="B4296" s="28"/>
      <c r="C4296" s="28"/>
      <c r="D4296" s="28"/>
      <c r="E4296" s="28"/>
      <c r="F4296" s="28"/>
      <c r="G4296" s="28"/>
      <c r="H4296" s="28"/>
      <c r="I4296" s="28"/>
      <c r="J4296" s="28"/>
      <c r="K4296" s="28"/>
      <c r="L4296" s="28"/>
      <c r="M4296" s="28"/>
      <c r="N4296" s="28"/>
      <c r="O4296" s="28"/>
      <c r="P4296" s="28"/>
      <c r="Q4296" s="28"/>
      <c r="R4296" s="28"/>
      <c r="S4296" s="28"/>
    </row>
    <row r="4297" spans="1:19" x14ac:dyDescent="0.25">
      <c r="A4297" s="28"/>
      <c r="B4297" s="28"/>
      <c r="C4297" s="28"/>
      <c r="D4297" s="28"/>
      <c r="E4297" s="28"/>
      <c r="F4297" s="28"/>
      <c r="G4297" s="28"/>
      <c r="H4297" s="28"/>
      <c r="I4297" s="28"/>
      <c r="J4297" s="28"/>
      <c r="K4297" s="28"/>
      <c r="L4297" s="28"/>
      <c r="M4297" s="28"/>
      <c r="N4297" s="28"/>
      <c r="O4297" s="28"/>
      <c r="P4297" s="28"/>
      <c r="Q4297" s="28"/>
      <c r="R4297" s="28"/>
      <c r="S4297" s="28"/>
    </row>
    <row r="4298" spans="1:19" x14ac:dyDescent="0.25">
      <c r="A4298" s="28"/>
      <c r="B4298" s="28"/>
      <c r="C4298" s="28"/>
      <c r="D4298" s="28"/>
      <c r="E4298" s="28"/>
      <c r="F4298" s="28"/>
      <c r="G4298" s="28"/>
      <c r="H4298" s="28"/>
      <c r="I4298" s="28"/>
      <c r="J4298" s="28"/>
      <c r="K4298" s="28"/>
      <c r="L4298" s="28"/>
      <c r="M4298" s="28"/>
      <c r="N4298" s="28"/>
      <c r="O4298" s="28"/>
      <c r="P4298" s="28"/>
      <c r="Q4298" s="28"/>
      <c r="R4298" s="28"/>
      <c r="S4298" s="28"/>
    </row>
    <row r="4299" spans="1:19" x14ac:dyDescent="0.25">
      <c r="A4299" s="28"/>
      <c r="B4299" s="28"/>
      <c r="C4299" s="28"/>
      <c r="D4299" s="28"/>
      <c r="E4299" s="28"/>
      <c r="F4299" s="28"/>
      <c r="G4299" s="28"/>
      <c r="H4299" s="28"/>
      <c r="I4299" s="28"/>
      <c r="J4299" s="28"/>
      <c r="K4299" s="28"/>
      <c r="L4299" s="28"/>
      <c r="M4299" s="28"/>
      <c r="N4299" s="28"/>
      <c r="O4299" s="28"/>
      <c r="P4299" s="28"/>
      <c r="Q4299" s="28"/>
      <c r="R4299" s="28"/>
      <c r="S4299" s="28"/>
    </row>
    <row r="4300" spans="1:19" x14ac:dyDescent="0.25">
      <c r="A4300" s="28"/>
      <c r="B4300" s="28"/>
      <c r="C4300" s="28"/>
      <c r="D4300" s="28"/>
      <c r="E4300" s="28"/>
      <c r="F4300" s="28"/>
      <c r="G4300" s="28"/>
      <c r="H4300" s="28"/>
      <c r="I4300" s="28"/>
      <c r="J4300" s="28"/>
      <c r="K4300" s="28"/>
      <c r="L4300" s="28"/>
      <c r="M4300" s="28"/>
      <c r="N4300" s="28"/>
      <c r="O4300" s="28"/>
      <c r="P4300" s="28"/>
      <c r="Q4300" s="28"/>
      <c r="R4300" s="28"/>
      <c r="S4300" s="28"/>
    </row>
    <row r="4301" spans="1:19" x14ac:dyDescent="0.25">
      <c r="A4301" s="28"/>
      <c r="B4301" s="28"/>
      <c r="C4301" s="28"/>
      <c r="D4301" s="28"/>
      <c r="E4301" s="28"/>
      <c r="F4301" s="28"/>
      <c r="G4301" s="28"/>
      <c r="H4301" s="28"/>
      <c r="I4301" s="28"/>
      <c r="J4301" s="28"/>
      <c r="K4301" s="28"/>
      <c r="L4301" s="28"/>
      <c r="M4301" s="28"/>
      <c r="N4301" s="28"/>
      <c r="O4301" s="28"/>
      <c r="P4301" s="28"/>
      <c r="Q4301" s="28"/>
      <c r="R4301" s="28"/>
      <c r="S4301" s="28"/>
    </row>
    <row r="4302" spans="1:19" x14ac:dyDescent="0.25">
      <c r="A4302" s="28"/>
      <c r="B4302" s="28"/>
      <c r="C4302" s="28"/>
      <c r="D4302" s="28"/>
      <c r="E4302" s="28"/>
      <c r="F4302" s="28"/>
      <c r="G4302" s="28"/>
      <c r="H4302" s="28"/>
      <c r="I4302" s="28"/>
      <c r="J4302" s="28"/>
      <c r="K4302" s="28"/>
      <c r="L4302" s="28"/>
      <c r="M4302" s="28"/>
      <c r="N4302" s="28"/>
      <c r="O4302" s="28"/>
      <c r="P4302" s="28"/>
      <c r="Q4302" s="28"/>
      <c r="R4302" s="28"/>
      <c r="S4302" s="28"/>
    </row>
    <row r="4303" spans="1:19" x14ac:dyDescent="0.25">
      <c r="A4303" s="28"/>
      <c r="B4303" s="28"/>
      <c r="C4303" s="28"/>
      <c r="D4303" s="28"/>
      <c r="E4303" s="28"/>
      <c r="F4303" s="28"/>
      <c r="G4303" s="28"/>
      <c r="H4303" s="28"/>
      <c r="I4303" s="28"/>
      <c r="J4303" s="28"/>
      <c r="K4303" s="28"/>
      <c r="L4303" s="28"/>
      <c r="M4303" s="28"/>
      <c r="N4303" s="28"/>
      <c r="O4303" s="28"/>
      <c r="P4303" s="28"/>
      <c r="Q4303" s="28"/>
      <c r="R4303" s="28"/>
      <c r="S4303" s="28"/>
    </row>
    <row r="4304" spans="1:19" x14ac:dyDescent="0.25">
      <c r="A4304" s="28"/>
      <c r="B4304" s="28"/>
      <c r="C4304" s="28"/>
      <c r="D4304" s="28"/>
      <c r="E4304" s="28"/>
      <c r="F4304" s="28"/>
      <c r="G4304" s="28"/>
      <c r="H4304" s="28"/>
      <c r="I4304" s="28"/>
      <c r="J4304" s="28"/>
      <c r="K4304" s="28"/>
      <c r="L4304" s="28"/>
      <c r="M4304" s="28"/>
      <c r="N4304" s="28"/>
      <c r="O4304" s="28"/>
      <c r="P4304" s="28"/>
      <c r="Q4304" s="28"/>
      <c r="R4304" s="28"/>
      <c r="S4304" s="28"/>
    </row>
    <row r="4305" spans="1:19" x14ac:dyDescent="0.25">
      <c r="A4305" s="28"/>
      <c r="B4305" s="28"/>
      <c r="C4305" s="28"/>
      <c r="D4305" s="28"/>
      <c r="E4305" s="28"/>
      <c r="F4305" s="28"/>
      <c r="G4305" s="28"/>
      <c r="H4305" s="28"/>
      <c r="I4305" s="28"/>
      <c r="J4305" s="28"/>
      <c r="K4305" s="28"/>
      <c r="L4305" s="28"/>
      <c r="M4305" s="28"/>
      <c r="N4305" s="28"/>
      <c r="O4305" s="28"/>
      <c r="P4305" s="28"/>
      <c r="Q4305" s="28"/>
      <c r="R4305" s="28"/>
      <c r="S4305" s="28"/>
    </row>
    <row r="4306" spans="1:19" x14ac:dyDescent="0.25">
      <c r="A4306" s="28"/>
      <c r="B4306" s="28"/>
      <c r="C4306" s="28"/>
      <c r="D4306" s="28"/>
      <c r="E4306" s="28"/>
      <c r="F4306" s="28"/>
      <c r="G4306" s="28"/>
      <c r="H4306" s="28"/>
      <c r="I4306" s="28"/>
      <c r="J4306" s="28"/>
      <c r="K4306" s="28"/>
      <c r="L4306" s="28"/>
      <c r="M4306" s="28"/>
      <c r="N4306" s="28"/>
      <c r="O4306" s="28"/>
      <c r="P4306" s="28"/>
      <c r="Q4306" s="28"/>
      <c r="R4306" s="28"/>
      <c r="S4306" s="28"/>
    </row>
    <row r="4307" spans="1:19" x14ac:dyDescent="0.25">
      <c r="A4307" s="28"/>
      <c r="B4307" s="28"/>
      <c r="C4307" s="28"/>
      <c r="D4307" s="28"/>
      <c r="E4307" s="28"/>
      <c r="F4307" s="28"/>
      <c r="G4307" s="28"/>
      <c r="H4307" s="28"/>
      <c r="I4307" s="28"/>
      <c r="J4307" s="28"/>
      <c r="K4307" s="28"/>
      <c r="L4307" s="28"/>
      <c r="M4307" s="28"/>
      <c r="N4307" s="28"/>
      <c r="O4307" s="28"/>
      <c r="P4307" s="28"/>
      <c r="Q4307" s="28"/>
      <c r="R4307" s="28"/>
      <c r="S4307" s="28"/>
    </row>
    <row r="4308" spans="1:19" x14ac:dyDescent="0.25">
      <c r="A4308" s="28"/>
      <c r="B4308" s="28"/>
      <c r="C4308" s="28"/>
      <c r="D4308" s="28"/>
      <c r="E4308" s="28"/>
      <c r="F4308" s="28"/>
      <c r="G4308" s="28"/>
      <c r="H4308" s="28"/>
      <c r="I4308" s="28"/>
      <c r="J4308" s="28"/>
      <c r="K4308" s="28"/>
      <c r="L4308" s="28"/>
      <c r="M4308" s="28"/>
      <c r="N4308" s="28"/>
      <c r="O4308" s="28"/>
      <c r="P4308" s="28"/>
      <c r="Q4308" s="28"/>
      <c r="R4308" s="28"/>
      <c r="S4308" s="28"/>
    </row>
    <row r="4309" spans="1:19" x14ac:dyDescent="0.25">
      <c r="A4309" s="28"/>
      <c r="B4309" s="28"/>
      <c r="C4309" s="28"/>
      <c r="D4309" s="28"/>
      <c r="E4309" s="28"/>
      <c r="F4309" s="28"/>
      <c r="G4309" s="28"/>
      <c r="H4309" s="28"/>
      <c r="I4309" s="28"/>
      <c r="J4309" s="28"/>
      <c r="K4309" s="28"/>
      <c r="L4309" s="28"/>
      <c r="M4309" s="28"/>
      <c r="N4309" s="28"/>
      <c r="O4309" s="28"/>
      <c r="P4309" s="28"/>
      <c r="Q4309" s="28"/>
      <c r="R4309" s="28"/>
      <c r="S4309" s="28"/>
    </row>
    <row r="4310" spans="1:19" x14ac:dyDescent="0.25">
      <c r="A4310" s="28"/>
      <c r="B4310" s="28"/>
      <c r="C4310" s="28"/>
      <c r="D4310" s="28"/>
      <c r="E4310" s="28"/>
      <c r="F4310" s="28"/>
      <c r="G4310" s="28"/>
      <c r="H4310" s="28"/>
      <c r="I4310" s="28"/>
      <c r="J4310" s="28"/>
      <c r="K4310" s="28"/>
      <c r="L4310" s="28"/>
      <c r="M4310" s="28"/>
      <c r="N4310" s="28"/>
      <c r="O4310" s="28"/>
      <c r="P4310" s="28"/>
      <c r="Q4310" s="28"/>
      <c r="R4310" s="28"/>
      <c r="S4310" s="28"/>
    </row>
    <row r="4311" spans="1:19" x14ac:dyDescent="0.25">
      <c r="A4311" s="28"/>
      <c r="B4311" s="28"/>
      <c r="C4311" s="28"/>
      <c r="D4311" s="28"/>
      <c r="E4311" s="28"/>
      <c r="F4311" s="28"/>
      <c r="G4311" s="28"/>
      <c r="H4311" s="28"/>
      <c r="I4311" s="28"/>
      <c r="J4311" s="28"/>
      <c r="K4311" s="28"/>
      <c r="L4311" s="28"/>
      <c r="M4311" s="28"/>
      <c r="N4311" s="28"/>
      <c r="O4311" s="28"/>
      <c r="P4311" s="28"/>
      <c r="Q4311" s="28"/>
      <c r="R4311" s="28"/>
      <c r="S4311" s="28"/>
    </row>
    <row r="4312" spans="1:19" x14ac:dyDescent="0.25">
      <c r="A4312" s="28"/>
      <c r="B4312" s="28"/>
      <c r="C4312" s="28"/>
      <c r="D4312" s="28"/>
      <c r="E4312" s="28"/>
      <c r="F4312" s="28"/>
      <c r="G4312" s="28"/>
      <c r="H4312" s="28"/>
      <c r="I4312" s="28"/>
      <c r="J4312" s="28"/>
      <c r="K4312" s="28"/>
      <c r="L4312" s="28"/>
      <c r="M4312" s="28"/>
      <c r="N4312" s="28"/>
      <c r="O4312" s="28"/>
      <c r="P4312" s="28"/>
      <c r="Q4312" s="28"/>
      <c r="R4312" s="28"/>
      <c r="S4312" s="28"/>
    </row>
    <row r="4313" spans="1:19" x14ac:dyDescent="0.25">
      <c r="A4313" s="28"/>
      <c r="B4313" s="28"/>
      <c r="C4313" s="28"/>
      <c r="D4313" s="28"/>
      <c r="E4313" s="28"/>
      <c r="F4313" s="28"/>
      <c r="G4313" s="28"/>
      <c r="H4313" s="28"/>
      <c r="I4313" s="28"/>
      <c r="J4313" s="28"/>
      <c r="K4313" s="28"/>
      <c r="L4313" s="28"/>
      <c r="M4313" s="28"/>
      <c r="N4313" s="28"/>
      <c r="O4313" s="28"/>
      <c r="P4313" s="28"/>
      <c r="Q4313" s="28"/>
      <c r="R4313" s="28"/>
      <c r="S4313" s="28"/>
    </row>
    <row r="4314" spans="1:19" x14ac:dyDescent="0.25">
      <c r="A4314" s="28"/>
      <c r="B4314" s="28"/>
      <c r="C4314" s="28"/>
      <c r="D4314" s="28"/>
      <c r="E4314" s="28"/>
      <c r="F4314" s="28"/>
      <c r="G4314" s="28"/>
      <c r="H4314" s="28"/>
      <c r="I4314" s="28"/>
      <c r="J4314" s="28"/>
      <c r="K4314" s="28"/>
      <c r="L4314" s="28"/>
      <c r="M4314" s="28"/>
      <c r="N4314" s="28"/>
      <c r="O4314" s="28"/>
      <c r="P4314" s="28"/>
      <c r="Q4314" s="28"/>
      <c r="R4314" s="28"/>
      <c r="S4314" s="28"/>
    </row>
    <row r="4315" spans="1:19" x14ac:dyDescent="0.25">
      <c r="A4315" s="28"/>
      <c r="B4315" s="28"/>
      <c r="C4315" s="28"/>
      <c r="D4315" s="28"/>
      <c r="E4315" s="28"/>
      <c r="F4315" s="28"/>
      <c r="G4315" s="28"/>
      <c r="H4315" s="28"/>
      <c r="I4315" s="28"/>
      <c r="J4315" s="28"/>
      <c r="K4315" s="28"/>
      <c r="L4315" s="28"/>
      <c r="M4315" s="28"/>
      <c r="N4315" s="28"/>
      <c r="O4315" s="28"/>
      <c r="P4315" s="28"/>
      <c r="Q4315" s="28"/>
      <c r="R4315" s="28"/>
      <c r="S4315" s="28"/>
    </row>
    <row r="4316" spans="1:19" x14ac:dyDescent="0.25">
      <c r="A4316" s="28"/>
      <c r="B4316" s="28"/>
      <c r="C4316" s="28"/>
      <c r="D4316" s="28"/>
      <c r="E4316" s="28"/>
      <c r="F4316" s="28"/>
      <c r="G4316" s="28"/>
      <c r="H4316" s="28"/>
      <c r="I4316" s="28"/>
      <c r="J4316" s="28"/>
      <c r="K4316" s="28"/>
      <c r="L4316" s="28"/>
      <c r="M4316" s="28"/>
      <c r="N4316" s="28"/>
      <c r="O4316" s="28"/>
      <c r="P4316" s="28"/>
      <c r="Q4316" s="28"/>
      <c r="R4316" s="28"/>
      <c r="S4316" s="28"/>
    </row>
    <row r="4317" spans="1:19" x14ac:dyDescent="0.25">
      <c r="A4317" s="28"/>
      <c r="B4317" s="28"/>
      <c r="C4317" s="28"/>
      <c r="D4317" s="28"/>
      <c r="E4317" s="28"/>
      <c r="F4317" s="28"/>
      <c r="G4317" s="28"/>
      <c r="H4317" s="28"/>
      <c r="I4317" s="28"/>
      <c r="J4317" s="28"/>
      <c r="K4317" s="28"/>
      <c r="L4317" s="28"/>
      <c r="M4317" s="28"/>
      <c r="N4317" s="28"/>
      <c r="O4317" s="28"/>
      <c r="P4317" s="28"/>
      <c r="Q4317" s="28"/>
      <c r="R4317" s="28"/>
      <c r="S4317" s="28"/>
    </row>
    <row r="4318" spans="1:19" x14ac:dyDescent="0.25">
      <c r="A4318" s="28"/>
      <c r="B4318" s="28"/>
      <c r="C4318" s="28"/>
      <c r="D4318" s="28"/>
      <c r="E4318" s="28"/>
      <c r="F4318" s="28"/>
      <c r="G4318" s="28"/>
      <c r="H4318" s="28"/>
      <c r="I4318" s="28"/>
      <c r="J4318" s="28"/>
      <c r="K4318" s="28"/>
      <c r="L4318" s="28"/>
      <c r="M4318" s="28"/>
      <c r="N4318" s="28"/>
      <c r="O4318" s="28"/>
      <c r="P4318" s="28"/>
      <c r="Q4318" s="28"/>
      <c r="R4318" s="28"/>
      <c r="S4318" s="28"/>
    </row>
    <row r="4319" spans="1:19" x14ac:dyDescent="0.25">
      <c r="A4319" s="28"/>
      <c r="B4319" s="28"/>
      <c r="C4319" s="28"/>
      <c r="D4319" s="28"/>
      <c r="E4319" s="28"/>
      <c r="F4319" s="28"/>
      <c r="G4319" s="28"/>
      <c r="H4319" s="28"/>
      <c r="I4319" s="28"/>
      <c r="J4319" s="28"/>
      <c r="K4319" s="28"/>
      <c r="L4319" s="28"/>
      <c r="M4319" s="28"/>
      <c r="N4319" s="28"/>
      <c r="O4319" s="28"/>
      <c r="P4319" s="28"/>
      <c r="Q4319" s="28"/>
      <c r="R4319" s="28"/>
      <c r="S4319" s="28"/>
    </row>
    <row r="4320" spans="1:19" x14ac:dyDescent="0.25">
      <c r="A4320" s="28"/>
      <c r="B4320" s="28"/>
      <c r="C4320" s="28"/>
      <c r="D4320" s="28"/>
      <c r="E4320" s="28"/>
      <c r="F4320" s="28"/>
      <c r="G4320" s="28"/>
      <c r="H4320" s="28"/>
      <c r="I4320" s="28"/>
      <c r="J4320" s="28"/>
      <c r="K4320" s="28"/>
      <c r="L4320" s="28"/>
      <c r="M4320" s="28"/>
      <c r="N4320" s="28"/>
      <c r="O4320" s="28"/>
      <c r="P4320" s="28"/>
      <c r="Q4320" s="28"/>
      <c r="R4320" s="28"/>
      <c r="S4320" s="28"/>
    </row>
    <row r="4321" spans="1:19" x14ac:dyDescent="0.25">
      <c r="A4321" s="28"/>
      <c r="B4321" s="28"/>
      <c r="C4321" s="28"/>
      <c r="D4321" s="28"/>
      <c r="E4321" s="28"/>
      <c r="F4321" s="28"/>
      <c r="G4321" s="28"/>
      <c r="H4321" s="28"/>
      <c r="I4321" s="28"/>
      <c r="J4321" s="28"/>
      <c r="K4321" s="28"/>
      <c r="L4321" s="28"/>
      <c r="M4321" s="28"/>
      <c r="N4321" s="28"/>
      <c r="O4321" s="28"/>
      <c r="P4321" s="28"/>
      <c r="Q4321" s="28"/>
      <c r="R4321" s="28"/>
      <c r="S4321" s="28"/>
    </row>
    <row r="4322" spans="1:19" x14ac:dyDescent="0.25">
      <c r="A4322" s="28"/>
      <c r="B4322" s="28"/>
      <c r="C4322" s="28"/>
      <c r="D4322" s="28"/>
      <c r="E4322" s="28"/>
      <c r="F4322" s="28"/>
      <c r="G4322" s="28"/>
      <c r="H4322" s="28"/>
      <c r="I4322" s="28"/>
      <c r="J4322" s="28"/>
      <c r="K4322" s="28"/>
      <c r="L4322" s="28"/>
      <c r="M4322" s="28"/>
      <c r="N4322" s="28"/>
      <c r="O4322" s="28"/>
      <c r="P4322" s="28"/>
      <c r="Q4322" s="28"/>
      <c r="R4322" s="28"/>
      <c r="S4322" s="28"/>
    </row>
    <row r="4323" spans="1:19" x14ac:dyDescent="0.25">
      <c r="A4323" s="28"/>
      <c r="B4323" s="28"/>
      <c r="C4323" s="28"/>
      <c r="D4323" s="28"/>
      <c r="E4323" s="28"/>
      <c r="F4323" s="28"/>
      <c r="G4323" s="28"/>
      <c r="H4323" s="28"/>
      <c r="I4323" s="28"/>
      <c r="J4323" s="28"/>
      <c r="K4323" s="28"/>
      <c r="L4323" s="28"/>
      <c r="M4323" s="28"/>
      <c r="N4323" s="28"/>
      <c r="O4323" s="28"/>
      <c r="P4323" s="28"/>
      <c r="Q4323" s="28"/>
      <c r="R4323" s="28"/>
      <c r="S4323" s="28"/>
    </row>
    <row r="4324" spans="1:19" x14ac:dyDescent="0.25">
      <c r="A4324" s="28"/>
      <c r="B4324" s="28"/>
      <c r="C4324" s="28"/>
      <c r="D4324" s="28"/>
      <c r="E4324" s="28"/>
      <c r="F4324" s="28"/>
      <c r="G4324" s="28"/>
      <c r="H4324" s="28"/>
      <c r="I4324" s="28"/>
      <c r="J4324" s="28"/>
      <c r="K4324" s="28"/>
      <c r="L4324" s="28"/>
      <c r="M4324" s="28"/>
      <c r="N4324" s="28"/>
      <c r="O4324" s="28"/>
      <c r="P4324" s="28"/>
      <c r="Q4324" s="28"/>
      <c r="R4324" s="28"/>
      <c r="S4324" s="28"/>
    </row>
    <row r="4325" spans="1:19" x14ac:dyDescent="0.25">
      <c r="A4325" s="28"/>
      <c r="B4325" s="28"/>
      <c r="C4325" s="28"/>
      <c r="D4325" s="28"/>
      <c r="E4325" s="28"/>
      <c r="F4325" s="28"/>
      <c r="G4325" s="28"/>
      <c r="H4325" s="28"/>
      <c r="I4325" s="28"/>
      <c r="J4325" s="28"/>
      <c r="K4325" s="28"/>
      <c r="L4325" s="28"/>
      <c r="M4325" s="28"/>
      <c r="N4325" s="28"/>
      <c r="O4325" s="28"/>
      <c r="P4325" s="28"/>
      <c r="Q4325" s="28"/>
      <c r="R4325" s="28"/>
      <c r="S4325" s="28"/>
    </row>
    <row r="4326" spans="1:19" x14ac:dyDescent="0.25">
      <c r="A4326" s="28"/>
      <c r="B4326" s="28"/>
      <c r="C4326" s="28"/>
      <c r="D4326" s="28"/>
      <c r="E4326" s="28"/>
      <c r="F4326" s="28"/>
      <c r="G4326" s="28"/>
      <c r="H4326" s="28"/>
      <c r="I4326" s="28"/>
      <c r="J4326" s="28"/>
      <c r="K4326" s="28"/>
      <c r="L4326" s="28"/>
      <c r="M4326" s="28"/>
      <c r="N4326" s="28"/>
      <c r="O4326" s="28"/>
      <c r="P4326" s="28"/>
      <c r="Q4326" s="28"/>
      <c r="R4326" s="28"/>
      <c r="S4326" s="28"/>
    </row>
    <row r="4327" spans="1:19" x14ac:dyDescent="0.25">
      <c r="A4327" s="28"/>
      <c r="B4327" s="28"/>
      <c r="C4327" s="28"/>
      <c r="D4327" s="28"/>
      <c r="E4327" s="28"/>
      <c r="F4327" s="28"/>
      <c r="G4327" s="28"/>
      <c r="H4327" s="28"/>
      <c r="I4327" s="28"/>
      <c r="J4327" s="28"/>
      <c r="K4327" s="28"/>
      <c r="L4327" s="28"/>
      <c r="M4327" s="28"/>
      <c r="N4327" s="28"/>
      <c r="O4327" s="28"/>
      <c r="P4327" s="28"/>
      <c r="Q4327" s="28"/>
      <c r="R4327" s="28"/>
      <c r="S4327" s="28"/>
    </row>
    <row r="4328" spans="1:19" x14ac:dyDescent="0.25">
      <c r="A4328" s="28"/>
      <c r="B4328" s="28"/>
      <c r="C4328" s="28"/>
      <c r="D4328" s="28"/>
      <c r="E4328" s="28"/>
      <c r="F4328" s="28"/>
      <c r="G4328" s="28"/>
      <c r="H4328" s="28"/>
      <c r="I4328" s="28"/>
      <c r="J4328" s="28"/>
      <c r="K4328" s="28"/>
      <c r="L4328" s="28"/>
      <c r="M4328" s="28"/>
      <c r="N4328" s="28"/>
      <c r="O4328" s="28"/>
      <c r="P4328" s="28"/>
      <c r="Q4328" s="28"/>
      <c r="R4328" s="28"/>
      <c r="S4328" s="28"/>
    </row>
    <row r="4329" spans="1:19" x14ac:dyDescent="0.25">
      <c r="A4329" s="28"/>
      <c r="B4329" s="28"/>
      <c r="C4329" s="28"/>
      <c r="D4329" s="28"/>
      <c r="E4329" s="28"/>
      <c r="F4329" s="28"/>
      <c r="G4329" s="28"/>
      <c r="H4329" s="28"/>
      <c r="I4329" s="28"/>
      <c r="J4329" s="28"/>
      <c r="K4329" s="28"/>
      <c r="L4329" s="28"/>
      <c r="M4329" s="28"/>
      <c r="N4329" s="28"/>
      <c r="O4329" s="28"/>
      <c r="P4329" s="28"/>
      <c r="Q4329" s="28"/>
      <c r="R4329" s="28"/>
      <c r="S4329" s="28"/>
    </row>
    <row r="4330" spans="1:19" x14ac:dyDescent="0.25">
      <c r="A4330" s="28"/>
      <c r="B4330" s="28"/>
      <c r="C4330" s="28"/>
      <c r="D4330" s="28"/>
      <c r="E4330" s="28"/>
      <c r="F4330" s="28"/>
      <c r="G4330" s="28"/>
      <c r="H4330" s="28"/>
      <c r="I4330" s="28"/>
      <c r="J4330" s="28"/>
      <c r="K4330" s="28"/>
      <c r="L4330" s="28"/>
      <c r="M4330" s="28"/>
      <c r="N4330" s="28"/>
      <c r="O4330" s="28"/>
      <c r="P4330" s="28"/>
      <c r="Q4330" s="28"/>
      <c r="R4330" s="28"/>
      <c r="S4330" s="28"/>
    </row>
    <row r="4331" spans="1:19" x14ac:dyDescent="0.25">
      <c r="A4331" s="28"/>
      <c r="B4331" s="28"/>
      <c r="C4331" s="28"/>
      <c r="D4331" s="28"/>
      <c r="E4331" s="28"/>
      <c r="F4331" s="28"/>
      <c r="G4331" s="28"/>
      <c r="H4331" s="28"/>
      <c r="I4331" s="28"/>
      <c r="J4331" s="28"/>
      <c r="K4331" s="28"/>
      <c r="L4331" s="28"/>
      <c r="M4331" s="28"/>
      <c r="N4331" s="28"/>
      <c r="O4331" s="28"/>
      <c r="P4331" s="28"/>
      <c r="Q4331" s="28"/>
      <c r="R4331" s="28"/>
      <c r="S4331" s="28"/>
    </row>
    <row r="4332" spans="1:19" x14ac:dyDescent="0.25">
      <c r="A4332" s="28"/>
      <c r="B4332" s="28"/>
      <c r="C4332" s="28"/>
      <c r="D4332" s="28"/>
      <c r="E4332" s="28"/>
      <c r="F4332" s="28"/>
      <c r="G4332" s="28"/>
      <c r="H4332" s="28"/>
      <c r="I4332" s="28"/>
      <c r="J4332" s="28"/>
      <c r="K4332" s="28"/>
      <c r="L4332" s="28"/>
      <c r="M4332" s="28"/>
      <c r="N4332" s="28"/>
      <c r="O4332" s="28"/>
      <c r="P4332" s="28"/>
      <c r="Q4332" s="28"/>
      <c r="R4332" s="28"/>
      <c r="S4332" s="28"/>
    </row>
    <row r="4333" spans="1:19" x14ac:dyDescent="0.25">
      <c r="A4333" s="28"/>
      <c r="B4333" s="28"/>
      <c r="C4333" s="28"/>
      <c r="D4333" s="28"/>
      <c r="E4333" s="28"/>
      <c r="F4333" s="28"/>
      <c r="G4333" s="28"/>
      <c r="H4333" s="28"/>
      <c r="I4333" s="28"/>
      <c r="J4333" s="28"/>
      <c r="K4333" s="28"/>
      <c r="L4333" s="28"/>
      <c r="M4333" s="28"/>
      <c r="N4333" s="28"/>
      <c r="O4333" s="28"/>
      <c r="P4333" s="28"/>
      <c r="Q4333" s="28"/>
      <c r="R4333" s="28"/>
      <c r="S4333" s="28"/>
    </row>
    <row r="4334" spans="1:19" x14ac:dyDescent="0.25">
      <c r="A4334" s="28"/>
      <c r="B4334" s="28"/>
      <c r="C4334" s="28"/>
      <c r="D4334" s="28"/>
      <c r="E4334" s="28"/>
      <c r="F4334" s="28"/>
      <c r="G4334" s="28"/>
      <c r="H4334" s="28"/>
      <c r="I4334" s="28"/>
      <c r="J4334" s="28"/>
      <c r="K4334" s="28"/>
      <c r="L4334" s="28"/>
      <c r="M4334" s="28"/>
      <c r="N4334" s="28"/>
      <c r="O4334" s="28"/>
      <c r="P4334" s="28"/>
      <c r="Q4334" s="28"/>
      <c r="R4334" s="28"/>
      <c r="S4334" s="28"/>
    </row>
    <row r="4335" spans="1:19" x14ac:dyDescent="0.25">
      <c r="A4335" s="28"/>
      <c r="B4335" s="28"/>
      <c r="C4335" s="28"/>
      <c r="D4335" s="28"/>
      <c r="E4335" s="28"/>
      <c r="F4335" s="28"/>
      <c r="G4335" s="28"/>
      <c r="H4335" s="28"/>
      <c r="I4335" s="28"/>
      <c r="J4335" s="28"/>
      <c r="K4335" s="28"/>
      <c r="L4335" s="28"/>
      <c r="M4335" s="28"/>
      <c r="N4335" s="28"/>
      <c r="O4335" s="28"/>
      <c r="P4335" s="28"/>
      <c r="Q4335" s="28"/>
      <c r="R4335" s="28"/>
      <c r="S4335" s="28"/>
    </row>
    <row r="4336" spans="1:19" x14ac:dyDescent="0.25">
      <c r="A4336" s="28"/>
      <c r="B4336" s="28"/>
      <c r="C4336" s="28"/>
      <c r="D4336" s="28"/>
      <c r="E4336" s="28"/>
      <c r="F4336" s="28"/>
      <c r="G4336" s="28"/>
      <c r="H4336" s="28"/>
      <c r="I4336" s="28"/>
      <c r="J4336" s="28"/>
      <c r="K4336" s="28"/>
      <c r="L4336" s="28"/>
      <c r="M4336" s="28"/>
      <c r="N4336" s="28"/>
      <c r="O4336" s="28"/>
      <c r="P4336" s="28"/>
      <c r="Q4336" s="28"/>
      <c r="R4336" s="28"/>
      <c r="S4336" s="28"/>
    </row>
    <row r="4337" spans="1:19" x14ac:dyDescent="0.25">
      <c r="A4337" s="28"/>
      <c r="B4337" s="28"/>
      <c r="C4337" s="28"/>
      <c r="D4337" s="28"/>
      <c r="E4337" s="28"/>
      <c r="F4337" s="28"/>
      <c r="G4337" s="28"/>
      <c r="H4337" s="28"/>
      <c r="I4337" s="28"/>
      <c r="J4337" s="28"/>
      <c r="K4337" s="28"/>
      <c r="L4337" s="28"/>
      <c r="M4337" s="28"/>
      <c r="N4337" s="28"/>
      <c r="O4337" s="28"/>
      <c r="P4337" s="28"/>
      <c r="Q4337" s="28"/>
      <c r="R4337" s="28"/>
      <c r="S4337" s="28"/>
    </row>
    <row r="4338" spans="1:19" x14ac:dyDescent="0.25">
      <c r="A4338" s="28"/>
      <c r="B4338" s="28"/>
      <c r="C4338" s="28"/>
      <c r="D4338" s="28"/>
      <c r="E4338" s="28"/>
      <c r="F4338" s="28"/>
      <c r="G4338" s="28"/>
      <c r="H4338" s="28"/>
      <c r="I4338" s="28"/>
      <c r="J4338" s="28"/>
      <c r="K4338" s="28"/>
      <c r="L4338" s="28"/>
      <c r="M4338" s="28"/>
      <c r="N4338" s="28"/>
      <c r="O4338" s="28"/>
      <c r="P4338" s="28"/>
      <c r="Q4338" s="28"/>
      <c r="R4338" s="28"/>
      <c r="S4338" s="28"/>
    </row>
    <row r="4339" spans="1:19" x14ac:dyDescent="0.25">
      <c r="A4339" s="28"/>
      <c r="B4339" s="28"/>
      <c r="C4339" s="28"/>
      <c r="D4339" s="28"/>
      <c r="E4339" s="28"/>
      <c r="F4339" s="28"/>
      <c r="G4339" s="28"/>
      <c r="H4339" s="28"/>
      <c r="I4339" s="28"/>
      <c r="J4339" s="28"/>
      <c r="K4339" s="28"/>
      <c r="L4339" s="28"/>
      <c r="M4339" s="28"/>
      <c r="N4339" s="28"/>
      <c r="O4339" s="28"/>
      <c r="P4339" s="28"/>
      <c r="Q4339" s="28"/>
      <c r="R4339" s="28"/>
      <c r="S4339" s="28"/>
    </row>
    <row r="4340" spans="1:19" x14ac:dyDescent="0.25">
      <c r="A4340" s="28"/>
      <c r="B4340" s="28"/>
      <c r="C4340" s="28"/>
      <c r="D4340" s="28"/>
      <c r="E4340" s="28"/>
      <c r="F4340" s="28"/>
      <c r="G4340" s="28"/>
      <c r="H4340" s="28"/>
      <c r="I4340" s="28"/>
      <c r="J4340" s="28"/>
      <c r="K4340" s="28"/>
      <c r="L4340" s="28"/>
      <c r="M4340" s="28"/>
      <c r="N4340" s="28"/>
      <c r="O4340" s="28"/>
      <c r="P4340" s="28"/>
      <c r="Q4340" s="28"/>
      <c r="R4340" s="28"/>
      <c r="S4340" s="28"/>
    </row>
    <row r="4341" spans="1:19" x14ac:dyDescent="0.25">
      <c r="A4341" s="28"/>
      <c r="B4341" s="28"/>
      <c r="C4341" s="28"/>
      <c r="D4341" s="28"/>
      <c r="E4341" s="28"/>
      <c r="F4341" s="28"/>
      <c r="G4341" s="28"/>
      <c r="H4341" s="28"/>
      <c r="I4341" s="28"/>
      <c r="J4341" s="28"/>
      <c r="K4341" s="28"/>
      <c r="L4341" s="28"/>
      <c r="M4341" s="28"/>
      <c r="N4341" s="28"/>
      <c r="O4341" s="28"/>
      <c r="P4341" s="28"/>
      <c r="Q4341" s="28"/>
      <c r="R4341" s="28"/>
      <c r="S4341" s="28"/>
    </row>
    <row r="4342" spans="1:19" x14ac:dyDescent="0.25">
      <c r="A4342" s="28"/>
      <c r="B4342" s="28"/>
      <c r="C4342" s="28"/>
      <c r="D4342" s="28"/>
      <c r="E4342" s="28"/>
      <c r="F4342" s="28"/>
      <c r="G4342" s="28"/>
      <c r="H4342" s="28"/>
      <c r="I4342" s="28"/>
      <c r="J4342" s="28"/>
      <c r="K4342" s="28"/>
      <c r="L4342" s="28"/>
      <c r="M4342" s="28"/>
      <c r="N4342" s="28"/>
      <c r="O4342" s="28"/>
      <c r="P4342" s="28"/>
      <c r="Q4342" s="28"/>
      <c r="R4342" s="28"/>
      <c r="S4342" s="28"/>
    </row>
    <row r="4343" spans="1:19" x14ac:dyDescent="0.25">
      <c r="A4343" s="28"/>
      <c r="B4343" s="28"/>
      <c r="C4343" s="28"/>
      <c r="D4343" s="28"/>
      <c r="E4343" s="28"/>
      <c r="F4343" s="28"/>
      <c r="G4343" s="28"/>
      <c r="H4343" s="28"/>
      <c r="I4343" s="28"/>
      <c r="J4343" s="28"/>
      <c r="K4343" s="28"/>
      <c r="L4343" s="28"/>
      <c r="M4343" s="28"/>
      <c r="N4343" s="28"/>
      <c r="O4343" s="28"/>
      <c r="P4343" s="28"/>
      <c r="Q4343" s="28"/>
      <c r="R4343" s="28"/>
      <c r="S4343" s="28"/>
    </row>
    <row r="4344" spans="1:19" x14ac:dyDescent="0.25">
      <c r="A4344" s="28"/>
      <c r="B4344" s="28"/>
      <c r="C4344" s="28"/>
      <c r="D4344" s="28"/>
      <c r="E4344" s="28"/>
      <c r="F4344" s="28"/>
      <c r="G4344" s="28"/>
      <c r="H4344" s="28"/>
      <c r="I4344" s="28"/>
      <c r="J4344" s="28"/>
      <c r="K4344" s="28"/>
      <c r="L4344" s="28"/>
      <c r="M4344" s="28"/>
      <c r="N4344" s="28"/>
      <c r="O4344" s="28"/>
      <c r="P4344" s="28"/>
      <c r="Q4344" s="28"/>
      <c r="R4344" s="28"/>
      <c r="S4344" s="28"/>
    </row>
    <row r="4345" spans="1:19" x14ac:dyDescent="0.25">
      <c r="A4345" s="28"/>
      <c r="B4345" s="28"/>
      <c r="C4345" s="28"/>
      <c r="D4345" s="28"/>
      <c r="E4345" s="28"/>
      <c r="F4345" s="28"/>
      <c r="G4345" s="28"/>
      <c r="H4345" s="28"/>
      <c r="I4345" s="28"/>
      <c r="J4345" s="28"/>
      <c r="K4345" s="28"/>
      <c r="L4345" s="28"/>
      <c r="M4345" s="28"/>
      <c r="N4345" s="28"/>
      <c r="O4345" s="28"/>
      <c r="P4345" s="28"/>
      <c r="Q4345" s="28"/>
      <c r="R4345" s="28"/>
      <c r="S4345" s="28"/>
    </row>
    <row r="4346" spans="1:19" x14ac:dyDescent="0.25">
      <c r="A4346" s="28"/>
      <c r="B4346" s="28"/>
      <c r="C4346" s="28"/>
      <c r="D4346" s="28"/>
      <c r="E4346" s="28"/>
      <c r="F4346" s="28"/>
      <c r="G4346" s="28"/>
      <c r="H4346" s="28"/>
      <c r="I4346" s="28"/>
      <c r="J4346" s="28"/>
      <c r="K4346" s="28"/>
      <c r="L4346" s="28"/>
      <c r="M4346" s="28"/>
      <c r="N4346" s="28"/>
      <c r="O4346" s="28"/>
      <c r="P4346" s="28"/>
      <c r="Q4346" s="28"/>
      <c r="R4346" s="28"/>
      <c r="S4346" s="28"/>
    </row>
    <row r="4347" spans="1:19" x14ac:dyDescent="0.25">
      <c r="A4347" s="28"/>
      <c r="B4347" s="28"/>
      <c r="C4347" s="28"/>
      <c r="D4347" s="28"/>
      <c r="E4347" s="28"/>
      <c r="F4347" s="28"/>
      <c r="G4347" s="28"/>
      <c r="H4347" s="28"/>
      <c r="I4347" s="28"/>
      <c r="J4347" s="28"/>
      <c r="K4347" s="28"/>
      <c r="L4347" s="28"/>
      <c r="M4347" s="28"/>
      <c r="N4347" s="28"/>
      <c r="O4347" s="28"/>
      <c r="P4347" s="28"/>
      <c r="Q4347" s="28"/>
      <c r="R4347" s="28"/>
      <c r="S4347" s="28"/>
    </row>
    <row r="4348" spans="1:19" x14ac:dyDescent="0.25">
      <c r="A4348" s="28"/>
      <c r="B4348" s="28"/>
      <c r="C4348" s="28"/>
      <c r="D4348" s="28"/>
      <c r="E4348" s="28"/>
      <c r="F4348" s="28"/>
      <c r="G4348" s="28"/>
      <c r="H4348" s="28"/>
      <c r="I4348" s="28"/>
      <c r="J4348" s="28"/>
      <c r="K4348" s="28"/>
      <c r="L4348" s="28"/>
      <c r="M4348" s="28"/>
      <c r="N4348" s="28"/>
      <c r="O4348" s="28"/>
      <c r="P4348" s="28"/>
      <c r="Q4348" s="28"/>
      <c r="R4348" s="28"/>
      <c r="S4348" s="28"/>
    </row>
    <row r="4349" spans="1:19" x14ac:dyDescent="0.25">
      <c r="A4349" s="28"/>
      <c r="B4349" s="28"/>
      <c r="C4349" s="28"/>
      <c r="D4349" s="28"/>
      <c r="E4349" s="28"/>
      <c r="F4349" s="28"/>
      <c r="G4349" s="28"/>
      <c r="H4349" s="28"/>
      <c r="I4349" s="28"/>
      <c r="J4349" s="28"/>
      <c r="K4349" s="28"/>
      <c r="L4349" s="28"/>
      <c r="M4349" s="28"/>
      <c r="N4349" s="28"/>
      <c r="O4349" s="28"/>
      <c r="P4349" s="28"/>
      <c r="Q4349" s="28"/>
      <c r="R4349" s="28"/>
      <c r="S4349" s="28"/>
    </row>
    <row r="4350" spans="1:19" x14ac:dyDescent="0.25">
      <c r="A4350" s="28"/>
      <c r="B4350" s="28"/>
      <c r="C4350" s="28"/>
      <c r="D4350" s="28"/>
      <c r="E4350" s="28"/>
      <c r="F4350" s="28"/>
      <c r="G4350" s="28"/>
      <c r="H4350" s="28"/>
      <c r="I4350" s="28"/>
      <c r="J4350" s="28"/>
      <c r="K4350" s="28"/>
      <c r="L4350" s="28"/>
      <c r="M4350" s="28"/>
      <c r="N4350" s="28"/>
      <c r="O4350" s="28"/>
      <c r="P4350" s="28"/>
      <c r="Q4350" s="28"/>
      <c r="R4350" s="28"/>
      <c r="S4350" s="28"/>
    </row>
    <row r="4351" spans="1:19" x14ac:dyDescent="0.25">
      <c r="A4351" s="28"/>
      <c r="B4351" s="28"/>
      <c r="C4351" s="28"/>
      <c r="D4351" s="28"/>
      <c r="E4351" s="28"/>
      <c r="F4351" s="28"/>
      <c r="G4351" s="28"/>
      <c r="H4351" s="28"/>
      <c r="I4351" s="28"/>
      <c r="J4351" s="28"/>
      <c r="K4351" s="28"/>
      <c r="L4351" s="28"/>
      <c r="M4351" s="28"/>
      <c r="N4351" s="28"/>
      <c r="O4351" s="28"/>
      <c r="P4351" s="28"/>
      <c r="Q4351" s="28"/>
      <c r="R4351" s="28"/>
      <c r="S4351" s="28"/>
    </row>
    <row r="4352" spans="1:19" x14ac:dyDescent="0.25">
      <c r="A4352" s="28"/>
      <c r="B4352" s="28"/>
      <c r="C4352" s="28"/>
      <c r="D4352" s="28"/>
      <c r="E4352" s="28"/>
      <c r="F4352" s="28"/>
      <c r="G4352" s="28"/>
      <c r="H4352" s="28"/>
      <c r="I4352" s="28"/>
      <c r="J4352" s="28"/>
      <c r="K4352" s="28"/>
      <c r="L4352" s="28"/>
      <c r="M4352" s="28"/>
      <c r="N4352" s="28"/>
      <c r="O4352" s="28"/>
      <c r="P4352" s="28"/>
      <c r="Q4352" s="28"/>
      <c r="R4352" s="28"/>
      <c r="S4352" s="28"/>
    </row>
    <row r="4353" spans="1:19" x14ac:dyDescent="0.25">
      <c r="A4353" s="28"/>
      <c r="B4353" s="28"/>
      <c r="C4353" s="28"/>
      <c r="D4353" s="28"/>
      <c r="E4353" s="28"/>
      <c r="F4353" s="28"/>
      <c r="G4353" s="28"/>
      <c r="H4353" s="28"/>
      <c r="I4353" s="28"/>
      <c r="J4353" s="28"/>
      <c r="K4353" s="28"/>
      <c r="L4353" s="28"/>
      <c r="M4353" s="28"/>
      <c r="N4353" s="28"/>
      <c r="O4353" s="28"/>
      <c r="P4353" s="28"/>
      <c r="Q4353" s="28"/>
      <c r="R4353" s="28"/>
      <c r="S4353" s="28"/>
    </row>
    <row r="4354" spans="1:19" x14ac:dyDescent="0.25">
      <c r="A4354" s="28"/>
      <c r="B4354" s="28"/>
      <c r="C4354" s="28"/>
      <c r="D4354" s="28"/>
      <c r="E4354" s="28"/>
      <c r="F4354" s="28"/>
      <c r="G4354" s="28"/>
      <c r="H4354" s="28"/>
      <c r="I4354" s="28"/>
      <c r="J4354" s="28"/>
      <c r="K4354" s="28"/>
      <c r="L4354" s="28"/>
      <c r="M4354" s="28"/>
      <c r="N4354" s="28"/>
      <c r="O4354" s="28"/>
      <c r="P4354" s="28"/>
      <c r="Q4354" s="28"/>
      <c r="R4354" s="28"/>
      <c r="S4354" s="28"/>
    </row>
    <row r="4355" spans="1:19" x14ac:dyDescent="0.25">
      <c r="A4355" s="28"/>
      <c r="B4355" s="28"/>
      <c r="C4355" s="28"/>
      <c r="D4355" s="28"/>
      <c r="E4355" s="28"/>
      <c r="F4355" s="28"/>
      <c r="G4355" s="28"/>
      <c r="H4355" s="28"/>
      <c r="I4355" s="28"/>
      <c r="J4355" s="28"/>
      <c r="K4355" s="28"/>
      <c r="L4355" s="28"/>
      <c r="M4355" s="28"/>
      <c r="N4355" s="28"/>
      <c r="O4355" s="28"/>
      <c r="P4355" s="28"/>
      <c r="Q4355" s="28"/>
      <c r="R4355" s="28"/>
      <c r="S4355" s="28"/>
    </row>
    <row r="4356" spans="1:19" x14ac:dyDescent="0.25">
      <c r="A4356" s="28"/>
      <c r="B4356" s="28"/>
      <c r="C4356" s="28"/>
      <c r="D4356" s="28"/>
      <c r="E4356" s="28"/>
      <c r="F4356" s="28"/>
      <c r="G4356" s="28"/>
      <c r="H4356" s="28"/>
      <c r="I4356" s="28"/>
      <c r="J4356" s="28"/>
      <c r="K4356" s="28"/>
      <c r="L4356" s="28"/>
      <c r="M4356" s="28"/>
      <c r="N4356" s="28"/>
      <c r="O4356" s="28"/>
      <c r="P4356" s="28"/>
      <c r="Q4356" s="28"/>
      <c r="R4356" s="28"/>
      <c r="S4356" s="28"/>
    </row>
    <row r="4357" spans="1:19" x14ac:dyDescent="0.25">
      <c r="A4357" s="28"/>
      <c r="B4357" s="28"/>
      <c r="C4357" s="28"/>
      <c r="D4357" s="28"/>
      <c r="E4357" s="28"/>
      <c r="F4357" s="28"/>
      <c r="G4357" s="28"/>
      <c r="H4357" s="28"/>
      <c r="I4357" s="28"/>
      <c r="J4357" s="28"/>
      <c r="K4357" s="28"/>
      <c r="L4357" s="28"/>
      <c r="M4357" s="28"/>
      <c r="N4357" s="28"/>
      <c r="O4357" s="28"/>
      <c r="P4357" s="28"/>
      <c r="Q4357" s="28"/>
      <c r="R4357" s="28"/>
      <c r="S4357" s="28"/>
    </row>
    <row r="4358" spans="1:19" x14ac:dyDescent="0.25">
      <c r="A4358" s="28"/>
      <c r="B4358" s="28"/>
      <c r="C4358" s="28"/>
      <c r="D4358" s="28"/>
      <c r="E4358" s="28"/>
      <c r="F4358" s="28"/>
      <c r="G4358" s="28"/>
      <c r="H4358" s="28"/>
      <c r="I4358" s="28"/>
      <c r="J4358" s="28"/>
      <c r="K4358" s="28"/>
      <c r="L4358" s="28"/>
      <c r="M4358" s="28"/>
      <c r="N4358" s="28"/>
      <c r="O4358" s="28"/>
      <c r="P4358" s="28"/>
      <c r="Q4358" s="28"/>
      <c r="R4358" s="28"/>
      <c r="S4358" s="28"/>
    </row>
    <row r="4359" spans="1:19" x14ac:dyDescent="0.25">
      <c r="A4359" s="28"/>
      <c r="B4359" s="28"/>
      <c r="C4359" s="28"/>
      <c r="D4359" s="28"/>
      <c r="E4359" s="28"/>
      <c r="F4359" s="28"/>
      <c r="G4359" s="28"/>
      <c r="H4359" s="28"/>
      <c r="I4359" s="28"/>
      <c r="J4359" s="28"/>
      <c r="K4359" s="28"/>
      <c r="L4359" s="28"/>
      <c r="M4359" s="28"/>
      <c r="N4359" s="28"/>
      <c r="O4359" s="28"/>
      <c r="P4359" s="28"/>
      <c r="Q4359" s="28"/>
      <c r="R4359" s="28"/>
      <c r="S4359" s="28"/>
    </row>
    <row r="4360" spans="1:19" x14ac:dyDescent="0.25">
      <c r="A4360" s="28"/>
      <c r="B4360" s="28"/>
      <c r="C4360" s="28"/>
      <c r="D4360" s="28"/>
      <c r="E4360" s="28"/>
      <c r="F4360" s="28"/>
      <c r="G4360" s="28"/>
      <c r="H4360" s="28"/>
      <c r="I4360" s="28"/>
      <c r="J4360" s="28"/>
      <c r="K4360" s="28"/>
      <c r="L4360" s="28"/>
      <c r="M4360" s="28"/>
      <c r="N4360" s="28"/>
      <c r="O4360" s="28"/>
      <c r="P4360" s="28"/>
      <c r="Q4360" s="28"/>
      <c r="R4360" s="28"/>
      <c r="S4360" s="28"/>
    </row>
    <row r="4361" spans="1:19" x14ac:dyDescent="0.25">
      <c r="A4361" s="28"/>
      <c r="B4361" s="28"/>
      <c r="C4361" s="28"/>
      <c r="D4361" s="28"/>
      <c r="E4361" s="28"/>
      <c r="F4361" s="28"/>
      <c r="G4361" s="28"/>
      <c r="H4361" s="28"/>
      <c r="I4361" s="28"/>
      <c r="J4361" s="28"/>
      <c r="K4361" s="28"/>
      <c r="L4361" s="28"/>
      <c r="M4361" s="28"/>
      <c r="N4361" s="28"/>
      <c r="O4361" s="28"/>
      <c r="P4361" s="28"/>
      <c r="Q4361" s="28"/>
      <c r="R4361" s="28"/>
      <c r="S4361" s="28"/>
    </row>
    <row r="4362" spans="1:19" x14ac:dyDescent="0.25">
      <c r="A4362" s="28"/>
      <c r="B4362" s="28"/>
      <c r="C4362" s="28"/>
      <c r="D4362" s="28"/>
      <c r="E4362" s="28"/>
      <c r="F4362" s="28"/>
      <c r="G4362" s="28"/>
      <c r="H4362" s="28"/>
      <c r="I4362" s="28"/>
      <c r="J4362" s="28"/>
      <c r="K4362" s="28"/>
      <c r="L4362" s="28"/>
      <c r="M4362" s="28"/>
      <c r="N4362" s="28"/>
      <c r="O4362" s="28"/>
      <c r="P4362" s="28"/>
      <c r="Q4362" s="28"/>
      <c r="R4362" s="28"/>
      <c r="S4362" s="28"/>
    </row>
    <row r="4363" spans="1:19" x14ac:dyDescent="0.25">
      <c r="A4363" s="28"/>
      <c r="B4363" s="28"/>
      <c r="C4363" s="28"/>
      <c r="D4363" s="28"/>
      <c r="E4363" s="28"/>
      <c r="F4363" s="28"/>
      <c r="G4363" s="28"/>
      <c r="H4363" s="28"/>
      <c r="I4363" s="28"/>
      <c r="J4363" s="28"/>
      <c r="K4363" s="28"/>
      <c r="L4363" s="28"/>
      <c r="M4363" s="28"/>
      <c r="N4363" s="28"/>
      <c r="O4363" s="28"/>
      <c r="P4363" s="28"/>
      <c r="Q4363" s="28"/>
      <c r="R4363" s="28"/>
      <c r="S4363" s="28"/>
    </row>
    <row r="4364" spans="1:19" x14ac:dyDescent="0.25">
      <c r="A4364" s="28"/>
      <c r="B4364" s="28"/>
      <c r="C4364" s="28"/>
      <c r="D4364" s="28"/>
      <c r="E4364" s="28"/>
      <c r="F4364" s="28"/>
      <c r="G4364" s="28"/>
      <c r="H4364" s="28"/>
      <c r="I4364" s="28"/>
      <c r="J4364" s="28"/>
      <c r="K4364" s="28"/>
      <c r="L4364" s="28"/>
      <c r="M4364" s="28"/>
      <c r="N4364" s="28"/>
      <c r="O4364" s="28"/>
      <c r="P4364" s="28"/>
      <c r="Q4364" s="28"/>
      <c r="R4364" s="28"/>
      <c r="S4364" s="28"/>
    </row>
    <row r="4365" spans="1:19" x14ac:dyDescent="0.25">
      <c r="A4365" s="28"/>
      <c r="B4365" s="28"/>
      <c r="C4365" s="28"/>
      <c r="D4365" s="28"/>
      <c r="E4365" s="28"/>
      <c r="F4365" s="28"/>
      <c r="G4365" s="28"/>
      <c r="H4365" s="28"/>
      <c r="I4365" s="28"/>
      <c r="J4365" s="28"/>
      <c r="K4365" s="28"/>
      <c r="L4365" s="28"/>
      <c r="M4365" s="28"/>
      <c r="N4365" s="28"/>
      <c r="O4365" s="28"/>
      <c r="P4365" s="28"/>
      <c r="Q4365" s="28"/>
      <c r="R4365" s="28"/>
      <c r="S4365" s="28"/>
    </row>
    <row r="4366" spans="1:19" x14ac:dyDescent="0.25">
      <c r="A4366" s="28"/>
      <c r="B4366" s="28"/>
      <c r="C4366" s="28"/>
      <c r="D4366" s="28"/>
      <c r="E4366" s="28"/>
      <c r="F4366" s="28"/>
      <c r="G4366" s="28"/>
      <c r="H4366" s="28"/>
      <c r="I4366" s="28"/>
      <c r="J4366" s="28"/>
      <c r="K4366" s="28"/>
      <c r="L4366" s="28"/>
      <c r="M4366" s="28"/>
      <c r="N4366" s="28"/>
      <c r="O4366" s="28"/>
      <c r="P4366" s="28"/>
      <c r="Q4366" s="28"/>
      <c r="R4366" s="28"/>
      <c r="S4366" s="28"/>
    </row>
    <row r="4367" spans="1:19" x14ac:dyDescent="0.25">
      <c r="A4367" s="28"/>
      <c r="B4367" s="28"/>
      <c r="C4367" s="28"/>
      <c r="D4367" s="28"/>
      <c r="E4367" s="28"/>
      <c r="F4367" s="28"/>
      <c r="G4367" s="28"/>
      <c r="H4367" s="28"/>
      <c r="I4367" s="28"/>
      <c r="J4367" s="28"/>
      <c r="K4367" s="28"/>
      <c r="L4367" s="28"/>
      <c r="M4367" s="28"/>
      <c r="N4367" s="28"/>
      <c r="O4367" s="28"/>
      <c r="P4367" s="28"/>
      <c r="Q4367" s="28"/>
      <c r="R4367" s="28"/>
      <c r="S4367" s="28"/>
    </row>
    <row r="4368" spans="1:19" x14ac:dyDescent="0.25">
      <c r="A4368" s="28"/>
      <c r="B4368" s="28"/>
      <c r="C4368" s="28"/>
      <c r="D4368" s="28"/>
      <c r="E4368" s="28"/>
      <c r="F4368" s="28"/>
      <c r="G4368" s="28"/>
      <c r="H4368" s="28"/>
      <c r="I4368" s="28"/>
      <c r="J4368" s="28"/>
      <c r="K4368" s="28"/>
      <c r="L4368" s="28"/>
      <c r="M4368" s="28"/>
      <c r="N4368" s="28"/>
      <c r="O4368" s="28"/>
      <c r="P4368" s="28"/>
      <c r="Q4368" s="28"/>
      <c r="R4368" s="28"/>
      <c r="S4368" s="28"/>
    </row>
    <row r="4369" spans="1:19" x14ac:dyDescent="0.25">
      <c r="A4369" s="28"/>
      <c r="B4369" s="28"/>
      <c r="C4369" s="28"/>
      <c r="D4369" s="28"/>
      <c r="E4369" s="28"/>
      <c r="F4369" s="28"/>
      <c r="G4369" s="28"/>
      <c r="H4369" s="28"/>
      <c r="I4369" s="28"/>
      <c r="J4369" s="28"/>
      <c r="K4369" s="28"/>
      <c r="L4369" s="28"/>
      <c r="M4369" s="28"/>
      <c r="N4369" s="28"/>
      <c r="O4369" s="28"/>
      <c r="P4369" s="28"/>
      <c r="Q4369" s="28"/>
      <c r="R4369" s="28"/>
      <c r="S4369" s="28"/>
    </row>
    <row r="4370" spans="1:19" x14ac:dyDescent="0.25">
      <c r="A4370" s="28"/>
      <c r="B4370" s="28"/>
      <c r="C4370" s="28"/>
      <c r="D4370" s="28"/>
      <c r="E4370" s="28"/>
      <c r="F4370" s="28"/>
      <c r="G4370" s="28"/>
      <c r="H4370" s="28"/>
      <c r="I4370" s="28"/>
      <c r="J4370" s="28"/>
      <c r="K4370" s="28"/>
      <c r="L4370" s="28"/>
      <c r="M4370" s="28"/>
      <c r="N4370" s="28"/>
      <c r="O4370" s="28"/>
      <c r="P4370" s="28"/>
      <c r="Q4370" s="28"/>
      <c r="R4370" s="28"/>
      <c r="S4370" s="28"/>
    </row>
    <row r="4371" spans="1:19" x14ac:dyDescent="0.25">
      <c r="A4371" s="28"/>
      <c r="B4371" s="28"/>
      <c r="C4371" s="28"/>
      <c r="D4371" s="28"/>
      <c r="E4371" s="28"/>
      <c r="F4371" s="28"/>
      <c r="G4371" s="28"/>
      <c r="H4371" s="28"/>
      <c r="I4371" s="28"/>
      <c r="J4371" s="28"/>
      <c r="K4371" s="28"/>
      <c r="L4371" s="28"/>
      <c r="M4371" s="28"/>
      <c r="N4371" s="28"/>
      <c r="O4371" s="28"/>
      <c r="P4371" s="28"/>
      <c r="Q4371" s="28"/>
      <c r="R4371" s="28"/>
      <c r="S4371" s="28"/>
    </row>
    <row r="4372" spans="1:19" x14ac:dyDescent="0.25">
      <c r="A4372" s="28"/>
      <c r="B4372" s="28"/>
      <c r="C4372" s="28"/>
      <c r="D4372" s="28"/>
      <c r="E4372" s="28"/>
      <c r="F4372" s="28"/>
      <c r="G4372" s="28"/>
      <c r="H4372" s="28"/>
      <c r="I4372" s="28"/>
      <c r="J4372" s="28"/>
      <c r="K4372" s="28"/>
      <c r="L4372" s="28"/>
      <c r="M4372" s="28"/>
      <c r="N4372" s="28"/>
      <c r="O4372" s="28"/>
      <c r="P4372" s="28"/>
      <c r="Q4372" s="28"/>
      <c r="R4372" s="28"/>
      <c r="S4372" s="28"/>
    </row>
    <row r="4373" spans="1:19" x14ac:dyDescent="0.25">
      <c r="A4373" s="28"/>
      <c r="B4373" s="28"/>
      <c r="C4373" s="28"/>
      <c r="D4373" s="28"/>
      <c r="E4373" s="28"/>
      <c r="F4373" s="28"/>
      <c r="G4373" s="28"/>
      <c r="H4373" s="28"/>
      <c r="I4373" s="28"/>
      <c r="J4373" s="28"/>
      <c r="K4373" s="28"/>
      <c r="L4373" s="28"/>
      <c r="M4373" s="28"/>
      <c r="N4373" s="28"/>
      <c r="O4373" s="28"/>
      <c r="P4373" s="28"/>
      <c r="Q4373" s="28"/>
      <c r="R4373" s="28"/>
      <c r="S4373" s="28"/>
    </row>
    <row r="4374" spans="1:19" x14ac:dyDescent="0.25">
      <c r="A4374" s="28"/>
      <c r="B4374" s="28"/>
      <c r="C4374" s="28"/>
      <c r="D4374" s="28"/>
      <c r="E4374" s="28"/>
      <c r="F4374" s="28"/>
      <c r="G4374" s="28"/>
      <c r="H4374" s="28"/>
      <c r="I4374" s="28"/>
      <c r="J4374" s="28"/>
      <c r="K4374" s="28"/>
      <c r="L4374" s="28"/>
      <c r="M4374" s="28"/>
      <c r="N4374" s="28"/>
      <c r="O4374" s="28"/>
      <c r="P4374" s="28"/>
      <c r="Q4374" s="28"/>
      <c r="R4374" s="28"/>
      <c r="S4374" s="28"/>
    </row>
    <row r="4375" spans="1:19" x14ac:dyDescent="0.25">
      <c r="A4375" s="28"/>
      <c r="B4375" s="28"/>
      <c r="C4375" s="28"/>
      <c r="D4375" s="28"/>
      <c r="E4375" s="28"/>
      <c r="F4375" s="28"/>
      <c r="G4375" s="28"/>
      <c r="H4375" s="28"/>
      <c r="I4375" s="28"/>
      <c r="J4375" s="28"/>
      <c r="K4375" s="28"/>
      <c r="L4375" s="28"/>
      <c r="M4375" s="28"/>
      <c r="N4375" s="28"/>
      <c r="O4375" s="28"/>
      <c r="P4375" s="28"/>
      <c r="Q4375" s="28"/>
      <c r="R4375" s="28"/>
      <c r="S4375" s="28"/>
    </row>
    <row r="4376" spans="1:19" x14ac:dyDescent="0.25">
      <c r="A4376" s="28"/>
      <c r="B4376" s="28"/>
      <c r="C4376" s="28"/>
      <c r="D4376" s="28"/>
      <c r="E4376" s="28"/>
      <c r="F4376" s="28"/>
      <c r="G4376" s="28"/>
      <c r="H4376" s="28"/>
      <c r="I4376" s="28"/>
      <c r="J4376" s="28"/>
      <c r="K4376" s="28"/>
      <c r="L4376" s="28"/>
      <c r="M4376" s="28"/>
      <c r="N4376" s="28"/>
      <c r="O4376" s="28"/>
      <c r="P4376" s="28"/>
      <c r="Q4376" s="28"/>
      <c r="R4376" s="28"/>
      <c r="S4376" s="28"/>
    </row>
    <row r="4377" spans="1:19" x14ac:dyDescent="0.25">
      <c r="A4377" s="28"/>
      <c r="B4377" s="28"/>
      <c r="C4377" s="28"/>
      <c r="D4377" s="28"/>
      <c r="E4377" s="28"/>
      <c r="F4377" s="28"/>
      <c r="G4377" s="28"/>
      <c r="H4377" s="28"/>
      <c r="I4377" s="28"/>
      <c r="J4377" s="28"/>
      <c r="K4377" s="28"/>
      <c r="L4377" s="28"/>
      <c r="M4377" s="28"/>
      <c r="N4377" s="28"/>
      <c r="O4377" s="28"/>
      <c r="P4377" s="28"/>
      <c r="Q4377" s="28"/>
      <c r="R4377" s="28"/>
      <c r="S4377" s="28"/>
    </row>
    <row r="4378" spans="1:19" x14ac:dyDescent="0.25">
      <c r="A4378" s="28"/>
      <c r="B4378" s="28"/>
      <c r="C4378" s="28"/>
      <c r="D4378" s="28"/>
      <c r="E4378" s="28"/>
      <c r="F4378" s="28"/>
      <c r="G4378" s="28"/>
      <c r="H4378" s="28"/>
      <c r="I4378" s="28"/>
      <c r="J4378" s="28"/>
      <c r="K4378" s="28"/>
      <c r="L4378" s="28"/>
      <c r="M4378" s="28"/>
      <c r="N4378" s="28"/>
      <c r="O4378" s="28"/>
      <c r="P4378" s="28"/>
      <c r="Q4378" s="28"/>
      <c r="R4378" s="28"/>
      <c r="S4378" s="28"/>
    </row>
    <row r="4379" spans="1:19" x14ac:dyDescent="0.25">
      <c r="A4379" s="28"/>
      <c r="B4379" s="28"/>
      <c r="C4379" s="28"/>
      <c r="D4379" s="28"/>
      <c r="E4379" s="28"/>
      <c r="F4379" s="28"/>
      <c r="G4379" s="28"/>
      <c r="H4379" s="28"/>
      <c r="I4379" s="28"/>
      <c r="J4379" s="28"/>
      <c r="K4379" s="28"/>
      <c r="L4379" s="28"/>
      <c r="M4379" s="28"/>
      <c r="N4379" s="28"/>
      <c r="O4379" s="28"/>
      <c r="P4379" s="28"/>
      <c r="Q4379" s="28"/>
      <c r="R4379" s="28"/>
      <c r="S4379" s="28"/>
    </row>
    <row r="4380" spans="1:19" x14ac:dyDescent="0.25">
      <c r="A4380" s="28"/>
      <c r="B4380" s="28"/>
      <c r="C4380" s="28"/>
      <c r="D4380" s="28"/>
      <c r="E4380" s="28"/>
      <c r="F4380" s="28"/>
      <c r="G4380" s="28"/>
      <c r="H4380" s="28"/>
      <c r="I4380" s="28"/>
      <c r="J4380" s="28"/>
      <c r="K4380" s="28"/>
      <c r="L4380" s="28"/>
      <c r="M4380" s="28"/>
      <c r="N4380" s="28"/>
      <c r="O4380" s="28"/>
      <c r="P4380" s="28"/>
      <c r="Q4380" s="28"/>
      <c r="R4380" s="28"/>
      <c r="S4380" s="28"/>
    </row>
    <row r="4381" spans="1:19" x14ac:dyDescent="0.25">
      <c r="A4381" s="28"/>
      <c r="B4381" s="28"/>
      <c r="C4381" s="28"/>
      <c r="D4381" s="28"/>
      <c r="E4381" s="28"/>
      <c r="F4381" s="28"/>
      <c r="G4381" s="28"/>
      <c r="H4381" s="28"/>
      <c r="I4381" s="28"/>
      <c r="J4381" s="28"/>
      <c r="K4381" s="28"/>
      <c r="L4381" s="28"/>
      <c r="M4381" s="28"/>
      <c r="N4381" s="28"/>
      <c r="O4381" s="28"/>
      <c r="P4381" s="28"/>
      <c r="Q4381" s="28"/>
      <c r="R4381" s="28"/>
      <c r="S4381" s="28"/>
    </row>
    <row r="4382" spans="1:19" x14ac:dyDescent="0.25">
      <c r="A4382" s="28"/>
      <c r="B4382" s="28"/>
      <c r="C4382" s="28"/>
      <c r="D4382" s="28"/>
      <c r="E4382" s="28"/>
      <c r="F4382" s="28"/>
      <c r="G4382" s="28"/>
      <c r="H4382" s="28"/>
      <c r="I4382" s="28"/>
      <c r="J4382" s="28"/>
      <c r="K4382" s="28"/>
      <c r="L4382" s="28"/>
      <c r="M4382" s="28"/>
      <c r="N4382" s="28"/>
      <c r="O4382" s="28"/>
      <c r="P4382" s="28"/>
      <c r="Q4382" s="28"/>
      <c r="R4382" s="28"/>
      <c r="S4382" s="28"/>
    </row>
    <row r="4383" spans="1:19" x14ac:dyDescent="0.25">
      <c r="A4383" s="28"/>
      <c r="B4383" s="28"/>
      <c r="C4383" s="28"/>
      <c r="D4383" s="28"/>
      <c r="E4383" s="28"/>
      <c r="F4383" s="28"/>
      <c r="G4383" s="28"/>
      <c r="H4383" s="28"/>
      <c r="I4383" s="28"/>
      <c r="J4383" s="28"/>
      <c r="K4383" s="28"/>
      <c r="L4383" s="28"/>
      <c r="M4383" s="28"/>
      <c r="N4383" s="28"/>
      <c r="O4383" s="28"/>
      <c r="P4383" s="28"/>
      <c r="Q4383" s="28"/>
      <c r="R4383" s="28"/>
      <c r="S4383" s="28"/>
    </row>
    <row r="4384" spans="1:19" x14ac:dyDescent="0.25">
      <c r="A4384" s="28"/>
      <c r="B4384" s="28"/>
      <c r="C4384" s="28"/>
      <c r="D4384" s="28"/>
      <c r="E4384" s="28"/>
      <c r="F4384" s="28"/>
      <c r="G4384" s="28"/>
      <c r="H4384" s="28"/>
      <c r="I4384" s="28"/>
      <c r="J4384" s="28"/>
      <c r="K4384" s="28"/>
      <c r="L4384" s="28"/>
      <c r="M4384" s="28"/>
      <c r="N4384" s="28"/>
      <c r="O4384" s="28"/>
      <c r="P4384" s="28"/>
      <c r="Q4384" s="28"/>
      <c r="R4384" s="28"/>
      <c r="S4384" s="28"/>
    </row>
    <row r="4385" spans="1:19" x14ac:dyDescent="0.25">
      <c r="A4385" s="28"/>
      <c r="B4385" s="28"/>
      <c r="C4385" s="28"/>
      <c r="D4385" s="28"/>
      <c r="E4385" s="28"/>
      <c r="F4385" s="28"/>
      <c r="G4385" s="28"/>
      <c r="H4385" s="28"/>
      <c r="I4385" s="28"/>
      <c r="J4385" s="28"/>
      <c r="K4385" s="28"/>
      <c r="L4385" s="28"/>
      <c r="M4385" s="28"/>
      <c r="N4385" s="28"/>
      <c r="O4385" s="28"/>
      <c r="P4385" s="28"/>
      <c r="Q4385" s="28"/>
      <c r="R4385" s="28"/>
      <c r="S4385" s="28"/>
    </row>
    <row r="4386" spans="1:19" x14ac:dyDescent="0.25">
      <c r="A4386" s="28"/>
      <c r="B4386" s="28"/>
      <c r="C4386" s="28"/>
      <c r="D4386" s="28"/>
      <c r="E4386" s="28"/>
      <c r="F4386" s="28"/>
      <c r="G4386" s="28"/>
      <c r="H4386" s="28"/>
      <c r="I4386" s="28"/>
      <c r="J4386" s="28"/>
      <c r="K4386" s="28"/>
      <c r="L4386" s="28"/>
      <c r="M4386" s="28"/>
      <c r="N4386" s="28"/>
      <c r="O4386" s="28"/>
      <c r="P4386" s="28"/>
      <c r="Q4386" s="28"/>
      <c r="R4386" s="28"/>
      <c r="S4386" s="28"/>
    </row>
    <row r="4387" spans="1:19" x14ac:dyDescent="0.25">
      <c r="A4387" s="28"/>
      <c r="B4387" s="28"/>
      <c r="C4387" s="28"/>
      <c r="D4387" s="28"/>
      <c r="E4387" s="28"/>
      <c r="F4387" s="28"/>
      <c r="G4387" s="28"/>
      <c r="H4387" s="28"/>
      <c r="I4387" s="28"/>
      <c r="J4387" s="28"/>
      <c r="K4387" s="28"/>
      <c r="L4387" s="28"/>
      <c r="M4387" s="28"/>
      <c r="N4387" s="28"/>
      <c r="O4387" s="28"/>
      <c r="P4387" s="28"/>
      <c r="Q4387" s="28"/>
      <c r="R4387" s="28"/>
      <c r="S4387" s="28"/>
    </row>
    <row r="4388" spans="1:19" x14ac:dyDescent="0.25">
      <c r="A4388" s="28"/>
      <c r="B4388" s="28"/>
      <c r="C4388" s="28"/>
      <c r="D4388" s="28"/>
      <c r="E4388" s="28"/>
      <c r="F4388" s="28"/>
      <c r="G4388" s="28"/>
      <c r="H4388" s="28"/>
      <c r="I4388" s="28"/>
      <c r="J4388" s="28"/>
      <c r="K4388" s="28"/>
      <c r="L4388" s="28"/>
      <c r="M4388" s="28"/>
      <c r="N4388" s="28"/>
      <c r="O4388" s="28"/>
      <c r="P4388" s="28"/>
      <c r="Q4388" s="28"/>
      <c r="R4388" s="28"/>
      <c r="S4388" s="28"/>
    </row>
    <row r="4389" spans="1:19" x14ac:dyDescent="0.25">
      <c r="A4389" s="28"/>
      <c r="B4389" s="28"/>
      <c r="C4389" s="28"/>
      <c r="D4389" s="28"/>
      <c r="E4389" s="28"/>
      <c r="F4389" s="28"/>
      <c r="G4389" s="28"/>
      <c r="H4389" s="28"/>
      <c r="I4389" s="28"/>
      <c r="J4389" s="28"/>
      <c r="K4389" s="28"/>
      <c r="L4389" s="28"/>
      <c r="M4389" s="28"/>
      <c r="N4389" s="28"/>
      <c r="O4389" s="28"/>
      <c r="P4389" s="28"/>
      <c r="Q4389" s="28"/>
      <c r="R4389" s="28"/>
      <c r="S4389" s="28"/>
    </row>
    <row r="4390" spans="1:19" x14ac:dyDescent="0.25">
      <c r="A4390" s="28"/>
      <c r="B4390" s="28"/>
      <c r="C4390" s="28"/>
      <c r="D4390" s="28"/>
      <c r="E4390" s="28"/>
      <c r="F4390" s="28"/>
      <c r="G4390" s="28"/>
      <c r="H4390" s="28"/>
      <c r="I4390" s="28"/>
      <c r="J4390" s="28"/>
      <c r="K4390" s="28"/>
      <c r="L4390" s="28"/>
      <c r="M4390" s="28"/>
      <c r="N4390" s="28"/>
      <c r="O4390" s="28"/>
      <c r="P4390" s="28"/>
      <c r="Q4390" s="28"/>
      <c r="R4390" s="28"/>
      <c r="S4390" s="28"/>
    </row>
    <row r="4391" spans="1:19" x14ac:dyDescent="0.25">
      <c r="A4391" s="28"/>
      <c r="B4391" s="28"/>
      <c r="C4391" s="28"/>
      <c r="D4391" s="28"/>
      <c r="E4391" s="28"/>
      <c r="F4391" s="28"/>
      <c r="G4391" s="28"/>
      <c r="H4391" s="28"/>
      <c r="I4391" s="28"/>
      <c r="J4391" s="28"/>
      <c r="K4391" s="28"/>
      <c r="L4391" s="28"/>
      <c r="M4391" s="28"/>
      <c r="N4391" s="28"/>
      <c r="O4391" s="28"/>
      <c r="P4391" s="28"/>
      <c r="Q4391" s="28"/>
      <c r="R4391" s="28"/>
      <c r="S4391" s="28"/>
    </row>
    <row r="4392" spans="1:19" x14ac:dyDescent="0.25">
      <c r="A4392" s="28"/>
      <c r="B4392" s="28"/>
      <c r="C4392" s="28"/>
      <c r="D4392" s="28"/>
      <c r="E4392" s="28"/>
      <c r="F4392" s="28"/>
      <c r="G4392" s="28"/>
      <c r="H4392" s="28"/>
      <c r="I4392" s="28"/>
      <c r="J4392" s="28"/>
      <c r="K4392" s="28"/>
      <c r="L4392" s="28"/>
      <c r="M4392" s="28"/>
      <c r="N4392" s="28"/>
      <c r="O4392" s="28"/>
      <c r="P4392" s="28"/>
      <c r="Q4392" s="28"/>
      <c r="R4392" s="28"/>
      <c r="S4392" s="28"/>
    </row>
    <row r="4393" spans="1:19" x14ac:dyDescent="0.25">
      <c r="A4393" s="28"/>
      <c r="B4393" s="28"/>
      <c r="C4393" s="28"/>
      <c r="D4393" s="28"/>
      <c r="E4393" s="28"/>
      <c r="F4393" s="28"/>
      <c r="G4393" s="28"/>
      <c r="H4393" s="28"/>
      <c r="I4393" s="28"/>
      <c r="J4393" s="28"/>
      <c r="K4393" s="28"/>
      <c r="L4393" s="28"/>
      <c r="M4393" s="28"/>
      <c r="N4393" s="28"/>
      <c r="O4393" s="28"/>
      <c r="P4393" s="28"/>
      <c r="Q4393" s="28"/>
      <c r="R4393" s="28"/>
      <c r="S4393" s="28"/>
    </row>
    <row r="4394" spans="1:19" x14ac:dyDescent="0.25">
      <c r="A4394" s="28"/>
      <c r="B4394" s="28"/>
      <c r="C4394" s="28"/>
      <c r="D4394" s="28"/>
      <c r="E4394" s="28"/>
      <c r="F4394" s="28"/>
      <c r="G4394" s="28"/>
      <c r="H4394" s="28"/>
      <c r="I4394" s="28"/>
      <c r="J4394" s="28"/>
      <c r="K4394" s="28"/>
      <c r="L4394" s="28"/>
      <c r="M4394" s="28"/>
      <c r="N4394" s="28"/>
      <c r="O4394" s="28"/>
      <c r="P4394" s="28"/>
      <c r="Q4394" s="28"/>
      <c r="R4394" s="28"/>
      <c r="S4394" s="28"/>
    </row>
    <row r="4395" spans="1:19" x14ac:dyDescent="0.25">
      <c r="A4395" s="28"/>
      <c r="B4395" s="28"/>
      <c r="C4395" s="28"/>
      <c r="D4395" s="28"/>
      <c r="E4395" s="28"/>
      <c r="F4395" s="28"/>
      <c r="G4395" s="28"/>
      <c r="H4395" s="28"/>
      <c r="I4395" s="28"/>
      <c r="J4395" s="28"/>
      <c r="K4395" s="28"/>
      <c r="L4395" s="28"/>
      <c r="M4395" s="28"/>
      <c r="N4395" s="28"/>
      <c r="O4395" s="28"/>
      <c r="P4395" s="28"/>
      <c r="Q4395" s="28"/>
      <c r="R4395" s="28"/>
      <c r="S4395" s="28"/>
    </row>
    <row r="4396" spans="1:19" x14ac:dyDescent="0.25">
      <c r="A4396" s="28"/>
      <c r="B4396" s="28"/>
      <c r="C4396" s="28"/>
      <c r="D4396" s="28"/>
      <c r="E4396" s="28"/>
      <c r="F4396" s="28"/>
      <c r="G4396" s="28"/>
      <c r="H4396" s="28"/>
      <c r="I4396" s="28"/>
      <c r="J4396" s="28"/>
      <c r="K4396" s="28"/>
      <c r="L4396" s="28"/>
      <c r="M4396" s="28"/>
      <c r="N4396" s="28"/>
      <c r="O4396" s="28"/>
      <c r="P4396" s="28"/>
      <c r="Q4396" s="28"/>
      <c r="R4396" s="28"/>
      <c r="S4396" s="28"/>
    </row>
    <row r="4397" spans="1:19" x14ac:dyDescent="0.25">
      <c r="A4397" s="28"/>
      <c r="B4397" s="28"/>
      <c r="C4397" s="28"/>
      <c r="D4397" s="28"/>
      <c r="E4397" s="28"/>
      <c r="F4397" s="28"/>
      <c r="G4397" s="28"/>
      <c r="H4397" s="28"/>
      <c r="I4397" s="28"/>
      <c r="J4397" s="28"/>
      <c r="K4397" s="28"/>
      <c r="L4397" s="28"/>
      <c r="M4397" s="28"/>
      <c r="N4397" s="28"/>
      <c r="O4397" s="28"/>
      <c r="P4397" s="28"/>
      <c r="Q4397" s="28"/>
      <c r="R4397" s="28"/>
      <c r="S4397" s="28"/>
    </row>
    <row r="4398" spans="1:19" x14ac:dyDescent="0.25">
      <c r="A4398" s="28"/>
      <c r="B4398" s="28"/>
      <c r="C4398" s="28"/>
      <c r="D4398" s="28"/>
      <c r="E4398" s="28"/>
      <c r="F4398" s="28"/>
      <c r="G4398" s="28"/>
      <c r="H4398" s="28"/>
      <c r="I4398" s="28"/>
      <c r="J4398" s="28"/>
      <c r="K4398" s="28"/>
      <c r="L4398" s="28"/>
      <c r="M4398" s="28"/>
      <c r="N4398" s="28"/>
      <c r="O4398" s="28"/>
      <c r="P4398" s="28"/>
      <c r="Q4398" s="28"/>
      <c r="R4398" s="28"/>
      <c r="S4398" s="28"/>
    </row>
    <row r="4399" spans="1:19" x14ac:dyDescent="0.25">
      <c r="A4399" s="28"/>
      <c r="B4399" s="28"/>
      <c r="C4399" s="28"/>
      <c r="D4399" s="28"/>
      <c r="E4399" s="28"/>
      <c r="F4399" s="28"/>
      <c r="G4399" s="28"/>
      <c r="H4399" s="28"/>
      <c r="I4399" s="28"/>
      <c r="J4399" s="28"/>
      <c r="K4399" s="28"/>
      <c r="L4399" s="28"/>
      <c r="M4399" s="28"/>
      <c r="N4399" s="28"/>
      <c r="O4399" s="28"/>
      <c r="P4399" s="28"/>
      <c r="Q4399" s="28"/>
      <c r="R4399" s="28"/>
      <c r="S4399" s="28"/>
    </row>
    <row r="4400" spans="1:19" x14ac:dyDescent="0.25">
      <c r="A4400" s="28"/>
      <c r="B4400" s="28"/>
      <c r="C4400" s="28"/>
      <c r="D4400" s="28"/>
      <c r="E4400" s="28"/>
      <c r="F4400" s="28"/>
      <c r="G4400" s="28"/>
      <c r="H4400" s="28"/>
      <c r="I4400" s="28"/>
      <c r="J4400" s="28"/>
      <c r="K4400" s="28"/>
      <c r="L4400" s="28"/>
      <c r="M4400" s="28"/>
      <c r="N4400" s="28"/>
      <c r="O4400" s="28"/>
      <c r="P4400" s="28"/>
      <c r="Q4400" s="28"/>
      <c r="R4400" s="28"/>
      <c r="S4400" s="28"/>
    </row>
    <row r="4401" spans="1:19" x14ac:dyDescent="0.25">
      <c r="A4401" s="28"/>
      <c r="B4401" s="28"/>
      <c r="C4401" s="28"/>
      <c r="D4401" s="28"/>
      <c r="E4401" s="28"/>
      <c r="F4401" s="28"/>
      <c r="G4401" s="28"/>
      <c r="H4401" s="28"/>
      <c r="I4401" s="28"/>
      <c r="J4401" s="28"/>
      <c r="K4401" s="28"/>
      <c r="L4401" s="28"/>
      <c r="M4401" s="28"/>
      <c r="N4401" s="28"/>
      <c r="O4401" s="28"/>
      <c r="P4401" s="28"/>
      <c r="Q4401" s="28"/>
      <c r="R4401" s="28"/>
      <c r="S4401" s="28"/>
    </row>
    <row r="4402" spans="1:19" x14ac:dyDescent="0.25">
      <c r="A4402" s="28"/>
      <c r="B4402" s="28"/>
      <c r="C4402" s="28"/>
      <c r="D4402" s="28"/>
      <c r="E4402" s="28"/>
      <c r="F4402" s="28"/>
      <c r="G4402" s="28"/>
      <c r="H4402" s="28"/>
      <c r="I4402" s="28"/>
      <c r="J4402" s="28"/>
      <c r="K4402" s="28"/>
      <c r="L4402" s="28"/>
      <c r="M4402" s="28"/>
      <c r="N4402" s="28"/>
      <c r="O4402" s="28"/>
      <c r="P4402" s="28"/>
      <c r="Q4402" s="28"/>
      <c r="R4402" s="28"/>
      <c r="S4402" s="28"/>
    </row>
    <row r="4403" spans="1:19" x14ac:dyDescent="0.25">
      <c r="A4403" s="28"/>
      <c r="B4403" s="28"/>
      <c r="C4403" s="28"/>
      <c r="D4403" s="28"/>
      <c r="E4403" s="28"/>
      <c r="F4403" s="28"/>
      <c r="G4403" s="28"/>
      <c r="H4403" s="28"/>
      <c r="I4403" s="28"/>
      <c r="J4403" s="28"/>
      <c r="K4403" s="28"/>
      <c r="L4403" s="28"/>
      <c r="M4403" s="28"/>
      <c r="N4403" s="28"/>
      <c r="O4403" s="28"/>
      <c r="P4403" s="28"/>
      <c r="Q4403" s="28"/>
      <c r="R4403" s="28"/>
      <c r="S4403" s="28"/>
    </row>
    <row r="4404" spans="1:19" x14ac:dyDescent="0.25">
      <c r="A4404" s="28"/>
      <c r="B4404" s="28"/>
      <c r="C4404" s="28"/>
      <c r="D4404" s="28"/>
      <c r="E4404" s="28"/>
      <c r="F4404" s="28"/>
      <c r="G4404" s="28"/>
      <c r="H4404" s="28"/>
      <c r="I4404" s="28"/>
      <c r="J4404" s="28"/>
      <c r="K4404" s="28"/>
      <c r="L4404" s="28"/>
      <c r="M4404" s="28"/>
      <c r="N4404" s="28"/>
      <c r="O4404" s="28"/>
      <c r="P4404" s="28"/>
      <c r="Q4404" s="28"/>
      <c r="R4404" s="28"/>
      <c r="S4404" s="28"/>
    </row>
    <row r="4405" spans="1:19" x14ac:dyDescent="0.25">
      <c r="A4405" s="28"/>
      <c r="B4405" s="28"/>
      <c r="C4405" s="28"/>
      <c r="D4405" s="28"/>
      <c r="E4405" s="28"/>
      <c r="F4405" s="28"/>
      <c r="G4405" s="28"/>
      <c r="H4405" s="28"/>
      <c r="I4405" s="28"/>
      <c r="J4405" s="28"/>
      <c r="K4405" s="28"/>
      <c r="L4405" s="28"/>
      <c r="M4405" s="28"/>
      <c r="N4405" s="28"/>
      <c r="O4405" s="28"/>
      <c r="P4405" s="28"/>
      <c r="Q4405" s="28"/>
      <c r="R4405" s="28"/>
      <c r="S4405" s="28"/>
    </row>
    <row r="4406" spans="1:19" x14ac:dyDescent="0.25">
      <c r="A4406" s="28"/>
      <c r="B4406" s="28"/>
      <c r="C4406" s="28"/>
      <c r="D4406" s="28"/>
      <c r="E4406" s="28"/>
      <c r="F4406" s="28"/>
      <c r="G4406" s="28"/>
      <c r="H4406" s="28"/>
      <c r="I4406" s="28"/>
      <c r="J4406" s="28"/>
      <c r="K4406" s="28"/>
      <c r="L4406" s="28"/>
      <c r="M4406" s="28"/>
      <c r="N4406" s="28"/>
      <c r="O4406" s="28"/>
      <c r="P4406" s="28"/>
      <c r="Q4406" s="28"/>
      <c r="R4406" s="28"/>
      <c r="S4406" s="28"/>
    </row>
    <row r="4407" spans="1:19" x14ac:dyDescent="0.25">
      <c r="A4407" s="28"/>
      <c r="B4407" s="28"/>
      <c r="C4407" s="28"/>
      <c r="D4407" s="28"/>
      <c r="E4407" s="28"/>
      <c r="F4407" s="28"/>
      <c r="G4407" s="28"/>
      <c r="H4407" s="28"/>
      <c r="I4407" s="28"/>
      <c r="J4407" s="28"/>
      <c r="K4407" s="28"/>
      <c r="L4407" s="28"/>
      <c r="M4407" s="28"/>
      <c r="N4407" s="28"/>
      <c r="O4407" s="28"/>
      <c r="P4407" s="28"/>
      <c r="Q4407" s="28"/>
      <c r="R4407" s="28"/>
      <c r="S4407" s="28"/>
    </row>
    <row r="4408" spans="1:19" x14ac:dyDescent="0.25">
      <c r="A4408" s="28"/>
      <c r="B4408" s="28"/>
      <c r="C4408" s="28"/>
      <c r="D4408" s="28"/>
      <c r="E4408" s="28"/>
      <c r="F4408" s="28"/>
      <c r="G4408" s="28"/>
      <c r="H4408" s="28"/>
      <c r="I4408" s="28"/>
      <c r="J4408" s="28"/>
      <c r="K4408" s="28"/>
      <c r="L4408" s="28"/>
      <c r="M4408" s="28"/>
      <c r="N4408" s="28"/>
      <c r="O4408" s="28"/>
      <c r="P4408" s="28"/>
      <c r="Q4408" s="28"/>
      <c r="R4408" s="28"/>
      <c r="S4408" s="28"/>
    </row>
    <row r="4409" spans="1:19" x14ac:dyDescent="0.25">
      <c r="A4409" s="28"/>
      <c r="B4409" s="28"/>
      <c r="C4409" s="28"/>
      <c r="D4409" s="28"/>
      <c r="E4409" s="28"/>
      <c r="F4409" s="28"/>
      <c r="G4409" s="28"/>
      <c r="H4409" s="28"/>
      <c r="I4409" s="28"/>
      <c r="J4409" s="28"/>
      <c r="K4409" s="28"/>
      <c r="L4409" s="28"/>
      <c r="M4409" s="28"/>
      <c r="N4409" s="28"/>
      <c r="O4409" s="28"/>
      <c r="P4409" s="28"/>
      <c r="Q4409" s="28"/>
      <c r="R4409" s="28"/>
      <c r="S4409" s="28"/>
    </row>
    <row r="4410" spans="1:19" x14ac:dyDescent="0.25">
      <c r="A4410" s="28"/>
      <c r="B4410" s="28"/>
      <c r="C4410" s="28"/>
      <c r="D4410" s="28"/>
      <c r="E4410" s="28"/>
      <c r="F4410" s="28"/>
      <c r="G4410" s="28"/>
      <c r="H4410" s="28"/>
      <c r="I4410" s="28"/>
      <c r="J4410" s="28"/>
      <c r="K4410" s="28"/>
      <c r="L4410" s="28"/>
      <c r="M4410" s="28"/>
      <c r="N4410" s="28"/>
      <c r="O4410" s="28"/>
      <c r="P4410" s="28"/>
      <c r="Q4410" s="28"/>
      <c r="R4410" s="28"/>
      <c r="S4410" s="28"/>
    </row>
    <row r="4411" spans="1:19" x14ac:dyDescent="0.25">
      <c r="A4411" s="28"/>
      <c r="B4411" s="28"/>
      <c r="C4411" s="28"/>
      <c r="D4411" s="28"/>
      <c r="E4411" s="28"/>
      <c r="F4411" s="28"/>
      <c r="G4411" s="28"/>
      <c r="H4411" s="28"/>
      <c r="I4411" s="28"/>
      <c r="J4411" s="28"/>
      <c r="K4411" s="28"/>
      <c r="L4411" s="28"/>
      <c r="M4411" s="28"/>
      <c r="N4411" s="28"/>
      <c r="O4411" s="28"/>
      <c r="P4411" s="28"/>
      <c r="Q4411" s="28"/>
      <c r="R4411" s="28"/>
      <c r="S4411" s="28"/>
    </row>
    <row r="4412" spans="1:19" x14ac:dyDescent="0.25">
      <c r="A4412" s="28"/>
      <c r="B4412" s="28"/>
      <c r="C4412" s="28"/>
      <c r="D4412" s="28"/>
      <c r="E4412" s="28"/>
      <c r="F4412" s="28"/>
      <c r="G4412" s="28"/>
      <c r="H4412" s="28"/>
      <c r="I4412" s="28"/>
      <c r="J4412" s="28"/>
      <c r="K4412" s="28"/>
      <c r="L4412" s="28"/>
      <c r="M4412" s="28"/>
      <c r="N4412" s="28"/>
      <c r="O4412" s="28"/>
      <c r="P4412" s="28"/>
      <c r="Q4412" s="28"/>
      <c r="R4412" s="28"/>
      <c r="S4412" s="28"/>
    </row>
    <row r="4413" spans="1:19" x14ac:dyDescent="0.25">
      <c r="A4413" s="28"/>
      <c r="B4413" s="28"/>
      <c r="C4413" s="28"/>
      <c r="D4413" s="28"/>
      <c r="E4413" s="28"/>
      <c r="F4413" s="28"/>
      <c r="G4413" s="28"/>
      <c r="H4413" s="28"/>
      <c r="I4413" s="28"/>
      <c r="J4413" s="28"/>
      <c r="K4413" s="28"/>
      <c r="L4413" s="28"/>
      <c r="M4413" s="28"/>
      <c r="N4413" s="28"/>
      <c r="O4413" s="28"/>
      <c r="P4413" s="28"/>
      <c r="Q4413" s="28"/>
      <c r="R4413" s="28"/>
      <c r="S4413" s="28"/>
    </row>
    <row r="4414" spans="1:19" x14ac:dyDescent="0.25">
      <c r="A4414" s="28"/>
      <c r="B4414" s="28"/>
      <c r="C4414" s="28"/>
      <c r="D4414" s="28"/>
      <c r="E4414" s="28"/>
      <c r="F4414" s="28"/>
      <c r="G4414" s="28"/>
      <c r="H4414" s="28"/>
      <c r="I4414" s="28"/>
      <c r="J4414" s="28"/>
      <c r="K4414" s="28"/>
      <c r="L4414" s="28"/>
      <c r="M4414" s="28"/>
      <c r="N4414" s="28"/>
      <c r="O4414" s="28"/>
      <c r="P4414" s="28"/>
      <c r="Q4414" s="28"/>
      <c r="R4414" s="28"/>
      <c r="S4414" s="28"/>
    </row>
    <row r="4415" spans="1:19" x14ac:dyDescent="0.25">
      <c r="A4415" s="28"/>
      <c r="B4415" s="28"/>
      <c r="C4415" s="28"/>
      <c r="D4415" s="28"/>
      <c r="E4415" s="28"/>
      <c r="F4415" s="28"/>
      <c r="G4415" s="28"/>
      <c r="H4415" s="28"/>
      <c r="I4415" s="28"/>
      <c r="J4415" s="28"/>
      <c r="K4415" s="28"/>
      <c r="L4415" s="28"/>
      <c r="M4415" s="28"/>
      <c r="N4415" s="28"/>
      <c r="O4415" s="28"/>
      <c r="P4415" s="28"/>
      <c r="Q4415" s="28"/>
      <c r="R4415" s="28"/>
      <c r="S4415" s="28"/>
    </row>
    <row r="4416" spans="1:19" x14ac:dyDescent="0.25">
      <c r="A4416" s="28"/>
      <c r="B4416" s="28"/>
      <c r="C4416" s="28"/>
      <c r="D4416" s="28"/>
      <c r="E4416" s="28"/>
      <c r="F4416" s="28"/>
      <c r="G4416" s="28"/>
      <c r="H4416" s="28"/>
      <c r="I4416" s="28"/>
      <c r="J4416" s="28"/>
      <c r="K4416" s="28"/>
      <c r="L4416" s="28"/>
      <c r="M4416" s="28"/>
      <c r="N4416" s="28"/>
      <c r="O4416" s="28"/>
      <c r="P4416" s="28"/>
      <c r="Q4416" s="28"/>
      <c r="R4416" s="28"/>
      <c r="S4416" s="28"/>
    </row>
    <row r="4417" spans="1:19" x14ac:dyDescent="0.25">
      <c r="A4417" s="28"/>
      <c r="B4417" s="28"/>
      <c r="C4417" s="28"/>
      <c r="D4417" s="28"/>
      <c r="E4417" s="28"/>
      <c r="F4417" s="28"/>
      <c r="G4417" s="28"/>
      <c r="H4417" s="28"/>
      <c r="I4417" s="28"/>
      <c r="J4417" s="28"/>
      <c r="K4417" s="28"/>
      <c r="L4417" s="28"/>
      <c r="M4417" s="28"/>
      <c r="N4417" s="28"/>
      <c r="O4417" s="28"/>
      <c r="P4417" s="28"/>
      <c r="Q4417" s="28"/>
      <c r="R4417" s="28"/>
      <c r="S4417" s="28"/>
    </row>
    <row r="4418" spans="1:19" x14ac:dyDescent="0.25">
      <c r="A4418" s="28"/>
      <c r="B4418" s="28"/>
      <c r="C4418" s="28"/>
      <c r="D4418" s="28"/>
      <c r="E4418" s="28"/>
      <c r="F4418" s="28"/>
      <c r="G4418" s="28"/>
      <c r="H4418" s="28"/>
      <c r="I4418" s="28"/>
      <c r="J4418" s="28"/>
      <c r="K4418" s="28"/>
      <c r="L4418" s="28"/>
      <c r="M4418" s="28"/>
      <c r="N4418" s="28"/>
      <c r="O4418" s="28"/>
      <c r="P4418" s="28"/>
      <c r="Q4418" s="28"/>
      <c r="R4418" s="28"/>
      <c r="S4418" s="28"/>
    </row>
    <row r="4419" spans="1:19" x14ac:dyDescent="0.25">
      <c r="A4419" s="28"/>
      <c r="B4419" s="28"/>
      <c r="C4419" s="28"/>
      <c r="D4419" s="28"/>
      <c r="E4419" s="28"/>
      <c r="F4419" s="28"/>
      <c r="G4419" s="28"/>
      <c r="H4419" s="28"/>
      <c r="I4419" s="28"/>
      <c r="J4419" s="28"/>
      <c r="K4419" s="28"/>
      <c r="L4419" s="28"/>
      <c r="M4419" s="28"/>
      <c r="N4419" s="28"/>
      <c r="O4419" s="28"/>
      <c r="P4419" s="28"/>
      <c r="Q4419" s="28"/>
      <c r="R4419" s="28"/>
      <c r="S4419" s="28"/>
    </row>
    <row r="4420" spans="1:19" x14ac:dyDescent="0.25">
      <c r="A4420" s="28"/>
      <c r="B4420" s="28"/>
      <c r="C4420" s="28"/>
      <c r="D4420" s="28"/>
      <c r="E4420" s="28"/>
      <c r="F4420" s="28"/>
      <c r="G4420" s="28"/>
      <c r="H4420" s="28"/>
      <c r="I4420" s="28"/>
      <c r="J4420" s="28"/>
      <c r="K4420" s="28"/>
      <c r="L4420" s="28"/>
      <c r="M4420" s="28"/>
      <c r="N4420" s="28"/>
      <c r="O4420" s="28"/>
      <c r="P4420" s="28"/>
      <c r="Q4420" s="28"/>
      <c r="R4420" s="28"/>
      <c r="S4420" s="28"/>
    </row>
    <row r="4421" spans="1:19" x14ac:dyDescent="0.25">
      <c r="A4421" s="28"/>
      <c r="B4421" s="28"/>
      <c r="C4421" s="28"/>
      <c r="D4421" s="28"/>
      <c r="E4421" s="28"/>
      <c r="F4421" s="28"/>
      <c r="G4421" s="28"/>
      <c r="H4421" s="28"/>
      <c r="I4421" s="28"/>
      <c r="J4421" s="28"/>
      <c r="K4421" s="28"/>
      <c r="L4421" s="28"/>
      <c r="M4421" s="28"/>
      <c r="N4421" s="28"/>
      <c r="O4421" s="28"/>
      <c r="P4421" s="28"/>
      <c r="Q4421" s="28"/>
      <c r="R4421" s="28"/>
      <c r="S4421" s="28"/>
    </row>
    <row r="4422" spans="1:19" x14ac:dyDescent="0.25">
      <c r="A4422" s="28"/>
      <c r="B4422" s="28"/>
      <c r="C4422" s="28"/>
      <c r="D4422" s="28"/>
      <c r="E4422" s="28"/>
      <c r="F4422" s="28"/>
      <c r="G4422" s="28"/>
      <c r="H4422" s="28"/>
      <c r="I4422" s="28"/>
      <c r="J4422" s="28"/>
      <c r="K4422" s="28"/>
      <c r="L4422" s="28"/>
      <c r="M4422" s="28"/>
      <c r="N4422" s="28"/>
      <c r="O4422" s="28"/>
      <c r="P4422" s="28"/>
      <c r="Q4422" s="28"/>
      <c r="R4422" s="28"/>
      <c r="S4422" s="28"/>
    </row>
    <row r="4423" spans="1:19" x14ac:dyDescent="0.25">
      <c r="A4423" s="28"/>
      <c r="B4423" s="28"/>
      <c r="C4423" s="28"/>
      <c r="D4423" s="28"/>
      <c r="E4423" s="28"/>
      <c r="F4423" s="28"/>
      <c r="G4423" s="28"/>
      <c r="H4423" s="28"/>
      <c r="I4423" s="28"/>
      <c r="J4423" s="28"/>
      <c r="K4423" s="28"/>
      <c r="L4423" s="28"/>
      <c r="M4423" s="28"/>
      <c r="N4423" s="28"/>
      <c r="O4423" s="28"/>
      <c r="P4423" s="28"/>
      <c r="Q4423" s="28"/>
      <c r="R4423" s="28"/>
      <c r="S4423" s="28"/>
    </row>
    <row r="4424" spans="1:19" x14ac:dyDescent="0.25">
      <c r="A4424" s="28"/>
      <c r="B4424" s="28"/>
      <c r="C4424" s="28"/>
      <c r="D4424" s="28"/>
      <c r="E4424" s="28"/>
      <c r="F4424" s="28"/>
      <c r="G4424" s="28"/>
      <c r="H4424" s="28"/>
      <c r="I4424" s="28"/>
      <c r="J4424" s="28"/>
      <c r="K4424" s="28"/>
      <c r="L4424" s="28"/>
      <c r="M4424" s="28"/>
      <c r="N4424" s="28"/>
      <c r="O4424" s="28"/>
      <c r="P4424" s="28"/>
      <c r="Q4424" s="28"/>
      <c r="R4424" s="28"/>
      <c r="S4424" s="28"/>
    </row>
    <row r="4425" spans="1:19" x14ac:dyDescent="0.25">
      <c r="A4425" s="28"/>
      <c r="B4425" s="28"/>
      <c r="C4425" s="28"/>
      <c r="D4425" s="28"/>
      <c r="E4425" s="28"/>
      <c r="F4425" s="28"/>
      <c r="G4425" s="28"/>
      <c r="H4425" s="28"/>
      <c r="I4425" s="28"/>
      <c r="J4425" s="28"/>
      <c r="K4425" s="28"/>
      <c r="L4425" s="28"/>
      <c r="M4425" s="28"/>
      <c r="N4425" s="28"/>
      <c r="O4425" s="28"/>
      <c r="P4425" s="28"/>
      <c r="Q4425" s="28"/>
      <c r="R4425" s="28"/>
      <c r="S4425" s="28"/>
    </row>
    <row r="4426" spans="1:19" x14ac:dyDescent="0.25">
      <c r="A4426" s="28"/>
      <c r="B4426" s="28"/>
      <c r="C4426" s="28"/>
      <c r="D4426" s="28"/>
      <c r="E4426" s="28"/>
      <c r="F4426" s="28"/>
      <c r="G4426" s="28"/>
      <c r="H4426" s="28"/>
      <c r="I4426" s="28"/>
      <c r="J4426" s="28"/>
      <c r="K4426" s="28"/>
      <c r="L4426" s="28"/>
      <c r="M4426" s="28"/>
      <c r="N4426" s="28"/>
      <c r="O4426" s="28"/>
      <c r="P4426" s="28"/>
      <c r="Q4426" s="28"/>
      <c r="R4426" s="28"/>
      <c r="S4426" s="28"/>
    </row>
    <row r="4427" spans="1:19" x14ac:dyDescent="0.25">
      <c r="A4427" s="28"/>
      <c r="B4427" s="28"/>
      <c r="C4427" s="28"/>
      <c r="D4427" s="28"/>
      <c r="E4427" s="28"/>
      <c r="F4427" s="28"/>
      <c r="G4427" s="28"/>
      <c r="H4427" s="28"/>
      <c r="I4427" s="28"/>
      <c r="J4427" s="28"/>
      <c r="K4427" s="28"/>
      <c r="L4427" s="28"/>
      <c r="M4427" s="28"/>
      <c r="N4427" s="28"/>
      <c r="O4427" s="28"/>
      <c r="P4427" s="28"/>
      <c r="Q4427" s="28"/>
      <c r="R4427" s="28"/>
      <c r="S4427" s="28"/>
    </row>
    <row r="4428" spans="1:19" x14ac:dyDescent="0.25">
      <c r="A4428" s="28"/>
      <c r="B4428" s="28"/>
      <c r="C4428" s="28"/>
      <c r="D4428" s="28"/>
      <c r="E4428" s="28"/>
      <c r="F4428" s="28"/>
      <c r="G4428" s="28"/>
      <c r="H4428" s="28"/>
      <c r="I4428" s="28"/>
      <c r="J4428" s="28"/>
      <c r="K4428" s="28"/>
      <c r="L4428" s="28"/>
      <c r="M4428" s="28"/>
      <c r="N4428" s="28"/>
      <c r="O4428" s="28"/>
      <c r="P4428" s="28"/>
      <c r="Q4428" s="28"/>
      <c r="R4428" s="28"/>
      <c r="S4428" s="28"/>
    </row>
    <row r="4429" spans="1:19" x14ac:dyDescent="0.25">
      <c r="A4429" s="28"/>
      <c r="B4429" s="28"/>
      <c r="C4429" s="28"/>
      <c r="D4429" s="28"/>
      <c r="E4429" s="28"/>
      <c r="F4429" s="28"/>
      <c r="G4429" s="28"/>
      <c r="H4429" s="28"/>
      <c r="I4429" s="28"/>
      <c r="J4429" s="28"/>
      <c r="K4429" s="28"/>
      <c r="L4429" s="28"/>
      <c r="M4429" s="28"/>
      <c r="N4429" s="28"/>
      <c r="O4429" s="28"/>
      <c r="P4429" s="28"/>
      <c r="Q4429" s="28"/>
      <c r="R4429" s="28"/>
      <c r="S4429" s="28"/>
    </row>
    <row r="4430" spans="1:19" x14ac:dyDescent="0.25">
      <c r="A4430" s="28"/>
      <c r="B4430" s="28"/>
      <c r="C4430" s="28"/>
      <c r="D4430" s="28"/>
      <c r="E4430" s="28"/>
      <c r="F4430" s="28"/>
      <c r="G4430" s="28"/>
      <c r="H4430" s="28"/>
      <c r="I4430" s="28"/>
      <c r="J4430" s="28"/>
      <c r="K4430" s="28"/>
      <c r="L4430" s="28"/>
      <c r="M4430" s="28"/>
      <c r="N4430" s="28"/>
      <c r="O4430" s="28"/>
      <c r="P4430" s="28"/>
      <c r="Q4430" s="28"/>
      <c r="R4430" s="28"/>
      <c r="S4430" s="28"/>
    </row>
    <row r="4431" spans="1:19" x14ac:dyDescent="0.25">
      <c r="A4431" s="28"/>
      <c r="B4431" s="28"/>
      <c r="C4431" s="28"/>
      <c r="D4431" s="28"/>
      <c r="E4431" s="28"/>
      <c r="F4431" s="28"/>
      <c r="G4431" s="28"/>
      <c r="H4431" s="28"/>
      <c r="I4431" s="28"/>
      <c r="J4431" s="28"/>
      <c r="K4431" s="28"/>
      <c r="L4431" s="28"/>
      <c r="M4431" s="28"/>
      <c r="N4431" s="28"/>
      <c r="O4431" s="28"/>
      <c r="P4431" s="28"/>
      <c r="Q4431" s="28"/>
      <c r="R4431" s="28"/>
      <c r="S4431" s="28"/>
    </row>
    <row r="4432" spans="1:19" x14ac:dyDescent="0.25">
      <c r="A4432" s="28"/>
      <c r="B4432" s="28"/>
      <c r="C4432" s="28"/>
      <c r="D4432" s="28"/>
      <c r="E4432" s="28"/>
      <c r="F4432" s="28"/>
      <c r="G4432" s="28"/>
      <c r="H4432" s="28"/>
      <c r="I4432" s="28"/>
      <c r="J4432" s="28"/>
      <c r="K4432" s="28"/>
      <c r="L4432" s="28"/>
      <c r="M4432" s="28"/>
      <c r="N4432" s="28"/>
      <c r="O4432" s="28"/>
      <c r="P4432" s="28"/>
      <c r="Q4432" s="28"/>
      <c r="R4432" s="28"/>
      <c r="S4432" s="28"/>
    </row>
    <row r="4433" spans="1:19" x14ac:dyDescent="0.25">
      <c r="A4433" s="28"/>
      <c r="B4433" s="28"/>
      <c r="C4433" s="28"/>
      <c r="D4433" s="28"/>
      <c r="E4433" s="28"/>
      <c r="F4433" s="28"/>
      <c r="G4433" s="28"/>
      <c r="H4433" s="28"/>
      <c r="I4433" s="28"/>
      <c r="J4433" s="28"/>
      <c r="K4433" s="28"/>
      <c r="L4433" s="28"/>
      <c r="M4433" s="28"/>
      <c r="N4433" s="28"/>
      <c r="O4433" s="28"/>
      <c r="P4433" s="28"/>
      <c r="Q4433" s="28"/>
      <c r="R4433" s="28"/>
      <c r="S4433" s="28"/>
    </row>
    <row r="4434" spans="1:19" x14ac:dyDescent="0.25">
      <c r="A4434" s="28"/>
      <c r="B4434" s="28"/>
      <c r="C4434" s="28"/>
      <c r="D4434" s="28"/>
      <c r="E4434" s="28"/>
      <c r="F4434" s="28"/>
      <c r="G4434" s="28"/>
      <c r="H4434" s="28"/>
      <c r="I4434" s="28"/>
      <c r="J4434" s="28"/>
      <c r="K4434" s="28"/>
      <c r="L4434" s="28"/>
      <c r="M4434" s="28"/>
      <c r="N4434" s="28"/>
      <c r="O4434" s="28"/>
      <c r="P4434" s="28"/>
      <c r="Q4434" s="28"/>
      <c r="R4434" s="28"/>
      <c r="S4434" s="28"/>
    </row>
    <row r="4435" spans="1:19" x14ac:dyDescent="0.25">
      <c r="A4435" s="28"/>
      <c r="B4435" s="28"/>
      <c r="C4435" s="28"/>
      <c r="D4435" s="28"/>
      <c r="E4435" s="28"/>
      <c r="F4435" s="28"/>
      <c r="G4435" s="28"/>
      <c r="H4435" s="28"/>
      <c r="I4435" s="28"/>
      <c r="J4435" s="28"/>
      <c r="K4435" s="28"/>
      <c r="L4435" s="28"/>
      <c r="M4435" s="28"/>
      <c r="N4435" s="28"/>
      <c r="O4435" s="28"/>
      <c r="P4435" s="28"/>
      <c r="Q4435" s="28"/>
      <c r="R4435" s="28"/>
      <c r="S4435" s="28"/>
    </row>
    <row r="4436" spans="1:19" x14ac:dyDescent="0.25">
      <c r="A4436" s="28"/>
      <c r="B4436" s="28"/>
      <c r="C4436" s="28"/>
      <c r="D4436" s="28"/>
      <c r="E4436" s="28"/>
      <c r="F4436" s="28"/>
      <c r="G4436" s="28"/>
      <c r="H4436" s="28"/>
      <c r="I4436" s="28"/>
      <c r="J4436" s="28"/>
      <c r="K4436" s="28"/>
      <c r="L4436" s="28"/>
      <c r="M4436" s="28"/>
      <c r="N4436" s="28"/>
      <c r="O4436" s="28"/>
      <c r="P4436" s="28"/>
      <c r="Q4436" s="28"/>
      <c r="R4436" s="28"/>
      <c r="S4436" s="28"/>
    </row>
    <row r="4437" spans="1:19" x14ac:dyDescent="0.25">
      <c r="A4437" s="28"/>
      <c r="B4437" s="28"/>
      <c r="C4437" s="28"/>
      <c r="D4437" s="28"/>
      <c r="E4437" s="28"/>
      <c r="F4437" s="28"/>
      <c r="G4437" s="28"/>
      <c r="H4437" s="28"/>
      <c r="I4437" s="28"/>
      <c r="J4437" s="28"/>
      <c r="K4437" s="28"/>
      <c r="L4437" s="28"/>
      <c r="M4437" s="28"/>
      <c r="N4437" s="28"/>
      <c r="O4437" s="28"/>
      <c r="P4437" s="28"/>
      <c r="Q4437" s="28"/>
      <c r="R4437" s="28"/>
      <c r="S4437" s="28"/>
    </row>
    <row r="4438" spans="1:19" x14ac:dyDescent="0.25">
      <c r="A4438" s="28"/>
      <c r="B4438" s="28"/>
      <c r="C4438" s="28"/>
      <c r="D4438" s="28"/>
      <c r="E4438" s="28"/>
      <c r="F4438" s="28"/>
      <c r="G4438" s="28"/>
      <c r="H4438" s="28"/>
      <c r="I4438" s="28"/>
      <c r="J4438" s="28"/>
      <c r="K4438" s="28"/>
      <c r="L4438" s="28"/>
      <c r="M4438" s="28"/>
      <c r="N4438" s="28"/>
      <c r="O4438" s="28"/>
      <c r="P4438" s="28"/>
      <c r="Q4438" s="28"/>
      <c r="R4438" s="28"/>
      <c r="S4438" s="28"/>
    </row>
    <row r="4439" spans="1:19" x14ac:dyDescent="0.25">
      <c r="A4439" s="28"/>
      <c r="B4439" s="28"/>
      <c r="C4439" s="28"/>
      <c r="D4439" s="28"/>
      <c r="E4439" s="28"/>
      <c r="F4439" s="28"/>
      <c r="G4439" s="28"/>
      <c r="H4439" s="28"/>
      <c r="I4439" s="28"/>
      <c r="J4439" s="28"/>
      <c r="K4439" s="28"/>
      <c r="L4439" s="28"/>
      <c r="M4439" s="28"/>
      <c r="N4439" s="28"/>
      <c r="O4439" s="28"/>
      <c r="P4439" s="28"/>
      <c r="Q4439" s="28"/>
      <c r="R4439" s="28"/>
      <c r="S4439" s="28"/>
    </row>
    <row r="4440" spans="1:19" x14ac:dyDescent="0.25">
      <c r="A4440" s="28"/>
      <c r="B4440" s="28"/>
      <c r="C4440" s="28"/>
      <c r="D4440" s="28"/>
      <c r="E4440" s="28"/>
      <c r="F4440" s="28"/>
      <c r="G4440" s="28"/>
      <c r="H4440" s="28"/>
      <c r="I4440" s="28"/>
      <c r="J4440" s="28"/>
      <c r="K4440" s="28"/>
      <c r="L4440" s="28"/>
      <c r="M4440" s="28"/>
      <c r="N4440" s="28"/>
      <c r="O4440" s="28"/>
      <c r="P4440" s="28"/>
      <c r="Q4440" s="28"/>
      <c r="R4440" s="28"/>
      <c r="S4440" s="28"/>
    </row>
    <row r="4441" spans="1:19" x14ac:dyDescent="0.25">
      <c r="A4441" s="28"/>
      <c r="B4441" s="28"/>
      <c r="C4441" s="28"/>
      <c r="D4441" s="28"/>
      <c r="E4441" s="28"/>
      <c r="F4441" s="28"/>
      <c r="G4441" s="28"/>
      <c r="H4441" s="28"/>
      <c r="I4441" s="28"/>
      <c r="J4441" s="28"/>
      <c r="K4441" s="28"/>
      <c r="L4441" s="28"/>
      <c r="M4441" s="28"/>
      <c r="N4441" s="28"/>
      <c r="O4441" s="28"/>
      <c r="P4441" s="28"/>
      <c r="Q4441" s="28"/>
      <c r="R4441" s="28"/>
      <c r="S4441" s="28"/>
    </row>
    <row r="4442" spans="1:19" x14ac:dyDescent="0.25">
      <c r="A4442" s="28"/>
      <c r="B4442" s="28"/>
      <c r="C4442" s="28"/>
      <c r="D4442" s="28"/>
      <c r="E4442" s="28"/>
      <c r="F4442" s="28"/>
      <c r="G4442" s="28"/>
      <c r="H4442" s="28"/>
      <c r="I4442" s="28"/>
      <c r="J4442" s="28"/>
      <c r="K4442" s="28"/>
      <c r="L4442" s="28"/>
      <c r="M4442" s="28"/>
      <c r="N4442" s="28"/>
      <c r="O4442" s="28"/>
      <c r="P4442" s="28"/>
      <c r="Q4442" s="28"/>
      <c r="R4442" s="28"/>
      <c r="S4442" s="28"/>
    </row>
    <row r="4443" spans="1:19" x14ac:dyDescent="0.25">
      <c r="A4443" s="28"/>
      <c r="B4443" s="28"/>
      <c r="C4443" s="28"/>
      <c r="D4443" s="28"/>
      <c r="E4443" s="28"/>
      <c r="F4443" s="28"/>
      <c r="G4443" s="28"/>
      <c r="H4443" s="28"/>
      <c r="I4443" s="28"/>
      <c r="J4443" s="28"/>
      <c r="K4443" s="28"/>
      <c r="L4443" s="28"/>
      <c r="M4443" s="28"/>
      <c r="N4443" s="28"/>
      <c r="O4443" s="28"/>
      <c r="P4443" s="28"/>
      <c r="Q4443" s="28"/>
      <c r="R4443" s="28"/>
      <c r="S4443" s="28"/>
    </row>
    <row r="4444" spans="1:19" x14ac:dyDescent="0.25">
      <c r="A4444" s="28"/>
      <c r="B4444" s="28"/>
      <c r="C4444" s="28"/>
      <c r="D4444" s="28"/>
      <c r="E4444" s="28"/>
      <c r="F4444" s="28"/>
      <c r="G4444" s="28"/>
      <c r="H4444" s="28"/>
      <c r="I4444" s="28"/>
      <c r="J4444" s="28"/>
      <c r="K4444" s="28"/>
      <c r="L4444" s="28"/>
      <c r="M4444" s="28"/>
      <c r="N4444" s="28"/>
      <c r="O4444" s="28"/>
      <c r="P4444" s="28"/>
      <c r="Q4444" s="28"/>
      <c r="R4444" s="28"/>
      <c r="S4444" s="28"/>
    </row>
    <row r="4445" spans="1:19" x14ac:dyDescent="0.25">
      <c r="A4445" s="28"/>
      <c r="B4445" s="28"/>
      <c r="C4445" s="28"/>
      <c r="D4445" s="28"/>
      <c r="E4445" s="28"/>
      <c r="F4445" s="28"/>
      <c r="G4445" s="28"/>
      <c r="H4445" s="28"/>
      <c r="I4445" s="28"/>
      <c r="J4445" s="28"/>
      <c r="K4445" s="28"/>
      <c r="L4445" s="28"/>
      <c r="M4445" s="28"/>
      <c r="N4445" s="28"/>
      <c r="O4445" s="28"/>
      <c r="P4445" s="28"/>
      <c r="Q4445" s="28"/>
      <c r="R4445" s="28"/>
      <c r="S4445" s="28"/>
    </row>
    <row r="4446" spans="1:19" x14ac:dyDescent="0.25">
      <c r="A4446" s="28"/>
      <c r="B4446" s="28"/>
      <c r="C4446" s="28"/>
      <c r="D4446" s="28"/>
      <c r="E4446" s="28"/>
      <c r="F4446" s="28"/>
      <c r="G4446" s="28"/>
      <c r="H4446" s="28"/>
      <c r="I4446" s="28"/>
      <c r="J4446" s="28"/>
      <c r="K4446" s="28"/>
      <c r="L4446" s="28"/>
      <c r="M4446" s="28"/>
      <c r="N4446" s="28"/>
      <c r="O4446" s="28"/>
      <c r="P4446" s="28"/>
      <c r="Q4446" s="28"/>
      <c r="R4446" s="28"/>
      <c r="S4446" s="28"/>
    </row>
    <row r="4447" spans="1:19" x14ac:dyDescent="0.25">
      <c r="A4447" s="28"/>
      <c r="B4447" s="28"/>
      <c r="C4447" s="28"/>
      <c r="D4447" s="28"/>
      <c r="E4447" s="28"/>
      <c r="F4447" s="28"/>
      <c r="G4447" s="28"/>
      <c r="H4447" s="28"/>
      <c r="I4447" s="28"/>
      <c r="J4447" s="28"/>
      <c r="K4447" s="28"/>
      <c r="L4447" s="28"/>
      <c r="M4447" s="28"/>
      <c r="N4447" s="28"/>
      <c r="O4447" s="28"/>
      <c r="P4447" s="28"/>
      <c r="Q4447" s="28"/>
      <c r="R4447" s="28"/>
      <c r="S4447" s="28"/>
    </row>
    <row r="4448" spans="1:19" x14ac:dyDescent="0.25">
      <c r="A4448" s="28"/>
      <c r="B4448" s="28"/>
      <c r="C4448" s="28"/>
      <c r="D4448" s="28"/>
      <c r="E4448" s="28"/>
      <c r="F4448" s="28"/>
      <c r="G4448" s="28"/>
      <c r="H4448" s="28"/>
      <c r="I4448" s="28"/>
      <c r="J4448" s="28"/>
      <c r="K4448" s="28"/>
      <c r="L4448" s="28"/>
      <c r="M4448" s="28"/>
      <c r="N4448" s="28"/>
      <c r="O4448" s="28"/>
      <c r="P4448" s="28"/>
      <c r="Q4448" s="28"/>
      <c r="R4448" s="28"/>
      <c r="S4448" s="28"/>
    </row>
    <row r="4449" spans="1:19" x14ac:dyDescent="0.25">
      <c r="A4449" s="28"/>
      <c r="B4449" s="28"/>
      <c r="C4449" s="28"/>
      <c r="D4449" s="28"/>
      <c r="E4449" s="28"/>
      <c r="F4449" s="28"/>
      <c r="G4449" s="28"/>
      <c r="H4449" s="28"/>
      <c r="I4449" s="28"/>
      <c r="J4449" s="28"/>
      <c r="K4449" s="28"/>
      <c r="L4449" s="28"/>
      <c r="M4449" s="28"/>
      <c r="N4449" s="28"/>
      <c r="O4449" s="28"/>
      <c r="P4449" s="28"/>
      <c r="Q4449" s="28"/>
      <c r="R4449" s="28"/>
      <c r="S4449" s="28"/>
    </row>
    <row r="4450" spans="1:19" x14ac:dyDescent="0.25">
      <c r="A4450" s="28"/>
      <c r="B4450" s="28"/>
      <c r="C4450" s="28"/>
      <c r="D4450" s="28"/>
      <c r="E4450" s="28"/>
      <c r="F4450" s="28"/>
      <c r="G4450" s="28"/>
      <c r="H4450" s="28"/>
      <c r="I4450" s="28"/>
      <c r="J4450" s="28"/>
      <c r="K4450" s="28"/>
      <c r="L4450" s="28"/>
      <c r="M4450" s="28"/>
      <c r="N4450" s="28"/>
      <c r="O4450" s="28"/>
      <c r="P4450" s="28"/>
      <c r="Q4450" s="28"/>
      <c r="R4450" s="28"/>
      <c r="S4450" s="28"/>
    </row>
    <row r="4451" spans="1:19" x14ac:dyDescent="0.25">
      <c r="A4451" s="28"/>
      <c r="B4451" s="28"/>
      <c r="C4451" s="28"/>
      <c r="D4451" s="28"/>
      <c r="E4451" s="28"/>
      <c r="F4451" s="28"/>
      <c r="G4451" s="28"/>
      <c r="H4451" s="28"/>
      <c r="I4451" s="28"/>
      <c r="J4451" s="28"/>
      <c r="K4451" s="28"/>
      <c r="L4451" s="28"/>
      <c r="M4451" s="28"/>
      <c r="N4451" s="28"/>
      <c r="O4451" s="28"/>
      <c r="P4451" s="28"/>
      <c r="Q4451" s="28"/>
      <c r="R4451" s="28"/>
      <c r="S4451" s="28"/>
    </row>
    <row r="4452" spans="1:19" x14ac:dyDescent="0.25">
      <c r="A4452" s="28"/>
      <c r="B4452" s="28"/>
      <c r="C4452" s="28"/>
      <c r="D4452" s="28"/>
      <c r="E4452" s="28"/>
      <c r="F4452" s="28"/>
      <c r="G4452" s="28"/>
      <c r="H4452" s="28"/>
      <c r="I4452" s="28"/>
      <c r="J4452" s="28"/>
      <c r="K4452" s="28"/>
      <c r="L4452" s="28"/>
      <c r="M4452" s="28"/>
      <c r="N4452" s="28"/>
      <c r="O4452" s="28"/>
      <c r="P4452" s="28"/>
      <c r="Q4452" s="28"/>
      <c r="R4452" s="28"/>
      <c r="S4452" s="28"/>
    </row>
    <row r="4453" spans="1:19" x14ac:dyDescent="0.25">
      <c r="A4453" s="28"/>
      <c r="B4453" s="28"/>
      <c r="C4453" s="28"/>
      <c r="D4453" s="28"/>
      <c r="E4453" s="28"/>
      <c r="F4453" s="28"/>
      <c r="G4453" s="28"/>
      <c r="H4453" s="28"/>
      <c r="I4453" s="28"/>
      <c r="J4453" s="28"/>
      <c r="K4453" s="28"/>
      <c r="L4453" s="28"/>
      <c r="M4453" s="28"/>
      <c r="N4453" s="28"/>
      <c r="O4453" s="28"/>
      <c r="P4453" s="28"/>
      <c r="Q4453" s="28"/>
      <c r="R4453" s="28"/>
      <c r="S4453" s="28"/>
    </row>
    <row r="4454" spans="1:19" x14ac:dyDescent="0.25">
      <c r="A4454" s="28"/>
      <c r="B4454" s="28"/>
      <c r="C4454" s="28"/>
      <c r="D4454" s="28"/>
      <c r="E4454" s="28"/>
      <c r="F4454" s="28"/>
      <c r="G4454" s="28"/>
      <c r="H4454" s="28"/>
      <c r="I4454" s="28"/>
      <c r="J4454" s="28"/>
      <c r="K4454" s="28"/>
      <c r="L4454" s="28"/>
      <c r="M4454" s="28"/>
      <c r="N4454" s="28"/>
      <c r="O4454" s="28"/>
      <c r="P4454" s="28"/>
      <c r="Q4454" s="28"/>
      <c r="R4454" s="28"/>
      <c r="S4454" s="28"/>
    </row>
    <row r="4455" spans="1:19" x14ac:dyDescent="0.25">
      <c r="A4455" s="28"/>
      <c r="B4455" s="28"/>
      <c r="C4455" s="28"/>
      <c r="D4455" s="28"/>
      <c r="E4455" s="28"/>
      <c r="F4455" s="28"/>
      <c r="G4455" s="28"/>
      <c r="H4455" s="28"/>
      <c r="I4455" s="28"/>
      <c r="J4455" s="28"/>
      <c r="K4455" s="28"/>
      <c r="L4455" s="28"/>
      <c r="M4455" s="28"/>
      <c r="N4455" s="28"/>
      <c r="O4455" s="28"/>
      <c r="P4455" s="28"/>
      <c r="Q4455" s="28"/>
      <c r="R4455" s="28"/>
      <c r="S4455" s="28"/>
    </row>
    <row r="4456" spans="1:19" x14ac:dyDescent="0.25">
      <c r="A4456" s="28"/>
      <c r="B4456" s="28"/>
      <c r="C4456" s="28"/>
      <c r="D4456" s="28"/>
      <c r="E4456" s="28"/>
      <c r="F4456" s="28"/>
      <c r="G4456" s="28"/>
      <c r="H4456" s="28"/>
      <c r="I4456" s="28"/>
      <c r="J4456" s="28"/>
      <c r="K4456" s="28"/>
      <c r="L4456" s="28"/>
      <c r="M4456" s="28"/>
      <c r="N4456" s="28"/>
      <c r="O4456" s="28"/>
      <c r="P4456" s="28"/>
      <c r="Q4456" s="28"/>
      <c r="R4456" s="28"/>
      <c r="S4456" s="28"/>
    </row>
    <row r="4457" spans="1:19" x14ac:dyDescent="0.25">
      <c r="A4457" s="28"/>
      <c r="B4457" s="28"/>
      <c r="C4457" s="28"/>
      <c r="D4457" s="28"/>
      <c r="E4457" s="28"/>
      <c r="F4457" s="28"/>
      <c r="G4457" s="28"/>
      <c r="H4457" s="28"/>
      <c r="I4457" s="28"/>
      <c r="J4457" s="28"/>
      <c r="K4457" s="28"/>
      <c r="L4457" s="28"/>
      <c r="M4457" s="28"/>
      <c r="N4457" s="28"/>
      <c r="O4457" s="28"/>
      <c r="P4457" s="28"/>
      <c r="Q4457" s="28"/>
      <c r="R4457" s="28"/>
      <c r="S4457" s="28"/>
    </row>
    <row r="4458" spans="1:19" x14ac:dyDescent="0.25">
      <c r="A4458" s="28"/>
      <c r="B4458" s="28"/>
      <c r="C4458" s="28"/>
      <c r="D4458" s="28"/>
      <c r="E4458" s="28"/>
      <c r="F4458" s="28"/>
      <c r="G4458" s="28"/>
      <c r="H4458" s="28"/>
      <c r="I4458" s="28"/>
      <c r="J4458" s="28"/>
      <c r="K4458" s="28"/>
      <c r="L4458" s="28"/>
      <c r="M4458" s="28"/>
      <c r="N4458" s="28"/>
      <c r="O4458" s="28"/>
      <c r="P4458" s="28"/>
      <c r="Q4458" s="28"/>
      <c r="R4458" s="28"/>
      <c r="S4458" s="28"/>
    </row>
    <row r="4459" spans="1:19" x14ac:dyDescent="0.25">
      <c r="A4459" s="28"/>
      <c r="B4459" s="28"/>
      <c r="C4459" s="28"/>
      <c r="D4459" s="28"/>
      <c r="E4459" s="28"/>
      <c r="F4459" s="28"/>
      <c r="G4459" s="28"/>
      <c r="H4459" s="28"/>
      <c r="I4459" s="28"/>
      <c r="J4459" s="28"/>
      <c r="K4459" s="28"/>
      <c r="L4459" s="28"/>
      <c r="M4459" s="28"/>
      <c r="N4459" s="28"/>
      <c r="O4459" s="28"/>
      <c r="P4459" s="28"/>
      <c r="Q4459" s="28"/>
      <c r="R4459" s="28"/>
      <c r="S4459" s="28"/>
    </row>
    <row r="4460" spans="1:19" x14ac:dyDescent="0.25">
      <c r="A4460" s="28"/>
      <c r="B4460" s="28"/>
      <c r="C4460" s="28"/>
      <c r="D4460" s="28"/>
      <c r="E4460" s="28"/>
      <c r="F4460" s="28"/>
      <c r="G4460" s="28"/>
      <c r="H4460" s="28"/>
      <c r="I4460" s="28"/>
      <c r="J4460" s="28"/>
      <c r="K4460" s="28"/>
      <c r="L4460" s="28"/>
      <c r="M4460" s="28"/>
      <c r="N4460" s="28"/>
      <c r="O4460" s="28"/>
      <c r="P4460" s="28"/>
      <c r="Q4460" s="28"/>
      <c r="R4460" s="28"/>
      <c r="S4460" s="28"/>
    </row>
    <row r="4461" spans="1:19" x14ac:dyDescent="0.25">
      <c r="A4461" s="28"/>
      <c r="B4461" s="28"/>
      <c r="C4461" s="28"/>
      <c r="D4461" s="28"/>
      <c r="E4461" s="28"/>
      <c r="F4461" s="28"/>
      <c r="G4461" s="28"/>
      <c r="H4461" s="28"/>
      <c r="I4461" s="28"/>
      <c r="J4461" s="28"/>
      <c r="K4461" s="28"/>
      <c r="L4461" s="28"/>
      <c r="M4461" s="28"/>
      <c r="N4461" s="28"/>
      <c r="O4461" s="28"/>
      <c r="P4461" s="28"/>
      <c r="Q4461" s="28"/>
      <c r="R4461" s="28"/>
      <c r="S4461" s="28"/>
    </row>
    <row r="4462" spans="1:19" x14ac:dyDescent="0.25">
      <c r="A4462" s="28"/>
      <c r="B4462" s="28"/>
      <c r="C4462" s="28"/>
      <c r="D4462" s="28"/>
      <c r="E4462" s="28"/>
      <c r="F4462" s="28"/>
      <c r="G4462" s="28"/>
      <c r="H4462" s="28"/>
      <c r="I4462" s="28"/>
      <c r="J4462" s="28"/>
      <c r="K4462" s="28"/>
      <c r="L4462" s="28"/>
      <c r="M4462" s="28"/>
      <c r="N4462" s="28"/>
      <c r="O4462" s="28"/>
      <c r="P4462" s="28"/>
      <c r="Q4462" s="28"/>
      <c r="R4462" s="28"/>
      <c r="S4462" s="28"/>
    </row>
    <row r="4463" spans="1:19" x14ac:dyDescent="0.25">
      <c r="A4463" s="28"/>
      <c r="B4463" s="28"/>
      <c r="C4463" s="28"/>
      <c r="D4463" s="28"/>
      <c r="E4463" s="28"/>
      <c r="F4463" s="28"/>
      <c r="G4463" s="28"/>
      <c r="H4463" s="28"/>
      <c r="I4463" s="28"/>
      <c r="J4463" s="28"/>
      <c r="K4463" s="28"/>
      <c r="L4463" s="28"/>
      <c r="M4463" s="28"/>
      <c r="N4463" s="28"/>
      <c r="O4463" s="28"/>
      <c r="P4463" s="28"/>
      <c r="Q4463" s="28"/>
      <c r="R4463" s="28"/>
      <c r="S4463" s="28"/>
    </row>
    <row r="4464" spans="1:19" x14ac:dyDescent="0.25">
      <c r="A4464" s="28"/>
      <c r="B4464" s="28"/>
      <c r="C4464" s="28"/>
      <c r="D4464" s="28"/>
      <c r="E4464" s="28"/>
      <c r="F4464" s="28"/>
      <c r="G4464" s="28"/>
      <c r="H4464" s="28"/>
      <c r="I4464" s="28"/>
      <c r="J4464" s="28"/>
      <c r="K4464" s="28"/>
      <c r="L4464" s="28"/>
      <c r="M4464" s="28"/>
      <c r="N4464" s="28"/>
      <c r="O4464" s="28"/>
      <c r="P4464" s="28"/>
      <c r="Q4464" s="28"/>
      <c r="R4464" s="28"/>
      <c r="S4464" s="28"/>
    </row>
    <row r="4465" spans="1:19" x14ac:dyDescent="0.25">
      <c r="A4465" s="28"/>
      <c r="B4465" s="28"/>
      <c r="C4465" s="28"/>
      <c r="D4465" s="28"/>
      <c r="E4465" s="28"/>
      <c r="F4465" s="28"/>
      <c r="G4465" s="28"/>
      <c r="H4465" s="28"/>
      <c r="I4465" s="28"/>
      <c r="J4465" s="28"/>
      <c r="K4465" s="28"/>
      <c r="L4465" s="28"/>
      <c r="M4465" s="28"/>
      <c r="N4465" s="28"/>
      <c r="O4465" s="28"/>
      <c r="P4465" s="28"/>
      <c r="Q4465" s="28"/>
      <c r="R4465" s="28"/>
      <c r="S4465" s="28"/>
    </row>
    <row r="4466" spans="1:19" x14ac:dyDescent="0.25">
      <c r="A4466" s="28"/>
      <c r="B4466" s="28"/>
      <c r="C4466" s="28"/>
      <c r="D4466" s="28"/>
      <c r="E4466" s="28"/>
      <c r="F4466" s="28"/>
      <c r="G4466" s="28"/>
      <c r="H4466" s="28"/>
      <c r="I4466" s="28"/>
      <c r="J4466" s="28"/>
      <c r="K4466" s="28"/>
      <c r="L4466" s="28"/>
      <c r="M4466" s="28"/>
      <c r="N4466" s="28"/>
      <c r="O4466" s="28"/>
      <c r="P4466" s="28"/>
      <c r="Q4466" s="28"/>
      <c r="R4466" s="28"/>
      <c r="S4466" s="28"/>
    </row>
    <row r="4467" spans="1:19" x14ac:dyDescent="0.25">
      <c r="A4467" s="28"/>
      <c r="B4467" s="28"/>
      <c r="C4467" s="28"/>
      <c r="D4467" s="28"/>
      <c r="E4467" s="28"/>
      <c r="F4467" s="28"/>
      <c r="G4467" s="28"/>
      <c r="H4467" s="28"/>
      <c r="I4467" s="28"/>
      <c r="J4467" s="28"/>
      <c r="K4467" s="28"/>
      <c r="L4467" s="28"/>
      <c r="M4467" s="28"/>
      <c r="N4467" s="28"/>
      <c r="O4467" s="28"/>
      <c r="P4467" s="28"/>
      <c r="Q4467" s="28"/>
      <c r="R4467" s="28"/>
      <c r="S4467" s="28"/>
    </row>
    <row r="4468" spans="1:19" x14ac:dyDescent="0.25">
      <c r="A4468" s="28"/>
      <c r="B4468" s="28"/>
      <c r="C4468" s="28"/>
      <c r="D4468" s="28"/>
      <c r="E4468" s="28"/>
      <c r="F4468" s="28"/>
      <c r="G4468" s="28"/>
      <c r="H4468" s="28"/>
      <c r="I4468" s="28"/>
      <c r="J4468" s="28"/>
      <c r="K4468" s="28"/>
      <c r="L4468" s="28"/>
      <c r="M4468" s="28"/>
      <c r="N4468" s="28"/>
      <c r="O4468" s="28"/>
      <c r="P4468" s="28"/>
      <c r="Q4468" s="28"/>
      <c r="R4468" s="28"/>
      <c r="S4468" s="28"/>
    </row>
    <row r="4469" spans="1:19" x14ac:dyDescent="0.25">
      <c r="A4469" s="28"/>
      <c r="B4469" s="28"/>
      <c r="C4469" s="28"/>
      <c r="D4469" s="28"/>
      <c r="E4469" s="28"/>
      <c r="F4469" s="28"/>
      <c r="G4469" s="28"/>
      <c r="H4469" s="28"/>
      <c r="I4469" s="28"/>
      <c r="J4469" s="28"/>
      <c r="K4469" s="28"/>
      <c r="L4469" s="28"/>
      <c r="M4469" s="28"/>
      <c r="N4469" s="28"/>
      <c r="O4469" s="28"/>
      <c r="P4469" s="28"/>
      <c r="Q4469" s="28"/>
      <c r="R4469" s="28"/>
      <c r="S4469" s="28"/>
    </row>
    <row r="4470" spans="1:19" x14ac:dyDescent="0.25">
      <c r="A4470" s="28"/>
      <c r="B4470" s="28"/>
      <c r="C4470" s="28"/>
      <c r="D4470" s="28"/>
      <c r="E4470" s="28"/>
      <c r="F4470" s="28"/>
      <c r="G4470" s="28"/>
      <c r="H4470" s="28"/>
      <c r="I4470" s="28"/>
      <c r="J4470" s="28"/>
      <c r="K4470" s="28"/>
      <c r="L4470" s="28"/>
      <c r="M4470" s="28"/>
      <c r="N4470" s="28"/>
      <c r="O4470" s="28"/>
      <c r="P4470" s="28"/>
      <c r="Q4470" s="28"/>
      <c r="R4470" s="28"/>
      <c r="S4470" s="28"/>
    </row>
    <row r="4471" spans="1:19" x14ac:dyDescent="0.25">
      <c r="A4471" s="28"/>
      <c r="B4471" s="28"/>
      <c r="C4471" s="28"/>
      <c r="D4471" s="28"/>
      <c r="E4471" s="28"/>
      <c r="F4471" s="28"/>
      <c r="G4471" s="28"/>
      <c r="H4471" s="28"/>
      <c r="I4471" s="28"/>
      <c r="J4471" s="28"/>
      <c r="K4471" s="28"/>
      <c r="L4471" s="28"/>
      <c r="M4471" s="28"/>
      <c r="N4471" s="28"/>
      <c r="O4471" s="28"/>
      <c r="P4471" s="28"/>
      <c r="Q4471" s="28"/>
      <c r="R4471" s="28"/>
      <c r="S4471" s="28"/>
    </row>
    <row r="4472" spans="1:19" x14ac:dyDescent="0.25">
      <c r="A4472" s="28"/>
      <c r="B4472" s="28"/>
      <c r="C4472" s="28"/>
      <c r="D4472" s="28"/>
      <c r="E4472" s="28"/>
      <c r="F4472" s="28"/>
      <c r="G4472" s="28"/>
      <c r="H4472" s="28"/>
      <c r="I4472" s="28"/>
      <c r="J4472" s="28"/>
      <c r="K4472" s="28"/>
      <c r="L4472" s="28"/>
      <c r="M4472" s="28"/>
      <c r="N4472" s="28"/>
      <c r="O4472" s="28"/>
      <c r="P4472" s="28"/>
      <c r="Q4472" s="28"/>
      <c r="R4472" s="28"/>
      <c r="S4472" s="28"/>
    </row>
    <row r="4473" spans="1:19" x14ac:dyDescent="0.25">
      <c r="A4473" s="28"/>
      <c r="B4473" s="28"/>
      <c r="C4473" s="28"/>
      <c r="D4473" s="28"/>
      <c r="E4473" s="28"/>
      <c r="F4473" s="28"/>
      <c r="G4473" s="28"/>
      <c r="H4473" s="28"/>
      <c r="I4473" s="28"/>
      <c r="J4473" s="28"/>
      <c r="K4473" s="28"/>
      <c r="L4473" s="28"/>
      <c r="M4473" s="28"/>
      <c r="N4473" s="28"/>
      <c r="O4473" s="28"/>
      <c r="P4473" s="28"/>
      <c r="Q4473" s="28"/>
      <c r="R4473" s="28"/>
      <c r="S4473" s="28"/>
    </row>
    <row r="4474" spans="1:19" x14ac:dyDescent="0.25">
      <c r="A4474" s="28"/>
      <c r="B4474" s="28"/>
      <c r="C4474" s="28"/>
      <c r="D4474" s="28"/>
      <c r="E4474" s="28"/>
      <c r="F4474" s="28"/>
      <c r="G4474" s="28"/>
      <c r="H4474" s="28"/>
      <c r="I4474" s="28"/>
      <c r="J4474" s="28"/>
      <c r="K4474" s="28"/>
      <c r="L4474" s="28"/>
      <c r="M4474" s="28"/>
      <c r="N4474" s="28"/>
      <c r="O4474" s="28"/>
      <c r="P4474" s="28"/>
      <c r="Q4474" s="28"/>
      <c r="R4474" s="28"/>
      <c r="S4474" s="28"/>
    </row>
    <row r="4475" spans="1:19" x14ac:dyDescent="0.25">
      <c r="A4475" s="28"/>
      <c r="B4475" s="28"/>
      <c r="C4475" s="28"/>
      <c r="D4475" s="28"/>
      <c r="E4475" s="28"/>
      <c r="F4475" s="28"/>
      <c r="G4475" s="28"/>
      <c r="H4475" s="28"/>
      <c r="I4475" s="28"/>
      <c r="J4475" s="28"/>
      <c r="K4475" s="28"/>
      <c r="L4475" s="28"/>
      <c r="M4475" s="28"/>
      <c r="N4475" s="28"/>
      <c r="O4475" s="28"/>
      <c r="P4475" s="28"/>
      <c r="Q4475" s="28"/>
      <c r="R4475" s="28"/>
      <c r="S4475" s="28"/>
    </row>
    <row r="4476" spans="1:19" x14ac:dyDescent="0.25">
      <c r="A4476" s="28"/>
      <c r="B4476" s="28"/>
      <c r="C4476" s="28"/>
      <c r="D4476" s="28"/>
      <c r="E4476" s="28"/>
      <c r="F4476" s="28"/>
      <c r="G4476" s="28"/>
      <c r="H4476" s="28"/>
      <c r="I4476" s="28"/>
      <c r="J4476" s="28"/>
      <c r="K4476" s="28"/>
      <c r="L4476" s="28"/>
      <c r="M4476" s="28"/>
      <c r="N4476" s="28"/>
      <c r="O4476" s="28"/>
      <c r="P4476" s="28"/>
      <c r="Q4476" s="28"/>
      <c r="R4476" s="28"/>
      <c r="S4476" s="28"/>
    </row>
    <row r="4477" spans="1:19" x14ac:dyDescent="0.25">
      <c r="A4477" s="28"/>
      <c r="B4477" s="28"/>
      <c r="C4477" s="28"/>
      <c r="D4477" s="28"/>
      <c r="E4477" s="28"/>
      <c r="F4477" s="28"/>
      <c r="G4477" s="28"/>
      <c r="H4477" s="28"/>
      <c r="I4477" s="28"/>
      <c r="J4477" s="28"/>
      <c r="K4477" s="28"/>
      <c r="L4477" s="28"/>
      <c r="M4477" s="28"/>
      <c r="N4477" s="28"/>
      <c r="O4477" s="28"/>
      <c r="P4477" s="28"/>
      <c r="Q4477" s="28"/>
      <c r="R4477" s="28"/>
      <c r="S4477" s="28"/>
    </row>
    <row r="4478" spans="1:19" x14ac:dyDescent="0.25">
      <c r="A4478" s="28"/>
      <c r="B4478" s="28"/>
      <c r="C4478" s="28"/>
      <c r="D4478" s="28"/>
      <c r="E4478" s="28"/>
      <c r="F4478" s="28"/>
      <c r="G4478" s="28"/>
      <c r="H4478" s="28"/>
      <c r="I4478" s="28"/>
      <c r="J4478" s="28"/>
      <c r="K4478" s="28"/>
      <c r="L4478" s="28"/>
      <c r="M4478" s="28"/>
      <c r="N4478" s="28"/>
      <c r="O4478" s="28"/>
      <c r="P4478" s="28"/>
      <c r="Q4478" s="28"/>
      <c r="R4478" s="28"/>
      <c r="S4478" s="28"/>
    </row>
    <row r="4479" spans="1:19" x14ac:dyDescent="0.25">
      <c r="A4479" s="28"/>
      <c r="B4479" s="28"/>
      <c r="C4479" s="28"/>
      <c r="D4479" s="28"/>
      <c r="E4479" s="28"/>
      <c r="F4479" s="28"/>
      <c r="G4479" s="28"/>
      <c r="H4479" s="28"/>
      <c r="I4479" s="28"/>
      <c r="J4479" s="28"/>
      <c r="K4479" s="28"/>
      <c r="L4479" s="28"/>
      <c r="M4479" s="28"/>
      <c r="N4479" s="28"/>
      <c r="O4479" s="28"/>
      <c r="P4479" s="28"/>
      <c r="Q4479" s="28"/>
      <c r="R4479" s="28"/>
      <c r="S4479" s="28"/>
    </row>
    <row r="4480" spans="1:19" x14ac:dyDescent="0.25">
      <c r="A4480" s="28"/>
      <c r="B4480" s="28"/>
      <c r="C4480" s="28"/>
      <c r="D4480" s="28"/>
      <c r="E4480" s="28"/>
      <c r="F4480" s="28"/>
      <c r="G4480" s="28"/>
      <c r="H4480" s="28"/>
      <c r="I4480" s="28"/>
      <c r="J4480" s="28"/>
      <c r="K4480" s="28"/>
      <c r="L4480" s="28"/>
      <c r="M4480" s="28"/>
      <c r="N4480" s="28"/>
      <c r="O4480" s="28"/>
      <c r="P4480" s="28"/>
      <c r="Q4480" s="28"/>
      <c r="R4480" s="28"/>
      <c r="S4480" s="28"/>
    </row>
    <row r="4481" spans="1:19" x14ac:dyDescent="0.25">
      <c r="A4481" s="28"/>
      <c r="B4481" s="28"/>
      <c r="C4481" s="28"/>
      <c r="D4481" s="28"/>
      <c r="E4481" s="28"/>
      <c r="F4481" s="28"/>
      <c r="G4481" s="28"/>
      <c r="H4481" s="28"/>
      <c r="I4481" s="28"/>
      <c r="J4481" s="28"/>
      <c r="K4481" s="28"/>
      <c r="L4481" s="28"/>
      <c r="M4481" s="28"/>
      <c r="N4481" s="28"/>
      <c r="O4481" s="28"/>
      <c r="P4481" s="28"/>
      <c r="Q4481" s="28"/>
      <c r="R4481" s="28"/>
      <c r="S4481" s="28"/>
    </row>
    <row r="4482" spans="1:19" x14ac:dyDescent="0.25">
      <c r="A4482" s="28"/>
      <c r="B4482" s="28"/>
      <c r="C4482" s="28"/>
      <c r="D4482" s="28"/>
      <c r="E4482" s="28"/>
      <c r="F4482" s="28"/>
      <c r="G4482" s="28"/>
      <c r="H4482" s="28"/>
      <c r="I4482" s="28"/>
      <c r="J4482" s="28"/>
      <c r="K4482" s="28"/>
      <c r="L4482" s="28"/>
      <c r="M4482" s="28"/>
      <c r="N4482" s="28"/>
      <c r="O4482" s="28"/>
      <c r="P4482" s="28"/>
      <c r="Q4482" s="28"/>
      <c r="R4482" s="28"/>
      <c r="S4482" s="28"/>
    </row>
    <row r="4483" spans="1:19" x14ac:dyDescent="0.25">
      <c r="A4483" s="28"/>
      <c r="B4483" s="28"/>
      <c r="C4483" s="28"/>
      <c r="D4483" s="28"/>
      <c r="E4483" s="28"/>
      <c r="F4483" s="28"/>
      <c r="G4483" s="28"/>
      <c r="H4483" s="28"/>
      <c r="I4483" s="28"/>
      <c r="J4483" s="28"/>
      <c r="K4483" s="28"/>
      <c r="L4483" s="28"/>
      <c r="M4483" s="28"/>
      <c r="N4483" s="28"/>
      <c r="O4483" s="28"/>
      <c r="P4483" s="28"/>
      <c r="Q4483" s="28"/>
      <c r="R4483" s="28"/>
      <c r="S4483" s="28"/>
    </row>
    <row r="4484" spans="1:19" x14ac:dyDescent="0.25">
      <c r="A4484" s="28"/>
      <c r="B4484" s="28"/>
      <c r="C4484" s="28"/>
      <c r="D4484" s="28"/>
      <c r="E4484" s="28"/>
      <c r="F4484" s="28"/>
      <c r="G4484" s="28"/>
      <c r="H4484" s="28"/>
      <c r="I4484" s="28"/>
      <c r="J4484" s="28"/>
      <c r="K4484" s="28"/>
      <c r="L4484" s="28"/>
      <c r="M4484" s="28"/>
      <c r="N4484" s="28"/>
      <c r="O4484" s="28"/>
      <c r="P4484" s="28"/>
      <c r="Q4484" s="28"/>
      <c r="R4484" s="28"/>
      <c r="S4484" s="28"/>
    </row>
    <row r="4485" spans="1:19" x14ac:dyDescent="0.25">
      <c r="A4485" s="28"/>
      <c r="B4485" s="28"/>
      <c r="C4485" s="28"/>
      <c r="D4485" s="28"/>
      <c r="E4485" s="28"/>
      <c r="F4485" s="28"/>
      <c r="G4485" s="28"/>
      <c r="H4485" s="28"/>
      <c r="I4485" s="28"/>
      <c r="J4485" s="28"/>
      <c r="K4485" s="28"/>
      <c r="L4485" s="28"/>
      <c r="M4485" s="28"/>
      <c r="N4485" s="28"/>
      <c r="O4485" s="28"/>
      <c r="P4485" s="28"/>
      <c r="Q4485" s="28"/>
      <c r="R4485" s="28"/>
      <c r="S4485" s="28"/>
    </row>
    <row r="4486" spans="1:19" x14ac:dyDescent="0.25">
      <c r="A4486" s="28"/>
      <c r="B4486" s="28"/>
      <c r="C4486" s="28"/>
      <c r="D4486" s="28"/>
      <c r="E4486" s="28"/>
      <c r="F4486" s="28"/>
      <c r="G4486" s="28"/>
      <c r="H4486" s="28"/>
      <c r="I4486" s="28"/>
      <c r="J4486" s="28"/>
      <c r="K4486" s="28"/>
      <c r="L4486" s="28"/>
      <c r="M4486" s="28"/>
      <c r="N4486" s="28"/>
      <c r="O4486" s="28"/>
      <c r="P4486" s="28"/>
      <c r="Q4486" s="28"/>
      <c r="R4486" s="28"/>
      <c r="S4486" s="28"/>
    </row>
    <row r="4487" spans="1:19" x14ac:dyDescent="0.25">
      <c r="A4487" s="28"/>
      <c r="B4487" s="28"/>
      <c r="C4487" s="28"/>
      <c r="D4487" s="28"/>
      <c r="E4487" s="28"/>
      <c r="F4487" s="28"/>
      <c r="G4487" s="28"/>
      <c r="H4487" s="28"/>
      <c r="I4487" s="28"/>
      <c r="J4487" s="28"/>
      <c r="K4487" s="28"/>
      <c r="L4487" s="28"/>
      <c r="M4487" s="28"/>
      <c r="N4487" s="28"/>
      <c r="O4487" s="28"/>
      <c r="P4487" s="28"/>
      <c r="Q4487" s="28"/>
      <c r="R4487" s="28"/>
      <c r="S4487" s="28"/>
    </row>
    <row r="4488" spans="1:19" x14ac:dyDescent="0.25">
      <c r="A4488" s="28"/>
      <c r="B4488" s="28"/>
      <c r="C4488" s="28"/>
      <c r="D4488" s="28"/>
      <c r="E4488" s="28"/>
      <c r="F4488" s="28"/>
      <c r="G4488" s="28"/>
      <c r="H4488" s="28"/>
      <c r="I4488" s="28"/>
      <c r="J4488" s="28"/>
      <c r="K4488" s="28"/>
      <c r="L4488" s="28"/>
      <c r="M4488" s="28"/>
      <c r="N4488" s="28"/>
      <c r="O4488" s="28"/>
      <c r="P4488" s="28"/>
      <c r="Q4488" s="28"/>
      <c r="R4488" s="28"/>
      <c r="S4488" s="28"/>
    </row>
    <row r="4489" spans="1:19" x14ac:dyDescent="0.25">
      <c r="A4489" s="28"/>
      <c r="B4489" s="28"/>
      <c r="C4489" s="28"/>
      <c r="D4489" s="28"/>
      <c r="E4489" s="28"/>
      <c r="F4489" s="28"/>
      <c r="G4489" s="28"/>
      <c r="H4489" s="28"/>
      <c r="I4489" s="28"/>
      <c r="J4489" s="28"/>
      <c r="K4489" s="28"/>
      <c r="L4489" s="28"/>
      <c r="M4489" s="28"/>
      <c r="N4489" s="28"/>
      <c r="O4489" s="28"/>
      <c r="P4489" s="28"/>
      <c r="Q4489" s="28"/>
      <c r="R4489" s="28"/>
      <c r="S4489" s="28"/>
    </row>
    <row r="4490" spans="1:19" x14ac:dyDescent="0.25">
      <c r="A4490" s="28"/>
      <c r="B4490" s="28"/>
      <c r="C4490" s="28"/>
      <c r="D4490" s="28"/>
      <c r="E4490" s="28"/>
      <c r="F4490" s="28"/>
      <c r="G4490" s="28"/>
      <c r="H4490" s="28"/>
      <c r="I4490" s="28"/>
      <c r="J4490" s="28"/>
      <c r="K4490" s="28"/>
      <c r="L4490" s="28"/>
      <c r="M4490" s="28"/>
      <c r="N4490" s="28"/>
      <c r="O4490" s="28"/>
      <c r="P4490" s="28"/>
      <c r="Q4490" s="28"/>
      <c r="R4490" s="28"/>
      <c r="S4490" s="28"/>
    </row>
    <row r="4491" spans="1:19" x14ac:dyDescent="0.25">
      <c r="A4491" s="28"/>
      <c r="B4491" s="28"/>
      <c r="C4491" s="28"/>
      <c r="D4491" s="28"/>
      <c r="E4491" s="28"/>
      <c r="F4491" s="28"/>
      <c r="G4491" s="28"/>
      <c r="H4491" s="28"/>
      <c r="I4491" s="28"/>
      <c r="J4491" s="28"/>
      <c r="K4491" s="28"/>
      <c r="L4491" s="28"/>
      <c r="M4491" s="28"/>
      <c r="N4491" s="28"/>
      <c r="O4491" s="28"/>
      <c r="P4491" s="28"/>
      <c r="Q4491" s="28"/>
      <c r="R4491" s="28"/>
      <c r="S4491" s="28"/>
    </row>
    <row r="4492" spans="1:19" x14ac:dyDescent="0.25">
      <c r="A4492" s="28"/>
      <c r="B4492" s="28"/>
      <c r="C4492" s="28"/>
      <c r="D4492" s="28"/>
      <c r="E4492" s="28"/>
      <c r="F4492" s="28"/>
      <c r="G4492" s="28"/>
      <c r="H4492" s="28"/>
      <c r="I4492" s="28"/>
      <c r="J4492" s="28"/>
      <c r="K4492" s="28"/>
      <c r="L4492" s="28"/>
      <c r="M4492" s="28"/>
      <c r="N4492" s="28"/>
      <c r="O4492" s="28"/>
      <c r="P4492" s="28"/>
      <c r="Q4492" s="28"/>
      <c r="R4492" s="28"/>
      <c r="S4492" s="28"/>
    </row>
    <row r="4493" spans="1:19" x14ac:dyDescent="0.25">
      <c r="A4493" s="28"/>
      <c r="B4493" s="28"/>
      <c r="C4493" s="28"/>
      <c r="D4493" s="28"/>
      <c r="E4493" s="28"/>
      <c r="F4493" s="28"/>
      <c r="G4493" s="28"/>
      <c r="H4493" s="28"/>
      <c r="I4493" s="28"/>
      <c r="J4493" s="28"/>
      <c r="K4493" s="28"/>
      <c r="L4493" s="28"/>
      <c r="M4493" s="28"/>
      <c r="N4493" s="28"/>
      <c r="O4493" s="28"/>
      <c r="P4493" s="28"/>
      <c r="Q4493" s="28"/>
      <c r="R4493" s="28"/>
      <c r="S4493" s="28"/>
    </row>
    <row r="4494" spans="1:19" x14ac:dyDescent="0.25">
      <c r="A4494" s="28"/>
      <c r="B4494" s="28"/>
      <c r="C4494" s="28"/>
      <c r="D4494" s="28"/>
      <c r="E4494" s="28"/>
      <c r="F4494" s="28"/>
      <c r="G4494" s="28"/>
      <c r="H4494" s="28"/>
      <c r="I4494" s="28"/>
      <c r="J4494" s="28"/>
      <c r="K4494" s="28"/>
      <c r="L4494" s="28"/>
      <c r="M4494" s="28"/>
      <c r="N4494" s="28"/>
      <c r="O4494" s="28"/>
      <c r="P4494" s="28"/>
      <c r="Q4494" s="28"/>
      <c r="R4494" s="28"/>
      <c r="S4494" s="28"/>
    </row>
    <row r="4495" spans="1:19" x14ac:dyDescent="0.25">
      <c r="A4495" s="28"/>
      <c r="B4495" s="28"/>
      <c r="C4495" s="28"/>
      <c r="D4495" s="28"/>
      <c r="E4495" s="28"/>
      <c r="F4495" s="28"/>
      <c r="G4495" s="28"/>
      <c r="H4495" s="28"/>
      <c r="I4495" s="28"/>
      <c r="J4495" s="28"/>
      <c r="K4495" s="28"/>
      <c r="L4495" s="28"/>
      <c r="M4495" s="28"/>
      <c r="N4495" s="28"/>
      <c r="O4495" s="28"/>
      <c r="P4495" s="28"/>
      <c r="Q4495" s="28"/>
      <c r="R4495" s="28"/>
      <c r="S4495" s="28"/>
    </row>
    <row r="4496" spans="1:19" x14ac:dyDescent="0.25">
      <c r="A4496" s="28"/>
      <c r="B4496" s="28"/>
      <c r="C4496" s="28"/>
      <c r="D4496" s="28"/>
      <c r="E4496" s="28"/>
      <c r="F4496" s="28"/>
      <c r="G4496" s="28"/>
      <c r="H4496" s="28"/>
      <c r="I4496" s="28"/>
      <c r="J4496" s="28"/>
      <c r="K4496" s="28"/>
      <c r="L4496" s="28"/>
      <c r="M4496" s="28"/>
      <c r="N4496" s="28"/>
      <c r="O4496" s="28"/>
      <c r="P4496" s="28"/>
      <c r="Q4496" s="28"/>
      <c r="R4496" s="28"/>
      <c r="S4496" s="28"/>
    </row>
    <row r="4497" spans="1:19" x14ac:dyDescent="0.25">
      <c r="A4497" s="28"/>
      <c r="B4497" s="28"/>
      <c r="C4497" s="28"/>
      <c r="D4497" s="28"/>
      <c r="E4497" s="28"/>
      <c r="F4497" s="28"/>
      <c r="G4497" s="28"/>
      <c r="H4497" s="28"/>
      <c r="I4497" s="28"/>
      <c r="J4497" s="28"/>
      <c r="K4497" s="28"/>
      <c r="L4497" s="28"/>
      <c r="M4497" s="28"/>
      <c r="N4497" s="28"/>
      <c r="O4497" s="28"/>
      <c r="P4497" s="28"/>
      <c r="Q4497" s="28"/>
      <c r="R4497" s="28"/>
      <c r="S4497" s="28"/>
    </row>
    <row r="4498" spans="1:19" x14ac:dyDescent="0.25">
      <c r="A4498" s="28"/>
      <c r="B4498" s="28"/>
      <c r="C4498" s="28"/>
      <c r="D4498" s="28"/>
      <c r="E4498" s="28"/>
      <c r="F4498" s="28"/>
      <c r="G4498" s="28"/>
      <c r="H4498" s="28"/>
      <c r="I4498" s="28"/>
      <c r="J4498" s="28"/>
      <c r="K4498" s="28"/>
      <c r="L4498" s="28"/>
      <c r="M4498" s="28"/>
      <c r="N4498" s="28"/>
      <c r="O4498" s="28"/>
      <c r="P4498" s="28"/>
      <c r="Q4498" s="28"/>
      <c r="R4498" s="28"/>
      <c r="S4498" s="28"/>
    </row>
    <row r="4499" spans="1:19" x14ac:dyDescent="0.25">
      <c r="A4499" s="28"/>
      <c r="B4499" s="28"/>
      <c r="C4499" s="28"/>
      <c r="D4499" s="28"/>
      <c r="E4499" s="28"/>
      <c r="F4499" s="28"/>
      <c r="G4499" s="28"/>
      <c r="H4499" s="28"/>
      <c r="I4499" s="28"/>
      <c r="J4499" s="28"/>
      <c r="K4499" s="28"/>
      <c r="L4499" s="28"/>
      <c r="M4499" s="28"/>
      <c r="N4499" s="28"/>
      <c r="O4499" s="28"/>
      <c r="P4499" s="28"/>
      <c r="Q4499" s="28"/>
      <c r="R4499" s="28"/>
      <c r="S4499" s="28"/>
    </row>
    <row r="4500" spans="1:19" x14ac:dyDescent="0.25">
      <c r="A4500" s="28"/>
      <c r="B4500" s="28"/>
      <c r="C4500" s="28"/>
      <c r="D4500" s="28"/>
      <c r="E4500" s="28"/>
      <c r="F4500" s="28"/>
      <c r="G4500" s="28"/>
      <c r="H4500" s="28"/>
      <c r="I4500" s="28"/>
      <c r="J4500" s="28"/>
      <c r="K4500" s="28"/>
      <c r="L4500" s="28"/>
      <c r="M4500" s="28"/>
      <c r="N4500" s="28"/>
      <c r="O4500" s="28"/>
      <c r="P4500" s="28"/>
      <c r="Q4500" s="28"/>
      <c r="R4500" s="28"/>
      <c r="S4500" s="28"/>
    </row>
    <row r="4501" spans="1:19" x14ac:dyDescent="0.25">
      <c r="A4501" s="28"/>
      <c r="B4501" s="28"/>
      <c r="C4501" s="28"/>
      <c r="D4501" s="28"/>
      <c r="E4501" s="28"/>
      <c r="F4501" s="28"/>
      <c r="G4501" s="28"/>
      <c r="H4501" s="28"/>
      <c r="I4501" s="28"/>
      <c r="J4501" s="28"/>
      <c r="K4501" s="28"/>
      <c r="L4501" s="28"/>
      <c r="M4501" s="28"/>
      <c r="N4501" s="28"/>
      <c r="O4501" s="28"/>
      <c r="P4501" s="28"/>
      <c r="Q4501" s="28"/>
      <c r="R4501" s="28"/>
      <c r="S4501" s="28"/>
    </row>
    <row r="4502" spans="1:19" x14ac:dyDescent="0.25">
      <c r="A4502" s="28"/>
      <c r="B4502" s="28"/>
      <c r="C4502" s="28"/>
      <c r="D4502" s="28"/>
      <c r="E4502" s="28"/>
      <c r="F4502" s="28"/>
      <c r="G4502" s="28"/>
      <c r="H4502" s="28"/>
      <c r="I4502" s="28"/>
      <c r="J4502" s="28"/>
      <c r="K4502" s="28"/>
      <c r="L4502" s="28"/>
      <c r="M4502" s="28"/>
      <c r="N4502" s="28"/>
      <c r="O4502" s="28"/>
      <c r="P4502" s="28"/>
      <c r="Q4502" s="28"/>
      <c r="R4502" s="28"/>
      <c r="S4502" s="28"/>
    </row>
    <row r="4503" spans="1:19" x14ac:dyDescent="0.25">
      <c r="A4503" s="28"/>
      <c r="B4503" s="28"/>
      <c r="C4503" s="28"/>
      <c r="D4503" s="28"/>
      <c r="E4503" s="28"/>
      <c r="F4503" s="28"/>
      <c r="G4503" s="28"/>
      <c r="H4503" s="28"/>
      <c r="I4503" s="28"/>
      <c r="J4503" s="28"/>
      <c r="K4503" s="28"/>
      <c r="L4503" s="28"/>
      <c r="M4503" s="28"/>
      <c r="N4503" s="28"/>
      <c r="O4503" s="28"/>
      <c r="P4503" s="28"/>
      <c r="Q4503" s="28"/>
      <c r="R4503" s="28"/>
      <c r="S4503" s="28"/>
    </row>
    <row r="4504" spans="1:19" x14ac:dyDescent="0.25">
      <c r="A4504" s="28"/>
      <c r="B4504" s="28"/>
      <c r="C4504" s="28"/>
      <c r="D4504" s="28"/>
      <c r="E4504" s="28"/>
      <c r="F4504" s="28"/>
      <c r="G4504" s="28"/>
      <c r="H4504" s="28"/>
      <c r="I4504" s="28"/>
      <c r="J4504" s="28"/>
      <c r="K4504" s="28"/>
      <c r="L4504" s="28"/>
      <c r="M4504" s="28"/>
      <c r="N4504" s="28"/>
      <c r="O4504" s="28"/>
      <c r="P4504" s="28"/>
      <c r="Q4504" s="28"/>
      <c r="R4504" s="28"/>
      <c r="S4504" s="28"/>
    </row>
    <row r="4505" spans="1:19" x14ac:dyDescent="0.25">
      <c r="A4505" s="28"/>
      <c r="B4505" s="28"/>
      <c r="C4505" s="28"/>
      <c r="D4505" s="28"/>
      <c r="E4505" s="28"/>
      <c r="F4505" s="28"/>
      <c r="G4505" s="28"/>
      <c r="H4505" s="28"/>
      <c r="I4505" s="28"/>
      <c r="J4505" s="28"/>
      <c r="K4505" s="28"/>
      <c r="L4505" s="28"/>
      <c r="M4505" s="28"/>
      <c r="N4505" s="28"/>
      <c r="O4505" s="28"/>
      <c r="P4505" s="28"/>
      <c r="Q4505" s="28"/>
      <c r="R4505" s="28"/>
      <c r="S4505" s="28"/>
    </row>
    <row r="4506" spans="1:19" x14ac:dyDescent="0.25">
      <c r="A4506" s="28"/>
      <c r="B4506" s="28"/>
      <c r="C4506" s="28"/>
      <c r="D4506" s="28"/>
      <c r="E4506" s="28"/>
      <c r="F4506" s="28"/>
      <c r="G4506" s="28"/>
      <c r="H4506" s="28"/>
      <c r="I4506" s="28"/>
      <c r="J4506" s="28"/>
      <c r="K4506" s="28"/>
      <c r="L4506" s="28"/>
      <c r="M4506" s="28"/>
      <c r="N4506" s="28"/>
      <c r="O4506" s="28"/>
      <c r="P4506" s="28"/>
      <c r="Q4506" s="28"/>
      <c r="R4506" s="28"/>
      <c r="S4506" s="28"/>
    </row>
    <row r="4507" spans="1:19" x14ac:dyDescent="0.25">
      <c r="A4507" s="28"/>
      <c r="B4507" s="28"/>
      <c r="C4507" s="28"/>
      <c r="D4507" s="28"/>
      <c r="E4507" s="28"/>
      <c r="F4507" s="28"/>
      <c r="G4507" s="28"/>
      <c r="H4507" s="28"/>
      <c r="I4507" s="28"/>
      <c r="J4507" s="28"/>
      <c r="K4507" s="28"/>
      <c r="L4507" s="28"/>
      <c r="M4507" s="28"/>
      <c r="N4507" s="28"/>
      <c r="O4507" s="28"/>
      <c r="P4507" s="28"/>
      <c r="Q4507" s="28"/>
      <c r="R4507" s="28"/>
      <c r="S4507" s="28"/>
    </row>
    <row r="4508" spans="1:19" x14ac:dyDescent="0.25">
      <c r="A4508" s="28"/>
      <c r="B4508" s="28"/>
      <c r="C4508" s="28"/>
      <c r="D4508" s="28"/>
      <c r="E4508" s="28"/>
      <c r="F4508" s="28"/>
      <c r="G4508" s="28"/>
      <c r="H4508" s="28"/>
      <c r="I4508" s="28"/>
      <c r="J4508" s="28"/>
      <c r="K4508" s="28"/>
      <c r="L4508" s="28"/>
      <c r="M4508" s="28"/>
      <c r="N4508" s="28"/>
      <c r="O4508" s="28"/>
      <c r="P4508" s="28"/>
      <c r="Q4508" s="28"/>
      <c r="R4508" s="28"/>
      <c r="S4508" s="28"/>
    </row>
    <row r="4509" spans="1:19" x14ac:dyDescent="0.25">
      <c r="A4509" s="28"/>
      <c r="B4509" s="28"/>
      <c r="C4509" s="28"/>
      <c r="D4509" s="28"/>
      <c r="E4509" s="28"/>
      <c r="F4509" s="28"/>
      <c r="G4509" s="28"/>
      <c r="H4509" s="28"/>
      <c r="I4509" s="28"/>
      <c r="J4509" s="28"/>
      <c r="K4509" s="28"/>
      <c r="L4509" s="28"/>
      <c r="M4509" s="28"/>
      <c r="N4509" s="28"/>
      <c r="O4509" s="28"/>
      <c r="P4509" s="28"/>
      <c r="Q4509" s="28"/>
      <c r="R4509" s="28"/>
      <c r="S4509" s="28"/>
    </row>
    <row r="4510" spans="1:19" x14ac:dyDescent="0.25">
      <c r="A4510" s="28"/>
      <c r="B4510" s="28"/>
      <c r="C4510" s="28"/>
      <c r="D4510" s="28"/>
      <c r="E4510" s="28"/>
      <c r="F4510" s="28"/>
      <c r="G4510" s="28"/>
      <c r="H4510" s="28"/>
      <c r="I4510" s="28"/>
      <c r="J4510" s="28"/>
      <c r="K4510" s="28"/>
      <c r="L4510" s="28"/>
      <c r="M4510" s="28"/>
      <c r="N4510" s="28"/>
      <c r="O4510" s="28"/>
      <c r="P4510" s="28"/>
      <c r="Q4510" s="28"/>
      <c r="R4510" s="28"/>
      <c r="S4510" s="28"/>
    </row>
    <row r="4511" spans="1:19" x14ac:dyDescent="0.25">
      <c r="A4511" s="28"/>
      <c r="B4511" s="28"/>
      <c r="C4511" s="28"/>
      <c r="D4511" s="28"/>
      <c r="E4511" s="28"/>
      <c r="F4511" s="28"/>
      <c r="G4511" s="28"/>
      <c r="H4511" s="28"/>
      <c r="I4511" s="28"/>
      <c r="J4511" s="28"/>
      <c r="K4511" s="28"/>
      <c r="L4511" s="28"/>
      <c r="M4511" s="28"/>
      <c r="N4511" s="28"/>
      <c r="O4511" s="28"/>
      <c r="P4511" s="28"/>
      <c r="Q4511" s="28"/>
      <c r="R4511" s="28"/>
      <c r="S4511" s="28"/>
    </row>
    <row r="4512" spans="1:19" x14ac:dyDescent="0.25">
      <c r="A4512" s="28"/>
      <c r="B4512" s="28"/>
      <c r="C4512" s="28"/>
      <c r="D4512" s="28"/>
      <c r="E4512" s="28"/>
      <c r="F4512" s="28"/>
      <c r="G4512" s="28"/>
      <c r="H4512" s="28"/>
      <c r="I4512" s="28"/>
      <c r="J4512" s="28"/>
      <c r="K4512" s="28"/>
      <c r="L4512" s="28"/>
      <c r="M4512" s="28"/>
      <c r="N4512" s="28"/>
      <c r="O4512" s="28"/>
      <c r="P4512" s="28"/>
      <c r="Q4512" s="28"/>
      <c r="R4512" s="28"/>
      <c r="S4512" s="28"/>
    </row>
    <row r="4513" spans="1:19" x14ac:dyDescent="0.25">
      <c r="A4513" s="28"/>
      <c r="B4513" s="28"/>
      <c r="C4513" s="28"/>
      <c r="D4513" s="28"/>
      <c r="E4513" s="28"/>
      <c r="F4513" s="28"/>
      <c r="G4513" s="28"/>
      <c r="H4513" s="28"/>
      <c r="I4513" s="28"/>
      <c r="J4513" s="28"/>
      <c r="K4513" s="28"/>
      <c r="L4513" s="28"/>
      <c r="M4513" s="28"/>
      <c r="N4513" s="28"/>
      <c r="O4513" s="28"/>
      <c r="P4513" s="28"/>
      <c r="Q4513" s="28"/>
      <c r="R4513" s="28"/>
      <c r="S4513" s="28"/>
    </row>
    <row r="4514" spans="1:19" x14ac:dyDescent="0.25">
      <c r="A4514" s="28"/>
      <c r="B4514" s="28"/>
      <c r="C4514" s="28"/>
      <c r="D4514" s="28"/>
      <c r="E4514" s="28"/>
      <c r="F4514" s="28"/>
      <c r="G4514" s="28"/>
      <c r="H4514" s="28"/>
      <c r="I4514" s="28"/>
      <c r="J4514" s="28"/>
      <c r="K4514" s="28"/>
      <c r="L4514" s="28"/>
      <c r="M4514" s="28"/>
      <c r="N4514" s="28"/>
      <c r="O4514" s="28"/>
      <c r="P4514" s="28"/>
      <c r="Q4514" s="28"/>
      <c r="R4514" s="28"/>
      <c r="S4514" s="28"/>
    </row>
    <row r="4515" spans="1:19" x14ac:dyDescent="0.25">
      <c r="A4515" s="28"/>
      <c r="B4515" s="28"/>
      <c r="C4515" s="28"/>
      <c r="D4515" s="28"/>
      <c r="E4515" s="28"/>
      <c r="F4515" s="28"/>
      <c r="G4515" s="28"/>
      <c r="H4515" s="28"/>
      <c r="I4515" s="28"/>
      <c r="J4515" s="28"/>
      <c r="K4515" s="28"/>
      <c r="L4515" s="28"/>
      <c r="M4515" s="28"/>
      <c r="N4515" s="28"/>
      <c r="O4515" s="28"/>
      <c r="P4515" s="28"/>
      <c r="Q4515" s="28"/>
      <c r="R4515" s="28"/>
      <c r="S4515" s="28"/>
    </row>
    <row r="4516" spans="1:19" x14ac:dyDescent="0.25">
      <c r="A4516" s="28"/>
      <c r="B4516" s="28"/>
      <c r="C4516" s="28"/>
      <c r="D4516" s="28"/>
      <c r="E4516" s="28"/>
      <c r="F4516" s="28"/>
      <c r="G4516" s="28"/>
      <c r="H4516" s="28"/>
      <c r="I4516" s="28"/>
      <c r="J4516" s="28"/>
      <c r="K4516" s="28"/>
      <c r="L4516" s="28"/>
      <c r="M4516" s="28"/>
      <c r="N4516" s="28"/>
      <c r="O4516" s="28"/>
      <c r="P4516" s="28"/>
      <c r="Q4516" s="28"/>
      <c r="R4516" s="28"/>
      <c r="S4516" s="28"/>
    </row>
    <row r="4517" spans="1:19" x14ac:dyDescent="0.25">
      <c r="A4517" s="28"/>
      <c r="B4517" s="28"/>
      <c r="C4517" s="28"/>
      <c r="D4517" s="28"/>
      <c r="E4517" s="28"/>
      <c r="F4517" s="28"/>
      <c r="G4517" s="28"/>
      <c r="H4517" s="28"/>
      <c r="I4517" s="28"/>
      <c r="J4517" s="28"/>
      <c r="K4517" s="28"/>
      <c r="L4517" s="28"/>
      <c r="M4517" s="28"/>
      <c r="N4517" s="28"/>
      <c r="O4517" s="28"/>
      <c r="P4517" s="28"/>
      <c r="Q4517" s="28"/>
      <c r="R4517" s="28"/>
      <c r="S4517" s="28"/>
    </row>
    <row r="4518" spans="1:19" x14ac:dyDescent="0.25">
      <c r="A4518" s="28"/>
      <c r="B4518" s="28"/>
      <c r="C4518" s="28"/>
      <c r="D4518" s="28"/>
      <c r="E4518" s="28"/>
      <c r="F4518" s="28"/>
      <c r="G4518" s="28"/>
      <c r="H4518" s="28"/>
      <c r="I4518" s="28"/>
      <c r="J4518" s="28"/>
      <c r="K4518" s="28"/>
      <c r="L4518" s="28"/>
      <c r="M4518" s="28"/>
      <c r="N4518" s="28"/>
      <c r="O4518" s="28"/>
      <c r="P4518" s="28"/>
      <c r="Q4518" s="28"/>
      <c r="R4518" s="28"/>
      <c r="S4518" s="28"/>
    </row>
    <row r="4519" spans="1:19" x14ac:dyDescent="0.25">
      <c r="A4519" s="28"/>
      <c r="B4519" s="28"/>
      <c r="C4519" s="28"/>
      <c r="D4519" s="28"/>
      <c r="E4519" s="28"/>
      <c r="F4519" s="28"/>
      <c r="G4519" s="28"/>
      <c r="H4519" s="28"/>
      <c r="I4519" s="28"/>
      <c r="J4519" s="28"/>
      <c r="K4519" s="28"/>
      <c r="L4519" s="28"/>
      <c r="M4519" s="28"/>
      <c r="N4519" s="28"/>
      <c r="O4519" s="28"/>
      <c r="P4519" s="28"/>
      <c r="Q4519" s="28"/>
      <c r="R4519" s="28"/>
      <c r="S4519" s="28"/>
    </row>
    <row r="4520" spans="1:19" x14ac:dyDescent="0.25">
      <c r="A4520" s="28"/>
      <c r="B4520" s="28"/>
      <c r="C4520" s="28"/>
      <c r="D4520" s="28"/>
      <c r="E4520" s="28"/>
      <c r="F4520" s="28"/>
      <c r="G4520" s="28"/>
      <c r="H4520" s="28"/>
      <c r="I4520" s="28"/>
      <c r="J4520" s="28"/>
      <c r="K4520" s="28"/>
      <c r="L4520" s="28"/>
      <c r="M4520" s="28"/>
      <c r="N4520" s="28"/>
      <c r="O4520" s="28"/>
      <c r="P4520" s="28"/>
      <c r="Q4520" s="28"/>
      <c r="R4520" s="28"/>
      <c r="S4520" s="28"/>
    </row>
    <row r="4521" spans="1:19" x14ac:dyDescent="0.25">
      <c r="A4521" s="28"/>
      <c r="B4521" s="28"/>
      <c r="C4521" s="28"/>
      <c r="D4521" s="28"/>
      <c r="E4521" s="28"/>
      <c r="F4521" s="28"/>
      <c r="G4521" s="28"/>
      <c r="H4521" s="28"/>
      <c r="I4521" s="28"/>
      <c r="J4521" s="28"/>
      <c r="K4521" s="28"/>
      <c r="L4521" s="28"/>
      <c r="M4521" s="28"/>
      <c r="N4521" s="28"/>
      <c r="O4521" s="28"/>
      <c r="P4521" s="28"/>
      <c r="Q4521" s="28"/>
      <c r="R4521" s="28"/>
      <c r="S4521" s="28"/>
    </row>
    <row r="4522" spans="1:19" x14ac:dyDescent="0.25">
      <c r="A4522" s="28"/>
      <c r="B4522" s="28"/>
      <c r="C4522" s="28"/>
      <c r="D4522" s="28"/>
      <c r="E4522" s="28"/>
      <c r="F4522" s="28"/>
      <c r="G4522" s="28"/>
      <c r="H4522" s="28"/>
      <c r="I4522" s="28"/>
      <c r="J4522" s="28"/>
      <c r="K4522" s="28"/>
      <c r="L4522" s="28"/>
      <c r="M4522" s="28"/>
      <c r="N4522" s="28"/>
      <c r="O4522" s="28"/>
      <c r="P4522" s="28"/>
      <c r="Q4522" s="28"/>
      <c r="R4522" s="28"/>
      <c r="S4522" s="28"/>
    </row>
    <row r="4523" spans="1:19" x14ac:dyDescent="0.25">
      <c r="A4523" s="28"/>
      <c r="B4523" s="28"/>
      <c r="C4523" s="28"/>
      <c r="D4523" s="28"/>
      <c r="E4523" s="28"/>
      <c r="F4523" s="28"/>
      <c r="G4523" s="28"/>
      <c r="H4523" s="28"/>
      <c r="I4523" s="28"/>
      <c r="J4523" s="28"/>
      <c r="K4523" s="28"/>
      <c r="L4523" s="28"/>
      <c r="M4523" s="28"/>
      <c r="N4523" s="28"/>
      <c r="O4523" s="28"/>
      <c r="P4523" s="28"/>
      <c r="Q4523" s="28"/>
      <c r="R4523" s="28"/>
      <c r="S4523" s="28"/>
    </row>
    <row r="4524" spans="1:19" x14ac:dyDescent="0.25">
      <c r="A4524" s="28"/>
      <c r="B4524" s="28"/>
      <c r="C4524" s="28"/>
      <c r="D4524" s="28"/>
      <c r="E4524" s="28"/>
      <c r="F4524" s="28"/>
      <c r="G4524" s="28"/>
      <c r="H4524" s="28"/>
      <c r="I4524" s="28"/>
      <c r="J4524" s="28"/>
      <c r="K4524" s="28"/>
      <c r="L4524" s="28"/>
      <c r="M4524" s="28"/>
      <c r="N4524" s="28"/>
      <c r="O4524" s="28"/>
      <c r="P4524" s="28"/>
      <c r="Q4524" s="28"/>
      <c r="R4524" s="28"/>
      <c r="S4524" s="28"/>
    </row>
    <row r="4525" spans="1:19" x14ac:dyDescent="0.25">
      <c r="A4525" s="28"/>
      <c r="B4525" s="28"/>
      <c r="C4525" s="28"/>
      <c r="D4525" s="28"/>
      <c r="E4525" s="28"/>
      <c r="F4525" s="28"/>
      <c r="G4525" s="28"/>
      <c r="H4525" s="28"/>
      <c r="I4525" s="28"/>
      <c r="J4525" s="28"/>
      <c r="K4525" s="28"/>
      <c r="L4525" s="28"/>
      <c r="M4525" s="28"/>
      <c r="N4525" s="28"/>
      <c r="O4525" s="28"/>
      <c r="P4525" s="28"/>
      <c r="Q4525" s="28"/>
      <c r="R4525" s="28"/>
      <c r="S4525" s="28"/>
    </row>
    <row r="4526" spans="1:19" x14ac:dyDescent="0.25">
      <c r="A4526" s="28"/>
      <c r="B4526" s="28"/>
      <c r="C4526" s="28"/>
      <c r="D4526" s="28"/>
      <c r="E4526" s="28"/>
      <c r="F4526" s="28"/>
      <c r="G4526" s="28"/>
      <c r="H4526" s="28"/>
      <c r="I4526" s="28"/>
      <c r="J4526" s="28"/>
      <c r="K4526" s="28"/>
      <c r="L4526" s="28"/>
      <c r="M4526" s="28"/>
      <c r="N4526" s="28"/>
      <c r="O4526" s="28"/>
      <c r="P4526" s="28"/>
      <c r="Q4526" s="28"/>
      <c r="R4526" s="28"/>
      <c r="S4526" s="28"/>
    </row>
    <row r="4527" spans="1:19" x14ac:dyDescent="0.25">
      <c r="A4527" s="28"/>
      <c r="B4527" s="28"/>
      <c r="C4527" s="28"/>
      <c r="D4527" s="28"/>
      <c r="E4527" s="28"/>
      <c r="F4527" s="28"/>
      <c r="G4527" s="28"/>
      <c r="H4527" s="28"/>
      <c r="I4527" s="28"/>
      <c r="J4527" s="28"/>
      <c r="K4527" s="28"/>
      <c r="L4527" s="28"/>
      <c r="M4527" s="28"/>
      <c r="N4527" s="28"/>
      <c r="O4527" s="28"/>
      <c r="P4527" s="28"/>
      <c r="Q4527" s="28"/>
      <c r="R4527" s="28"/>
      <c r="S4527" s="28"/>
    </row>
    <row r="4528" spans="1:19" x14ac:dyDescent="0.25">
      <c r="A4528" s="28"/>
      <c r="B4528" s="28"/>
      <c r="C4528" s="28"/>
      <c r="D4528" s="28"/>
      <c r="E4528" s="28"/>
      <c r="F4528" s="28"/>
      <c r="G4528" s="28"/>
      <c r="H4528" s="28"/>
      <c r="I4528" s="28"/>
      <c r="J4528" s="28"/>
      <c r="K4528" s="28"/>
      <c r="L4528" s="28"/>
      <c r="M4528" s="28"/>
      <c r="N4528" s="28"/>
      <c r="O4528" s="28"/>
      <c r="P4528" s="28"/>
      <c r="Q4528" s="28"/>
      <c r="R4528" s="28"/>
      <c r="S4528" s="28"/>
    </row>
    <row r="4529" spans="1:19" x14ac:dyDescent="0.25">
      <c r="A4529" s="28"/>
      <c r="B4529" s="28"/>
      <c r="C4529" s="28"/>
      <c r="D4529" s="28"/>
      <c r="E4529" s="28"/>
      <c r="F4529" s="28"/>
      <c r="G4529" s="28"/>
      <c r="H4529" s="28"/>
      <c r="I4529" s="28"/>
      <c r="J4529" s="28"/>
      <c r="K4529" s="28"/>
      <c r="L4529" s="28"/>
      <c r="M4529" s="28"/>
      <c r="N4529" s="28"/>
      <c r="O4529" s="28"/>
      <c r="P4529" s="28"/>
      <c r="Q4529" s="28"/>
      <c r="R4529" s="28"/>
      <c r="S4529" s="28"/>
    </row>
    <row r="4530" spans="1:19" x14ac:dyDescent="0.25">
      <c r="A4530" s="28"/>
      <c r="B4530" s="28"/>
      <c r="C4530" s="28"/>
      <c r="D4530" s="28"/>
      <c r="E4530" s="28"/>
      <c r="F4530" s="28"/>
      <c r="G4530" s="28"/>
      <c r="H4530" s="28"/>
      <c r="I4530" s="28"/>
      <c r="J4530" s="28"/>
      <c r="K4530" s="28"/>
      <c r="L4530" s="28"/>
      <c r="M4530" s="28"/>
      <c r="N4530" s="28"/>
      <c r="O4530" s="28"/>
      <c r="P4530" s="28"/>
      <c r="Q4530" s="28"/>
      <c r="R4530" s="28"/>
      <c r="S4530" s="28"/>
    </row>
    <row r="4531" spans="1:19" x14ac:dyDescent="0.25">
      <c r="A4531" s="28"/>
      <c r="B4531" s="28"/>
      <c r="C4531" s="28"/>
      <c r="D4531" s="28"/>
      <c r="E4531" s="28"/>
      <c r="F4531" s="28"/>
      <c r="G4531" s="28"/>
      <c r="H4531" s="28"/>
      <c r="I4531" s="28"/>
      <c r="J4531" s="28"/>
      <c r="K4531" s="28"/>
      <c r="L4531" s="28"/>
      <c r="M4531" s="28"/>
      <c r="N4531" s="28"/>
      <c r="O4531" s="28"/>
      <c r="P4531" s="28"/>
      <c r="Q4531" s="28"/>
      <c r="R4531" s="28"/>
      <c r="S4531" s="28"/>
    </row>
    <row r="4532" spans="1:19" x14ac:dyDescent="0.25">
      <c r="A4532" s="28"/>
      <c r="B4532" s="28"/>
      <c r="C4532" s="28"/>
      <c r="D4532" s="28"/>
      <c r="E4532" s="28"/>
      <c r="F4532" s="28"/>
      <c r="G4532" s="28"/>
      <c r="H4532" s="28"/>
      <c r="I4532" s="28"/>
      <c r="J4532" s="28"/>
      <c r="K4532" s="28"/>
      <c r="L4532" s="28"/>
      <c r="M4532" s="28"/>
      <c r="N4532" s="28"/>
      <c r="O4532" s="28"/>
      <c r="P4532" s="28"/>
      <c r="Q4532" s="28"/>
      <c r="R4532" s="28"/>
      <c r="S4532" s="28"/>
    </row>
    <row r="4533" spans="1:19" x14ac:dyDescent="0.25">
      <c r="A4533" s="28"/>
      <c r="B4533" s="28"/>
      <c r="C4533" s="28"/>
      <c r="D4533" s="28"/>
      <c r="E4533" s="28"/>
      <c r="F4533" s="28"/>
      <c r="G4533" s="28"/>
      <c r="H4533" s="28"/>
      <c r="I4533" s="28"/>
      <c r="J4533" s="28"/>
      <c r="K4533" s="28"/>
      <c r="L4533" s="28"/>
      <c r="M4533" s="28"/>
      <c r="N4533" s="28"/>
      <c r="O4533" s="28"/>
      <c r="P4533" s="28"/>
      <c r="Q4533" s="28"/>
      <c r="R4533" s="28"/>
      <c r="S4533" s="28"/>
    </row>
    <row r="4534" spans="1:19" x14ac:dyDescent="0.25">
      <c r="A4534" s="28"/>
      <c r="B4534" s="28"/>
      <c r="C4534" s="28"/>
      <c r="D4534" s="28"/>
      <c r="E4534" s="28"/>
      <c r="F4534" s="28"/>
      <c r="G4534" s="28"/>
      <c r="H4534" s="28"/>
      <c r="I4534" s="28"/>
      <c r="J4534" s="28"/>
      <c r="K4534" s="28"/>
      <c r="L4534" s="28"/>
      <c r="M4534" s="28"/>
      <c r="N4534" s="28"/>
      <c r="O4534" s="28"/>
      <c r="P4534" s="28"/>
      <c r="Q4534" s="28"/>
      <c r="R4534" s="28"/>
      <c r="S4534" s="28"/>
    </row>
    <row r="4535" spans="1:19" x14ac:dyDescent="0.25">
      <c r="A4535" s="28"/>
      <c r="B4535" s="28"/>
      <c r="C4535" s="28"/>
      <c r="D4535" s="28"/>
      <c r="E4535" s="28"/>
      <c r="F4535" s="28"/>
      <c r="G4535" s="28"/>
      <c r="H4535" s="28"/>
      <c r="I4535" s="28"/>
      <c r="J4535" s="28"/>
      <c r="K4535" s="28"/>
      <c r="L4535" s="28"/>
      <c r="M4535" s="28"/>
      <c r="N4535" s="28"/>
      <c r="O4535" s="28"/>
      <c r="P4535" s="28"/>
      <c r="Q4535" s="28"/>
      <c r="R4535" s="28"/>
      <c r="S4535" s="28"/>
    </row>
    <row r="4536" spans="1:19" x14ac:dyDescent="0.25">
      <c r="A4536" s="28"/>
      <c r="B4536" s="28"/>
      <c r="C4536" s="28"/>
      <c r="D4536" s="28"/>
      <c r="E4536" s="28"/>
      <c r="F4536" s="28"/>
      <c r="G4536" s="28"/>
      <c r="H4536" s="28"/>
      <c r="I4536" s="28"/>
      <c r="J4536" s="28"/>
      <c r="K4536" s="28"/>
      <c r="L4536" s="28"/>
      <c r="M4536" s="28"/>
      <c r="N4536" s="28"/>
      <c r="O4536" s="28"/>
      <c r="P4536" s="28"/>
      <c r="Q4536" s="28"/>
      <c r="R4536" s="28"/>
      <c r="S4536" s="28"/>
    </row>
    <row r="4537" spans="1:19" x14ac:dyDescent="0.25">
      <c r="A4537" s="28"/>
      <c r="B4537" s="28"/>
      <c r="C4537" s="28"/>
      <c r="D4537" s="28"/>
      <c r="E4537" s="28"/>
      <c r="F4537" s="28"/>
      <c r="G4537" s="28"/>
      <c r="H4537" s="28"/>
      <c r="I4537" s="28"/>
      <c r="J4537" s="28"/>
      <c r="K4537" s="28"/>
      <c r="L4537" s="28"/>
      <c r="M4537" s="28"/>
      <c r="N4537" s="28"/>
      <c r="O4537" s="28"/>
      <c r="P4537" s="28"/>
      <c r="Q4537" s="28"/>
      <c r="R4537" s="28"/>
      <c r="S4537" s="28"/>
    </row>
    <row r="4538" spans="1:19" x14ac:dyDescent="0.25">
      <c r="A4538" s="28"/>
      <c r="B4538" s="28"/>
      <c r="C4538" s="28"/>
      <c r="D4538" s="28"/>
      <c r="E4538" s="28"/>
      <c r="F4538" s="28"/>
      <c r="G4538" s="28"/>
      <c r="H4538" s="28"/>
      <c r="I4538" s="28"/>
      <c r="J4538" s="28"/>
      <c r="K4538" s="28"/>
      <c r="L4538" s="28"/>
      <c r="M4538" s="28"/>
      <c r="N4538" s="28"/>
      <c r="O4538" s="28"/>
      <c r="P4538" s="28"/>
      <c r="Q4538" s="28"/>
      <c r="R4538" s="28"/>
      <c r="S4538" s="28"/>
    </row>
    <row r="4539" spans="1:19" x14ac:dyDescent="0.25">
      <c r="A4539" s="28"/>
      <c r="B4539" s="28"/>
      <c r="C4539" s="28"/>
      <c r="D4539" s="28"/>
      <c r="E4539" s="28"/>
      <c r="F4539" s="28"/>
      <c r="G4539" s="28"/>
      <c r="H4539" s="28"/>
      <c r="I4539" s="28"/>
      <c r="J4539" s="28"/>
      <c r="K4539" s="28"/>
      <c r="L4539" s="28"/>
      <c r="M4539" s="28"/>
      <c r="N4539" s="28"/>
      <c r="O4539" s="28"/>
      <c r="P4539" s="28"/>
      <c r="Q4539" s="28"/>
      <c r="R4539" s="28"/>
      <c r="S4539" s="28"/>
    </row>
    <row r="4540" spans="1:19" x14ac:dyDescent="0.25">
      <c r="A4540" s="28"/>
      <c r="B4540" s="28"/>
      <c r="C4540" s="28"/>
      <c r="D4540" s="28"/>
      <c r="E4540" s="28"/>
      <c r="F4540" s="28"/>
      <c r="G4540" s="28"/>
      <c r="H4540" s="28"/>
      <c r="I4540" s="28"/>
      <c r="J4540" s="28"/>
      <c r="K4540" s="28"/>
      <c r="L4540" s="28"/>
      <c r="M4540" s="28"/>
      <c r="N4540" s="28"/>
      <c r="O4540" s="28"/>
      <c r="P4540" s="28"/>
      <c r="Q4540" s="28"/>
      <c r="R4540" s="28"/>
      <c r="S4540" s="28"/>
    </row>
    <row r="4541" spans="1:19" x14ac:dyDescent="0.25">
      <c r="A4541" s="28"/>
      <c r="B4541" s="28"/>
      <c r="C4541" s="28"/>
      <c r="D4541" s="28"/>
      <c r="E4541" s="28"/>
      <c r="F4541" s="28"/>
      <c r="G4541" s="28"/>
      <c r="H4541" s="28"/>
      <c r="I4541" s="28"/>
      <c r="J4541" s="28"/>
      <c r="K4541" s="28"/>
      <c r="L4541" s="28"/>
      <c r="M4541" s="28"/>
      <c r="N4541" s="28"/>
      <c r="O4541" s="28"/>
      <c r="P4541" s="28"/>
      <c r="Q4541" s="28"/>
      <c r="R4541" s="28"/>
      <c r="S4541" s="28"/>
    </row>
    <row r="4542" spans="1:19" x14ac:dyDescent="0.25">
      <c r="A4542" s="28"/>
      <c r="B4542" s="28"/>
      <c r="C4542" s="28"/>
      <c r="D4542" s="28"/>
      <c r="E4542" s="28"/>
      <c r="F4542" s="28"/>
      <c r="G4542" s="28"/>
      <c r="H4542" s="28"/>
      <c r="I4542" s="28"/>
      <c r="J4542" s="28"/>
      <c r="K4542" s="28"/>
      <c r="L4542" s="28"/>
      <c r="M4542" s="28"/>
      <c r="N4542" s="28"/>
      <c r="O4542" s="28"/>
      <c r="P4542" s="28"/>
      <c r="Q4542" s="28"/>
      <c r="R4542" s="28"/>
      <c r="S4542" s="28"/>
    </row>
    <row r="4543" spans="1:19" x14ac:dyDescent="0.25">
      <c r="A4543" s="28"/>
      <c r="B4543" s="28"/>
      <c r="C4543" s="28"/>
      <c r="D4543" s="28"/>
      <c r="E4543" s="28"/>
      <c r="F4543" s="28"/>
      <c r="G4543" s="28"/>
      <c r="H4543" s="28"/>
      <c r="I4543" s="28"/>
      <c r="J4543" s="28"/>
      <c r="K4543" s="28"/>
      <c r="L4543" s="28"/>
      <c r="M4543" s="28"/>
      <c r="N4543" s="28"/>
      <c r="O4543" s="28"/>
      <c r="P4543" s="28"/>
      <c r="Q4543" s="28"/>
      <c r="R4543" s="28"/>
      <c r="S4543" s="28"/>
    </row>
    <row r="4544" spans="1:19" x14ac:dyDescent="0.25">
      <c r="A4544" s="28"/>
      <c r="B4544" s="28"/>
      <c r="C4544" s="28"/>
      <c r="D4544" s="28"/>
      <c r="E4544" s="28"/>
      <c r="F4544" s="28"/>
      <c r="G4544" s="28"/>
      <c r="H4544" s="28"/>
      <c r="I4544" s="28"/>
      <c r="J4544" s="28"/>
      <c r="K4544" s="28"/>
      <c r="L4544" s="28"/>
      <c r="M4544" s="28"/>
      <c r="N4544" s="28"/>
      <c r="O4544" s="28"/>
      <c r="P4544" s="28"/>
      <c r="Q4544" s="28"/>
      <c r="R4544" s="28"/>
      <c r="S4544" s="28"/>
    </row>
    <row r="4545" spans="1:19" x14ac:dyDescent="0.25">
      <c r="A4545" s="28"/>
      <c r="B4545" s="28"/>
      <c r="C4545" s="28"/>
      <c r="D4545" s="28"/>
      <c r="E4545" s="28"/>
      <c r="F4545" s="28"/>
      <c r="G4545" s="28"/>
      <c r="H4545" s="28"/>
      <c r="I4545" s="28"/>
      <c r="J4545" s="28"/>
      <c r="K4545" s="28"/>
      <c r="L4545" s="28"/>
      <c r="M4545" s="28"/>
      <c r="N4545" s="28"/>
      <c r="O4545" s="28"/>
      <c r="P4545" s="28"/>
      <c r="Q4545" s="28"/>
      <c r="R4545" s="28"/>
      <c r="S4545" s="28"/>
    </row>
    <row r="4546" spans="1:19" x14ac:dyDescent="0.25">
      <c r="A4546" s="28"/>
      <c r="B4546" s="28"/>
      <c r="C4546" s="28"/>
      <c r="D4546" s="28"/>
      <c r="E4546" s="28"/>
      <c r="F4546" s="28"/>
      <c r="G4546" s="28"/>
      <c r="H4546" s="28"/>
      <c r="I4546" s="28"/>
      <c r="J4546" s="28"/>
      <c r="K4546" s="28"/>
      <c r="L4546" s="28"/>
      <c r="M4546" s="28"/>
      <c r="N4546" s="28"/>
      <c r="O4546" s="28"/>
      <c r="P4546" s="28"/>
      <c r="Q4546" s="28"/>
      <c r="R4546" s="28"/>
      <c r="S4546" s="28"/>
    </row>
    <row r="4547" spans="1:19" x14ac:dyDescent="0.25">
      <c r="A4547" s="28"/>
      <c r="B4547" s="28"/>
      <c r="C4547" s="28"/>
      <c r="D4547" s="28"/>
      <c r="E4547" s="28"/>
      <c r="F4547" s="28"/>
      <c r="G4547" s="28"/>
      <c r="H4547" s="28"/>
      <c r="I4547" s="28"/>
      <c r="J4547" s="28"/>
      <c r="K4547" s="28"/>
      <c r="L4547" s="28"/>
      <c r="M4547" s="28"/>
      <c r="N4547" s="28"/>
      <c r="O4547" s="28"/>
      <c r="P4547" s="28"/>
      <c r="Q4547" s="28"/>
      <c r="R4547" s="28"/>
      <c r="S4547" s="28"/>
    </row>
    <row r="4548" spans="1:19" x14ac:dyDescent="0.25">
      <c r="A4548" s="28"/>
      <c r="B4548" s="28"/>
      <c r="C4548" s="28"/>
      <c r="D4548" s="28"/>
      <c r="E4548" s="28"/>
      <c r="F4548" s="28"/>
      <c r="G4548" s="28"/>
      <c r="H4548" s="28"/>
      <c r="I4548" s="28"/>
      <c r="J4548" s="28"/>
      <c r="K4548" s="28"/>
      <c r="L4548" s="28"/>
      <c r="M4548" s="28"/>
      <c r="N4548" s="28"/>
      <c r="O4548" s="28"/>
      <c r="P4548" s="28"/>
      <c r="Q4548" s="28"/>
      <c r="R4548" s="28"/>
      <c r="S4548" s="28"/>
    </row>
    <row r="4549" spans="1:19" x14ac:dyDescent="0.25">
      <c r="A4549" s="28"/>
      <c r="B4549" s="28"/>
      <c r="C4549" s="28"/>
      <c r="D4549" s="28"/>
      <c r="E4549" s="28"/>
      <c r="F4549" s="28"/>
      <c r="G4549" s="28"/>
      <c r="H4549" s="28"/>
      <c r="I4549" s="28"/>
      <c r="J4549" s="28"/>
      <c r="K4549" s="28"/>
      <c r="L4549" s="28"/>
      <c r="M4549" s="28"/>
      <c r="N4549" s="28"/>
      <c r="O4549" s="28"/>
      <c r="P4549" s="28"/>
      <c r="Q4549" s="28"/>
      <c r="R4549" s="28"/>
      <c r="S4549" s="28"/>
    </row>
    <row r="4550" spans="1:19" x14ac:dyDescent="0.25">
      <c r="A4550" s="28"/>
      <c r="B4550" s="28"/>
      <c r="C4550" s="28"/>
      <c r="D4550" s="28"/>
      <c r="E4550" s="28"/>
      <c r="F4550" s="28"/>
      <c r="G4550" s="28"/>
      <c r="H4550" s="28"/>
      <c r="I4550" s="28"/>
      <c r="J4550" s="28"/>
      <c r="K4550" s="28"/>
      <c r="L4550" s="28"/>
      <c r="M4550" s="28"/>
      <c r="N4550" s="28"/>
      <c r="O4550" s="28"/>
      <c r="P4550" s="28"/>
      <c r="Q4550" s="28"/>
      <c r="R4550" s="28"/>
      <c r="S4550" s="28"/>
    </row>
    <row r="4551" spans="1:19" x14ac:dyDescent="0.25">
      <c r="A4551" s="28"/>
      <c r="B4551" s="28"/>
      <c r="C4551" s="28"/>
      <c r="D4551" s="28"/>
      <c r="E4551" s="28"/>
      <c r="F4551" s="28"/>
      <c r="G4551" s="28"/>
      <c r="H4551" s="28"/>
      <c r="I4551" s="28"/>
      <c r="J4551" s="28"/>
      <c r="K4551" s="28"/>
      <c r="L4551" s="28"/>
      <c r="M4551" s="28"/>
      <c r="N4551" s="28"/>
      <c r="O4551" s="28"/>
      <c r="P4551" s="28"/>
      <c r="Q4551" s="28"/>
      <c r="R4551" s="28"/>
      <c r="S4551" s="28"/>
    </row>
    <row r="4552" spans="1:19" x14ac:dyDescent="0.25">
      <c r="A4552" s="28"/>
      <c r="B4552" s="28"/>
      <c r="C4552" s="28"/>
      <c r="D4552" s="28"/>
      <c r="E4552" s="28"/>
      <c r="F4552" s="28"/>
      <c r="G4552" s="28"/>
      <c r="H4552" s="28"/>
      <c r="I4552" s="28"/>
      <c r="J4552" s="28"/>
      <c r="K4552" s="28"/>
      <c r="L4552" s="28"/>
      <c r="M4552" s="28"/>
      <c r="N4552" s="28"/>
      <c r="O4552" s="28"/>
      <c r="P4552" s="28"/>
      <c r="Q4552" s="28"/>
      <c r="R4552" s="28"/>
      <c r="S4552" s="28"/>
    </row>
    <row r="4553" spans="1:19" x14ac:dyDescent="0.25">
      <c r="A4553" s="28"/>
      <c r="B4553" s="28"/>
      <c r="C4553" s="28"/>
      <c r="D4553" s="28"/>
      <c r="E4553" s="28"/>
      <c r="F4553" s="28"/>
      <c r="G4553" s="28"/>
      <c r="H4553" s="28"/>
      <c r="I4553" s="28"/>
      <c r="J4553" s="28"/>
      <c r="K4553" s="28"/>
      <c r="L4553" s="28"/>
      <c r="M4553" s="28"/>
      <c r="N4553" s="28"/>
      <c r="O4553" s="28"/>
      <c r="P4553" s="28"/>
      <c r="Q4553" s="28"/>
      <c r="R4553" s="28"/>
      <c r="S4553" s="28"/>
    </row>
    <row r="4554" spans="1:19" x14ac:dyDescent="0.25">
      <c r="A4554" s="28"/>
      <c r="B4554" s="28"/>
      <c r="C4554" s="28"/>
      <c r="D4554" s="28"/>
      <c r="E4554" s="28"/>
      <c r="F4554" s="28"/>
      <c r="G4554" s="28"/>
      <c r="H4554" s="28"/>
      <c r="I4554" s="28"/>
      <c r="J4554" s="28"/>
      <c r="K4554" s="28"/>
      <c r="L4554" s="28"/>
      <c r="M4554" s="28"/>
      <c r="N4554" s="28"/>
      <c r="O4554" s="28"/>
      <c r="P4554" s="28"/>
      <c r="Q4554" s="28"/>
      <c r="R4554" s="28"/>
      <c r="S4554" s="28"/>
    </row>
    <row r="4555" spans="1:19" x14ac:dyDescent="0.25">
      <c r="A4555" s="28"/>
      <c r="B4555" s="28"/>
      <c r="C4555" s="28"/>
      <c r="D4555" s="28"/>
      <c r="E4555" s="28"/>
      <c r="F4555" s="28"/>
      <c r="G4555" s="28"/>
      <c r="H4555" s="28"/>
      <c r="I4555" s="28"/>
      <c r="J4555" s="28"/>
      <c r="K4555" s="28"/>
      <c r="L4555" s="28"/>
      <c r="M4555" s="28"/>
      <c r="N4555" s="28"/>
      <c r="O4555" s="28"/>
      <c r="P4555" s="28"/>
      <c r="Q4555" s="28"/>
      <c r="R4555" s="28"/>
      <c r="S4555" s="28"/>
    </row>
    <row r="4556" spans="1:19" x14ac:dyDescent="0.25">
      <c r="A4556" s="28"/>
      <c r="B4556" s="28"/>
      <c r="C4556" s="28"/>
      <c r="D4556" s="28"/>
      <c r="E4556" s="28"/>
      <c r="F4556" s="28"/>
      <c r="G4556" s="28"/>
      <c r="H4556" s="28"/>
      <c r="I4556" s="28"/>
      <c r="J4556" s="28"/>
      <c r="K4556" s="28"/>
      <c r="L4556" s="28"/>
      <c r="M4556" s="28"/>
      <c r="N4556" s="28"/>
      <c r="O4556" s="28"/>
      <c r="P4556" s="28"/>
      <c r="Q4556" s="28"/>
      <c r="R4556" s="28"/>
      <c r="S4556" s="28"/>
    </row>
    <row r="4557" spans="1:19" x14ac:dyDescent="0.25">
      <c r="A4557" s="28"/>
      <c r="B4557" s="28"/>
      <c r="C4557" s="28"/>
      <c r="D4557" s="28"/>
      <c r="E4557" s="28"/>
      <c r="F4557" s="28"/>
      <c r="G4557" s="28"/>
      <c r="H4557" s="28"/>
      <c r="I4557" s="28"/>
      <c r="J4557" s="28"/>
      <c r="K4557" s="28"/>
      <c r="L4557" s="28"/>
      <c r="M4557" s="28"/>
      <c r="N4557" s="28"/>
      <c r="O4557" s="28"/>
      <c r="P4557" s="28"/>
      <c r="Q4557" s="28"/>
      <c r="R4557" s="28"/>
      <c r="S4557" s="28"/>
    </row>
    <row r="4558" spans="1:19" x14ac:dyDescent="0.25">
      <c r="A4558" s="28"/>
      <c r="B4558" s="28"/>
      <c r="C4558" s="28"/>
      <c r="D4558" s="28"/>
      <c r="E4558" s="28"/>
      <c r="F4558" s="28"/>
      <c r="G4558" s="28"/>
      <c r="H4558" s="28"/>
      <c r="I4558" s="28"/>
      <c r="J4558" s="28"/>
      <c r="K4558" s="28"/>
      <c r="L4558" s="28"/>
      <c r="M4558" s="28"/>
      <c r="N4558" s="28"/>
      <c r="O4558" s="28"/>
      <c r="P4558" s="28"/>
      <c r="Q4558" s="28"/>
      <c r="R4558" s="28"/>
      <c r="S4558" s="28"/>
    </row>
    <row r="4559" spans="1:19" x14ac:dyDescent="0.25">
      <c r="A4559" s="28"/>
      <c r="B4559" s="28"/>
      <c r="C4559" s="28"/>
      <c r="D4559" s="28"/>
      <c r="E4559" s="28"/>
      <c r="F4559" s="28"/>
      <c r="G4559" s="28"/>
      <c r="H4559" s="28"/>
      <c r="I4559" s="28"/>
      <c r="J4559" s="28"/>
      <c r="K4559" s="28"/>
      <c r="L4559" s="28"/>
      <c r="M4559" s="28"/>
      <c r="N4559" s="28"/>
      <c r="O4559" s="28"/>
      <c r="P4559" s="28"/>
      <c r="Q4559" s="28"/>
      <c r="R4559" s="28"/>
      <c r="S4559" s="28"/>
    </row>
    <row r="4560" spans="1:19" x14ac:dyDescent="0.25">
      <c r="A4560" s="28"/>
      <c r="B4560" s="28"/>
      <c r="C4560" s="28"/>
      <c r="D4560" s="28"/>
      <c r="E4560" s="28"/>
      <c r="F4560" s="28"/>
      <c r="G4560" s="28"/>
      <c r="H4560" s="28"/>
      <c r="I4560" s="28"/>
      <c r="J4560" s="28"/>
      <c r="K4560" s="28"/>
      <c r="L4560" s="28"/>
      <c r="M4560" s="28"/>
      <c r="N4560" s="28"/>
      <c r="O4560" s="28"/>
      <c r="P4560" s="28"/>
      <c r="Q4560" s="28"/>
      <c r="R4560" s="28"/>
      <c r="S4560" s="28"/>
    </row>
    <row r="4561" spans="1:19" x14ac:dyDescent="0.25">
      <c r="A4561" s="28"/>
      <c r="B4561" s="28"/>
      <c r="C4561" s="28"/>
      <c r="D4561" s="28"/>
      <c r="E4561" s="28"/>
      <c r="F4561" s="28"/>
      <c r="G4561" s="28"/>
      <c r="H4561" s="28"/>
      <c r="I4561" s="28"/>
      <c r="J4561" s="28"/>
      <c r="K4561" s="28"/>
      <c r="L4561" s="28"/>
      <c r="M4561" s="28"/>
      <c r="N4561" s="28"/>
      <c r="O4561" s="28"/>
      <c r="P4561" s="28"/>
      <c r="Q4561" s="28"/>
      <c r="R4561" s="28"/>
      <c r="S4561" s="28"/>
    </row>
    <row r="4562" spans="1:19" x14ac:dyDescent="0.25">
      <c r="A4562" s="28"/>
      <c r="B4562" s="28"/>
      <c r="C4562" s="28"/>
      <c r="D4562" s="28"/>
      <c r="E4562" s="28"/>
      <c r="F4562" s="28"/>
      <c r="G4562" s="28"/>
      <c r="H4562" s="28"/>
      <c r="I4562" s="28"/>
      <c r="J4562" s="28"/>
      <c r="K4562" s="28"/>
      <c r="L4562" s="28"/>
      <c r="M4562" s="28"/>
      <c r="N4562" s="28"/>
      <c r="O4562" s="28"/>
      <c r="P4562" s="28"/>
      <c r="Q4562" s="28"/>
      <c r="R4562" s="28"/>
      <c r="S4562" s="28"/>
    </row>
    <row r="4563" spans="1:19" x14ac:dyDescent="0.25">
      <c r="A4563" s="28"/>
      <c r="B4563" s="28"/>
      <c r="C4563" s="28"/>
      <c r="D4563" s="28"/>
      <c r="E4563" s="28"/>
      <c r="F4563" s="28"/>
      <c r="G4563" s="28"/>
      <c r="H4563" s="28"/>
      <c r="I4563" s="28"/>
      <c r="J4563" s="28"/>
      <c r="K4563" s="28"/>
      <c r="L4563" s="28"/>
      <c r="M4563" s="28"/>
      <c r="N4563" s="28"/>
      <c r="O4563" s="28"/>
      <c r="P4563" s="28"/>
      <c r="Q4563" s="28"/>
      <c r="R4563" s="28"/>
      <c r="S4563" s="28"/>
    </row>
    <row r="4564" spans="1:19" x14ac:dyDescent="0.25">
      <c r="A4564" s="28"/>
      <c r="B4564" s="28"/>
      <c r="C4564" s="28"/>
      <c r="D4564" s="28"/>
      <c r="E4564" s="28"/>
      <c r="F4564" s="28"/>
      <c r="G4564" s="28"/>
      <c r="H4564" s="28"/>
      <c r="I4564" s="28"/>
      <c r="J4564" s="28"/>
      <c r="K4564" s="28"/>
      <c r="L4564" s="28"/>
      <c r="M4564" s="28"/>
      <c r="N4564" s="28"/>
      <c r="O4564" s="28"/>
      <c r="P4564" s="28"/>
      <c r="Q4564" s="28"/>
      <c r="R4564" s="28"/>
      <c r="S4564" s="28"/>
    </row>
    <row r="4565" spans="1:19" x14ac:dyDescent="0.25">
      <c r="A4565" s="28"/>
      <c r="B4565" s="28"/>
      <c r="C4565" s="28"/>
      <c r="D4565" s="28"/>
      <c r="E4565" s="28"/>
      <c r="F4565" s="28"/>
      <c r="G4565" s="28"/>
      <c r="H4565" s="28"/>
      <c r="I4565" s="28"/>
      <c r="J4565" s="28"/>
      <c r="K4565" s="28"/>
      <c r="L4565" s="28"/>
      <c r="M4565" s="28"/>
      <c r="N4565" s="28"/>
      <c r="O4565" s="28"/>
      <c r="P4565" s="28"/>
      <c r="Q4565" s="28"/>
      <c r="R4565" s="28"/>
      <c r="S4565" s="28"/>
    </row>
    <row r="4566" spans="1:19" x14ac:dyDescent="0.25">
      <c r="A4566" s="28"/>
      <c r="B4566" s="28"/>
      <c r="C4566" s="28"/>
      <c r="D4566" s="28"/>
      <c r="E4566" s="28"/>
      <c r="F4566" s="28"/>
      <c r="G4566" s="28"/>
      <c r="H4566" s="28"/>
      <c r="I4566" s="28"/>
      <c r="J4566" s="28"/>
      <c r="K4566" s="28"/>
      <c r="L4566" s="28"/>
      <c r="M4566" s="28"/>
      <c r="N4566" s="28"/>
      <c r="O4566" s="28"/>
      <c r="P4566" s="28"/>
      <c r="Q4566" s="28"/>
      <c r="R4566" s="28"/>
      <c r="S4566" s="28"/>
    </row>
    <row r="4567" spans="1:19" x14ac:dyDescent="0.25">
      <c r="A4567" s="28"/>
      <c r="B4567" s="28"/>
      <c r="C4567" s="28"/>
      <c r="D4567" s="28"/>
      <c r="E4567" s="28"/>
      <c r="F4567" s="28"/>
      <c r="G4567" s="28"/>
      <c r="H4567" s="28"/>
      <c r="I4567" s="28"/>
      <c r="J4567" s="28"/>
      <c r="K4567" s="28"/>
      <c r="L4567" s="28"/>
      <c r="M4567" s="28"/>
      <c r="N4567" s="28"/>
      <c r="O4567" s="28"/>
      <c r="P4567" s="28"/>
      <c r="Q4567" s="28"/>
      <c r="R4567" s="28"/>
      <c r="S4567" s="28"/>
    </row>
    <row r="4568" spans="1:19" x14ac:dyDescent="0.25">
      <c r="A4568" s="28"/>
      <c r="B4568" s="28"/>
      <c r="C4568" s="28"/>
      <c r="D4568" s="28"/>
      <c r="E4568" s="28"/>
      <c r="F4568" s="28"/>
      <c r="G4568" s="28"/>
      <c r="H4568" s="28"/>
      <c r="I4568" s="28"/>
      <c r="J4568" s="28"/>
      <c r="K4568" s="28"/>
      <c r="L4568" s="28"/>
      <c r="M4568" s="28"/>
      <c r="N4568" s="28"/>
      <c r="O4568" s="28"/>
      <c r="P4568" s="28"/>
      <c r="Q4568" s="28"/>
      <c r="R4568" s="28"/>
      <c r="S4568" s="28"/>
    </row>
    <row r="4569" spans="1:19" x14ac:dyDescent="0.25">
      <c r="A4569" s="28"/>
      <c r="B4569" s="28"/>
      <c r="C4569" s="28"/>
      <c r="D4569" s="28"/>
      <c r="E4569" s="28"/>
      <c r="F4569" s="28"/>
      <c r="G4569" s="28"/>
      <c r="H4569" s="28"/>
      <c r="I4569" s="28"/>
      <c r="J4569" s="28"/>
      <c r="K4569" s="28"/>
      <c r="L4569" s="28"/>
      <c r="M4569" s="28"/>
      <c r="N4569" s="28"/>
      <c r="O4569" s="28"/>
      <c r="P4569" s="28"/>
      <c r="Q4569" s="28"/>
      <c r="R4569" s="28"/>
      <c r="S4569" s="28"/>
    </row>
    <row r="4570" spans="1:19" x14ac:dyDescent="0.25">
      <c r="A4570" s="28"/>
      <c r="B4570" s="28"/>
      <c r="C4570" s="28"/>
      <c r="D4570" s="28"/>
      <c r="E4570" s="28"/>
      <c r="F4570" s="28"/>
      <c r="G4570" s="28"/>
      <c r="H4570" s="28"/>
      <c r="I4570" s="28"/>
      <c r="J4570" s="28"/>
      <c r="K4570" s="28"/>
      <c r="L4570" s="28"/>
      <c r="M4570" s="28"/>
      <c r="N4570" s="28"/>
      <c r="O4570" s="28"/>
      <c r="P4570" s="28"/>
      <c r="Q4570" s="28"/>
      <c r="R4570" s="28"/>
      <c r="S4570" s="28"/>
    </row>
    <row r="4571" spans="1:19" x14ac:dyDescent="0.25">
      <c r="A4571" s="28"/>
      <c r="B4571" s="28"/>
      <c r="C4571" s="28"/>
      <c r="D4571" s="28"/>
      <c r="E4571" s="28"/>
      <c r="F4571" s="28"/>
      <c r="G4571" s="28"/>
      <c r="H4571" s="28"/>
      <c r="I4571" s="28"/>
      <c r="J4571" s="28"/>
      <c r="K4571" s="28"/>
      <c r="L4571" s="28"/>
      <c r="M4571" s="28"/>
      <c r="N4571" s="28"/>
      <c r="O4571" s="28"/>
      <c r="P4571" s="28"/>
      <c r="Q4571" s="28"/>
      <c r="R4571" s="28"/>
      <c r="S4571" s="28"/>
    </row>
    <row r="4572" spans="1:19" x14ac:dyDescent="0.25">
      <c r="A4572" s="28"/>
      <c r="B4572" s="28"/>
      <c r="C4572" s="28"/>
      <c r="D4572" s="28"/>
      <c r="E4572" s="28"/>
      <c r="F4572" s="28"/>
      <c r="G4572" s="28"/>
      <c r="H4572" s="28"/>
      <c r="I4572" s="28"/>
      <c r="J4572" s="28"/>
      <c r="K4572" s="28"/>
      <c r="L4572" s="28"/>
      <c r="M4572" s="28"/>
      <c r="N4572" s="28"/>
      <c r="O4572" s="28"/>
      <c r="P4572" s="28"/>
      <c r="Q4572" s="28"/>
      <c r="R4572" s="28"/>
      <c r="S4572" s="28"/>
    </row>
    <row r="4573" spans="1:19" x14ac:dyDescent="0.25">
      <c r="A4573" s="28"/>
      <c r="B4573" s="28"/>
      <c r="C4573" s="28"/>
      <c r="D4573" s="28"/>
      <c r="E4573" s="28"/>
      <c r="F4573" s="28"/>
      <c r="G4573" s="28"/>
      <c r="H4573" s="28"/>
      <c r="I4573" s="28"/>
      <c r="J4573" s="28"/>
      <c r="K4573" s="28"/>
      <c r="L4573" s="28"/>
      <c r="M4573" s="28"/>
      <c r="N4573" s="28"/>
      <c r="O4573" s="28"/>
      <c r="P4573" s="28"/>
      <c r="Q4573" s="28"/>
      <c r="R4573" s="28"/>
      <c r="S4573" s="28"/>
    </row>
    <row r="4574" spans="1:19" x14ac:dyDescent="0.25">
      <c r="A4574" s="28"/>
      <c r="B4574" s="28"/>
      <c r="C4574" s="28"/>
      <c r="D4574" s="28"/>
      <c r="E4574" s="28"/>
      <c r="F4574" s="28"/>
      <c r="G4574" s="28"/>
      <c r="H4574" s="28"/>
      <c r="I4574" s="28"/>
      <c r="J4574" s="28"/>
      <c r="K4574" s="28"/>
      <c r="L4574" s="28"/>
      <c r="M4574" s="28"/>
      <c r="N4574" s="28"/>
      <c r="O4574" s="28"/>
      <c r="P4574" s="28"/>
      <c r="Q4574" s="28"/>
      <c r="R4574" s="28"/>
      <c r="S4574" s="28"/>
    </row>
    <row r="4575" spans="1:19" x14ac:dyDescent="0.25">
      <c r="A4575" s="28"/>
      <c r="B4575" s="28"/>
      <c r="C4575" s="28"/>
      <c r="D4575" s="28"/>
      <c r="E4575" s="28"/>
      <c r="F4575" s="28"/>
      <c r="G4575" s="28"/>
      <c r="H4575" s="28"/>
      <c r="I4575" s="28"/>
      <c r="J4575" s="28"/>
      <c r="K4575" s="28"/>
      <c r="L4575" s="28"/>
      <c r="M4575" s="28"/>
      <c r="N4575" s="28"/>
      <c r="O4575" s="28"/>
      <c r="P4575" s="28"/>
      <c r="Q4575" s="28"/>
      <c r="R4575" s="28"/>
      <c r="S4575" s="28"/>
    </row>
    <row r="4576" spans="1:19" x14ac:dyDescent="0.25">
      <c r="A4576" s="28"/>
      <c r="B4576" s="28"/>
      <c r="C4576" s="28"/>
      <c r="D4576" s="28"/>
      <c r="E4576" s="28"/>
      <c r="F4576" s="28"/>
      <c r="G4576" s="28"/>
      <c r="H4576" s="28"/>
      <c r="I4576" s="28"/>
      <c r="J4576" s="28"/>
      <c r="K4576" s="28"/>
      <c r="L4576" s="28"/>
      <c r="M4576" s="28"/>
      <c r="N4576" s="28"/>
      <c r="O4576" s="28"/>
      <c r="P4576" s="28"/>
      <c r="Q4576" s="28"/>
      <c r="R4576" s="28"/>
      <c r="S4576" s="28"/>
    </row>
    <row r="4577" spans="1:19" x14ac:dyDescent="0.25">
      <c r="A4577" s="28"/>
      <c r="B4577" s="28"/>
      <c r="C4577" s="28"/>
      <c r="D4577" s="28"/>
      <c r="E4577" s="28"/>
      <c r="F4577" s="28"/>
      <c r="G4577" s="28"/>
      <c r="H4577" s="28"/>
      <c r="I4577" s="28"/>
      <c r="J4577" s="28"/>
      <c r="K4577" s="28"/>
      <c r="L4577" s="28"/>
      <c r="M4577" s="28"/>
      <c r="N4577" s="28"/>
      <c r="O4577" s="28"/>
      <c r="P4577" s="28"/>
      <c r="Q4577" s="28"/>
      <c r="R4577" s="28"/>
      <c r="S4577" s="28"/>
    </row>
    <row r="4578" spans="1:19" x14ac:dyDescent="0.25">
      <c r="A4578" s="28"/>
      <c r="B4578" s="28"/>
      <c r="C4578" s="28"/>
      <c r="D4578" s="28"/>
      <c r="E4578" s="28"/>
      <c r="F4578" s="28"/>
      <c r="G4578" s="28"/>
      <c r="H4578" s="28"/>
      <c r="I4578" s="28"/>
      <c r="J4578" s="28"/>
      <c r="K4578" s="28"/>
      <c r="L4578" s="28"/>
      <c r="M4578" s="28"/>
      <c r="N4578" s="28"/>
      <c r="O4578" s="28"/>
      <c r="P4578" s="28"/>
      <c r="Q4578" s="28"/>
      <c r="R4578" s="28"/>
      <c r="S4578" s="28"/>
    </row>
    <row r="4579" spans="1:19" x14ac:dyDescent="0.25">
      <c r="A4579" s="28"/>
      <c r="B4579" s="28"/>
      <c r="C4579" s="28"/>
      <c r="D4579" s="28"/>
      <c r="E4579" s="28"/>
      <c r="F4579" s="28"/>
      <c r="G4579" s="28"/>
      <c r="H4579" s="28"/>
      <c r="I4579" s="28"/>
      <c r="J4579" s="28"/>
      <c r="K4579" s="28"/>
      <c r="L4579" s="28"/>
      <c r="M4579" s="28"/>
      <c r="N4579" s="28"/>
      <c r="O4579" s="28"/>
      <c r="P4579" s="28"/>
      <c r="Q4579" s="28"/>
      <c r="R4579" s="28"/>
      <c r="S4579" s="28"/>
    </row>
    <row r="4580" spans="1:19" x14ac:dyDescent="0.25">
      <c r="A4580" s="28"/>
      <c r="B4580" s="28"/>
      <c r="C4580" s="28"/>
      <c r="D4580" s="28"/>
      <c r="E4580" s="28"/>
      <c r="F4580" s="28"/>
      <c r="G4580" s="28"/>
      <c r="H4580" s="28"/>
      <c r="I4580" s="28"/>
      <c r="J4580" s="28"/>
      <c r="K4580" s="28"/>
      <c r="L4580" s="28"/>
      <c r="M4580" s="28"/>
      <c r="N4580" s="28"/>
      <c r="O4580" s="28"/>
      <c r="P4580" s="28"/>
      <c r="Q4580" s="28"/>
      <c r="R4580" s="28"/>
      <c r="S4580" s="28"/>
    </row>
    <row r="4581" spans="1:19" x14ac:dyDescent="0.25">
      <c r="A4581" s="28"/>
      <c r="B4581" s="28"/>
      <c r="C4581" s="28"/>
      <c r="D4581" s="28"/>
      <c r="E4581" s="28"/>
      <c r="F4581" s="28"/>
      <c r="G4581" s="28"/>
      <c r="H4581" s="28"/>
      <c r="I4581" s="28"/>
      <c r="J4581" s="28"/>
      <c r="K4581" s="28"/>
      <c r="L4581" s="28"/>
      <c r="M4581" s="28"/>
      <c r="N4581" s="28"/>
      <c r="O4581" s="28"/>
      <c r="P4581" s="28"/>
      <c r="Q4581" s="28"/>
      <c r="R4581" s="28"/>
      <c r="S4581" s="28"/>
    </row>
    <row r="4582" spans="1:19" x14ac:dyDescent="0.25">
      <c r="A4582" s="28"/>
      <c r="B4582" s="28"/>
      <c r="C4582" s="28"/>
      <c r="D4582" s="28"/>
      <c r="E4582" s="28"/>
      <c r="F4582" s="28"/>
      <c r="G4582" s="28"/>
      <c r="H4582" s="28"/>
      <c r="I4582" s="28"/>
      <c r="J4582" s="28"/>
      <c r="K4582" s="28"/>
      <c r="L4582" s="28"/>
      <c r="M4582" s="28"/>
      <c r="N4582" s="28"/>
      <c r="O4582" s="28"/>
      <c r="P4582" s="28"/>
      <c r="Q4582" s="28"/>
      <c r="R4582" s="28"/>
      <c r="S4582" s="28"/>
    </row>
    <row r="4583" spans="1:19" x14ac:dyDescent="0.25">
      <c r="A4583" s="28"/>
      <c r="B4583" s="28"/>
      <c r="C4583" s="28"/>
      <c r="D4583" s="28"/>
      <c r="E4583" s="28"/>
      <c r="F4583" s="28"/>
      <c r="G4583" s="28"/>
      <c r="H4583" s="28"/>
      <c r="I4583" s="28"/>
      <c r="J4583" s="28"/>
      <c r="K4583" s="28"/>
      <c r="L4583" s="28"/>
      <c r="M4583" s="28"/>
      <c r="N4583" s="28"/>
      <c r="O4583" s="28"/>
      <c r="P4583" s="28"/>
      <c r="Q4583" s="28"/>
      <c r="R4583" s="28"/>
      <c r="S4583" s="28"/>
    </row>
    <row r="4584" spans="1:19" x14ac:dyDescent="0.25">
      <c r="A4584" s="28"/>
      <c r="B4584" s="28"/>
      <c r="C4584" s="28"/>
      <c r="D4584" s="28"/>
      <c r="E4584" s="28"/>
      <c r="F4584" s="28"/>
      <c r="G4584" s="28"/>
      <c r="H4584" s="28"/>
      <c r="I4584" s="28"/>
      <c r="J4584" s="28"/>
      <c r="K4584" s="28"/>
      <c r="L4584" s="28"/>
      <c r="M4584" s="28"/>
      <c r="N4584" s="28"/>
      <c r="O4584" s="28"/>
      <c r="P4584" s="28"/>
      <c r="Q4584" s="28"/>
      <c r="R4584" s="28"/>
      <c r="S4584" s="28"/>
    </row>
    <row r="4585" spans="1:19" x14ac:dyDescent="0.25">
      <c r="A4585" s="28"/>
      <c r="B4585" s="28"/>
      <c r="C4585" s="28"/>
      <c r="D4585" s="28"/>
      <c r="E4585" s="28"/>
      <c r="F4585" s="28"/>
      <c r="G4585" s="28"/>
      <c r="H4585" s="28"/>
      <c r="I4585" s="28"/>
      <c r="J4585" s="28"/>
      <c r="K4585" s="28"/>
      <c r="L4585" s="28"/>
      <c r="M4585" s="28"/>
      <c r="N4585" s="28"/>
      <c r="O4585" s="28"/>
      <c r="P4585" s="28"/>
      <c r="Q4585" s="28"/>
      <c r="R4585" s="28"/>
      <c r="S4585" s="28"/>
    </row>
    <row r="4586" spans="1:19" x14ac:dyDescent="0.25">
      <c r="A4586" s="28"/>
      <c r="B4586" s="28"/>
      <c r="C4586" s="28"/>
      <c r="D4586" s="28"/>
      <c r="E4586" s="28"/>
      <c r="F4586" s="28"/>
      <c r="G4586" s="28"/>
      <c r="H4586" s="28"/>
      <c r="I4586" s="28"/>
      <c r="J4586" s="28"/>
      <c r="K4586" s="28"/>
      <c r="L4586" s="28"/>
      <c r="M4586" s="28"/>
      <c r="N4586" s="28"/>
      <c r="O4586" s="28"/>
      <c r="P4586" s="28"/>
      <c r="Q4586" s="28"/>
      <c r="R4586" s="28"/>
      <c r="S4586" s="28"/>
    </row>
    <row r="4587" spans="1:19" x14ac:dyDescent="0.25">
      <c r="A4587" s="28"/>
      <c r="B4587" s="28"/>
      <c r="C4587" s="28"/>
      <c r="D4587" s="28"/>
      <c r="E4587" s="28"/>
      <c r="F4587" s="28"/>
      <c r="G4587" s="28"/>
      <c r="H4587" s="28"/>
      <c r="I4587" s="28"/>
      <c r="J4587" s="28"/>
      <c r="K4587" s="28"/>
      <c r="L4587" s="28"/>
      <c r="M4587" s="28"/>
      <c r="N4587" s="28"/>
      <c r="O4587" s="28"/>
      <c r="P4587" s="28"/>
      <c r="Q4587" s="28"/>
      <c r="R4587" s="28"/>
      <c r="S4587" s="28"/>
    </row>
    <row r="4588" spans="1:19" x14ac:dyDescent="0.25">
      <c r="A4588" s="28"/>
      <c r="B4588" s="28"/>
      <c r="C4588" s="28"/>
      <c r="D4588" s="28"/>
      <c r="E4588" s="28"/>
      <c r="F4588" s="28"/>
      <c r="G4588" s="28"/>
      <c r="H4588" s="28"/>
      <c r="I4588" s="28"/>
      <c r="J4588" s="28"/>
      <c r="K4588" s="28"/>
      <c r="L4588" s="28"/>
      <c r="M4588" s="28"/>
      <c r="N4588" s="28"/>
      <c r="O4588" s="28"/>
      <c r="P4588" s="28"/>
      <c r="Q4588" s="28"/>
      <c r="R4588" s="28"/>
      <c r="S4588" s="28"/>
    </row>
    <row r="4589" spans="1:19" x14ac:dyDescent="0.25">
      <c r="A4589" s="28"/>
      <c r="B4589" s="28"/>
      <c r="C4589" s="28"/>
      <c r="D4589" s="28"/>
      <c r="E4589" s="28"/>
      <c r="F4589" s="28"/>
      <c r="G4589" s="28"/>
      <c r="H4589" s="28"/>
      <c r="I4589" s="28"/>
      <c r="J4589" s="28"/>
      <c r="K4589" s="28"/>
      <c r="L4589" s="28"/>
      <c r="M4589" s="28"/>
      <c r="N4589" s="28"/>
      <c r="O4589" s="28"/>
      <c r="P4589" s="28"/>
      <c r="Q4589" s="28"/>
      <c r="R4589" s="28"/>
      <c r="S4589" s="28"/>
    </row>
    <row r="4590" spans="1:19" x14ac:dyDescent="0.25">
      <c r="A4590" s="28"/>
      <c r="B4590" s="28"/>
      <c r="C4590" s="28"/>
      <c r="D4590" s="28"/>
      <c r="E4590" s="28"/>
      <c r="F4590" s="28"/>
      <c r="G4590" s="28"/>
      <c r="H4590" s="28"/>
      <c r="I4590" s="28"/>
      <c r="J4590" s="28"/>
      <c r="K4590" s="28"/>
      <c r="L4590" s="28"/>
      <c r="M4590" s="28"/>
      <c r="N4590" s="28"/>
      <c r="O4590" s="28"/>
      <c r="P4590" s="28"/>
      <c r="Q4590" s="28"/>
      <c r="R4590" s="28"/>
      <c r="S4590" s="28"/>
    </row>
    <row r="4591" spans="1:19" x14ac:dyDescent="0.25">
      <c r="A4591" s="28"/>
      <c r="B4591" s="28"/>
      <c r="C4591" s="28"/>
      <c r="D4591" s="28"/>
      <c r="E4591" s="28"/>
      <c r="F4591" s="28"/>
      <c r="G4591" s="28"/>
      <c r="H4591" s="28"/>
      <c r="I4591" s="28"/>
      <c r="J4591" s="28"/>
      <c r="K4591" s="28"/>
      <c r="L4591" s="28"/>
      <c r="M4591" s="28"/>
      <c r="N4591" s="28"/>
      <c r="O4591" s="28"/>
      <c r="P4591" s="28"/>
      <c r="Q4591" s="28"/>
      <c r="R4591" s="28"/>
      <c r="S4591" s="28"/>
    </row>
    <row r="4592" spans="1:19" x14ac:dyDescent="0.25">
      <c r="A4592" s="28"/>
      <c r="B4592" s="28"/>
      <c r="C4592" s="28"/>
      <c r="D4592" s="28"/>
      <c r="E4592" s="28"/>
      <c r="F4592" s="28"/>
      <c r="G4592" s="28"/>
      <c r="H4592" s="28"/>
      <c r="I4592" s="28"/>
      <c r="J4592" s="28"/>
      <c r="K4592" s="28"/>
      <c r="L4592" s="28"/>
      <c r="M4592" s="28"/>
      <c r="N4592" s="28"/>
      <c r="O4592" s="28"/>
      <c r="P4592" s="28"/>
      <c r="Q4592" s="28"/>
      <c r="R4592" s="28"/>
      <c r="S4592" s="28"/>
    </row>
    <row r="4593" spans="1:19" x14ac:dyDescent="0.25">
      <c r="A4593" s="28"/>
      <c r="B4593" s="28"/>
      <c r="C4593" s="28"/>
      <c r="D4593" s="28"/>
      <c r="E4593" s="28"/>
      <c r="F4593" s="28"/>
      <c r="G4593" s="28"/>
      <c r="H4593" s="28"/>
      <c r="I4593" s="28"/>
      <c r="J4593" s="28"/>
      <c r="K4593" s="28"/>
      <c r="L4593" s="28"/>
      <c r="M4593" s="28"/>
      <c r="N4593" s="28"/>
      <c r="O4593" s="28"/>
      <c r="P4593" s="28"/>
      <c r="Q4593" s="28"/>
      <c r="R4593" s="28"/>
      <c r="S4593" s="28"/>
    </row>
    <row r="4594" spans="1:19" x14ac:dyDescent="0.25">
      <c r="A4594" s="28"/>
      <c r="B4594" s="28"/>
      <c r="C4594" s="28"/>
      <c r="D4594" s="28"/>
      <c r="E4594" s="28"/>
      <c r="F4594" s="28"/>
      <c r="G4594" s="28"/>
      <c r="H4594" s="28"/>
      <c r="I4594" s="28"/>
      <c r="J4594" s="28"/>
      <c r="K4594" s="28"/>
      <c r="L4594" s="28"/>
      <c r="M4594" s="28"/>
      <c r="N4594" s="28"/>
      <c r="O4594" s="28"/>
      <c r="P4594" s="28"/>
      <c r="Q4594" s="28"/>
      <c r="R4594" s="28"/>
      <c r="S4594" s="28"/>
    </row>
    <row r="4595" spans="1:19" x14ac:dyDescent="0.25">
      <c r="A4595" s="28"/>
      <c r="B4595" s="28"/>
      <c r="C4595" s="28"/>
      <c r="D4595" s="28"/>
      <c r="E4595" s="28"/>
      <c r="F4595" s="28"/>
      <c r="G4595" s="28"/>
      <c r="H4595" s="28"/>
      <c r="I4595" s="28"/>
      <c r="J4595" s="28"/>
      <c r="K4595" s="28"/>
      <c r="L4595" s="28"/>
      <c r="M4595" s="28"/>
      <c r="N4595" s="28"/>
      <c r="O4595" s="28"/>
      <c r="P4595" s="28"/>
      <c r="Q4595" s="28"/>
      <c r="R4595" s="28"/>
      <c r="S4595" s="28"/>
    </row>
    <row r="4596" spans="1:19" x14ac:dyDescent="0.25">
      <c r="A4596" s="28"/>
      <c r="B4596" s="28"/>
      <c r="C4596" s="28"/>
      <c r="D4596" s="28"/>
      <c r="E4596" s="28"/>
      <c r="F4596" s="28"/>
      <c r="G4596" s="28"/>
      <c r="H4596" s="28"/>
      <c r="I4596" s="28"/>
      <c r="J4596" s="28"/>
      <c r="K4596" s="28"/>
      <c r="L4596" s="28"/>
      <c r="M4596" s="28"/>
      <c r="N4596" s="28"/>
      <c r="O4596" s="28"/>
      <c r="P4596" s="28"/>
      <c r="Q4596" s="28"/>
      <c r="R4596" s="28"/>
      <c r="S4596" s="28"/>
    </row>
    <row r="4597" spans="1:19" x14ac:dyDescent="0.25">
      <c r="A4597" s="28"/>
      <c r="B4597" s="28"/>
      <c r="C4597" s="28"/>
      <c r="D4597" s="28"/>
      <c r="E4597" s="28"/>
      <c r="F4597" s="28"/>
      <c r="G4597" s="28"/>
      <c r="H4597" s="28"/>
      <c r="I4597" s="28"/>
      <c r="J4597" s="28"/>
      <c r="K4597" s="28"/>
      <c r="L4597" s="28"/>
      <c r="M4597" s="28"/>
      <c r="N4597" s="28"/>
      <c r="O4597" s="28"/>
      <c r="P4597" s="28"/>
      <c r="Q4597" s="28"/>
      <c r="R4597" s="28"/>
      <c r="S4597" s="28"/>
    </row>
    <row r="4598" spans="1:19" x14ac:dyDescent="0.25">
      <c r="A4598" s="28"/>
      <c r="B4598" s="28"/>
      <c r="C4598" s="28"/>
      <c r="D4598" s="28"/>
      <c r="E4598" s="28"/>
      <c r="F4598" s="28"/>
      <c r="G4598" s="28"/>
      <c r="H4598" s="28"/>
      <c r="I4598" s="28"/>
      <c r="J4598" s="28"/>
      <c r="K4598" s="28"/>
      <c r="L4598" s="28"/>
      <c r="M4598" s="28"/>
      <c r="N4598" s="28"/>
      <c r="O4598" s="28"/>
      <c r="P4598" s="28"/>
      <c r="Q4598" s="28"/>
      <c r="R4598" s="28"/>
      <c r="S4598" s="28"/>
    </row>
    <row r="4599" spans="1:19" x14ac:dyDescent="0.25">
      <c r="A4599" s="28"/>
      <c r="B4599" s="28"/>
      <c r="C4599" s="28"/>
      <c r="D4599" s="28"/>
      <c r="E4599" s="28"/>
      <c r="F4599" s="28"/>
      <c r="G4599" s="28"/>
      <c r="H4599" s="28"/>
      <c r="I4599" s="28"/>
      <c r="J4599" s="28"/>
      <c r="K4599" s="28"/>
      <c r="L4599" s="28"/>
      <c r="M4599" s="28"/>
      <c r="N4599" s="28"/>
      <c r="O4599" s="28"/>
      <c r="P4599" s="28"/>
      <c r="Q4599" s="28"/>
      <c r="R4599" s="28"/>
      <c r="S4599" s="28"/>
    </row>
    <row r="4600" spans="1:19" x14ac:dyDescent="0.25">
      <c r="A4600" s="28"/>
      <c r="B4600" s="28"/>
      <c r="C4600" s="28"/>
      <c r="D4600" s="28"/>
      <c r="E4600" s="28"/>
      <c r="F4600" s="28"/>
      <c r="G4600" s="28"/>
      <c r="H4600" s="28"/>
      <c r="I4600" s="28"/>
      <c r="J4600" s="28"/>
      <c r="K4600" s="28"/>
      <c r="L4600" s="28"/>
      <c r="M4600" s="28"/>
      <c r="N4600" s="28"/>
      <c r="O4600" s="28"/>
      <c r="P4600" s="28"/>
      <c r="Q4600" s="28"/>
      <c r="R4600" s="28"/>
      <c r="S4600" s="28"/>
    </row>
    <row r="4601" spans="1:19" x14ac:dyDescent="0.25">
      <c r="A4601" s="28"/>
      <c r="B4601" s="28"/>
      <c r="C4601" s="28"/>
      <c r="D4601" s="28"/>
      <c r="E4601" s="28"/>
      <c r="F4601" s="28"/>
      <c r="G4601" s="28"/>
      <c r="H4601" s="28"/>
      <c r="I4601" s="28"/>
      <c r="J4601" s="28"/>
      <c r="K4601" s="28"/>
      <c r="L4601" s="28"/>
      <c r="M4601" s="28"/>
      <c r="N4601" s="28"/>
      <c r="O4601" s="28"/>
      <c r="P4601" s="28"/>
      <c r="Q4601" s="28"/>
      <c r="R4601" s="28"/>
      <c r="S4601" s="28"/>
    </row>
    <row r="4602" spans="1:19" x14ac:dyDescent="0.25">
      <c r="A4602" s="28"/>
      <c r="B4602" s="28"/>
      <c r="C4602" s="28"/>
      <c r="D4602" s="28"/>
      <c r="E4602" s="28"/>
      <c r="F4602" s="28"/>
      <c r="G4602" s="28"/>
      <c r="H4602" s="28"/>
      <c r="I4602" s="28"/>
      <c r="J4602" s="28"/>
      <c r="K4602" s="28"/>
      <c r="L4602" s="28"/>
      <c r="M4602" s="28"/>
      <c r="N4602" s="28"/>
      <c r="O4602" s="28"/>
      <c r="P4602" s="28"/>
      <c r="Q4602" s="28"/>
      <c r="R4602" s="28"/>
      <c r="S4602" s="28"/>
    </row>
    <row r="4603" spans="1:19" x14ac:dyDescent="0.25">
      <c r="A4603" s="28"/>
      <c r="B4603" s="28"/>
      <c r="C4603" s="28"/>
      <c r="D4603" s="28"/>
      <c r="E4603" s="28"/>
      <c r="F4603" s="28"/>
      <c r="G4603" s="28"/>
      <c r="H4603" s="28"/>
      <c r="I4603" s="28"/>
      <c r="J4603" s="28"/>
      <c r="K4603" s="28"/>
      <c r="L4603" s="28"/>
      <c r="M4603" s="28"/>
      <c r="N4603" s="28"/>
      <c r="O4603" s="28"/>
      <c r="P4603" s="28"/>
      <c r="Q4603" s="28"/>
      <c r="R4603" s="28"/>
      <c r="S4603" s="28"/>
    </row>
    <row r="4604" spans="1:19" x14ac:dyDescent="0.25">
      <c r="A4604" s="28"/>
      <c r="B4604" s="28"/>
      <c r="C4604" s="28"/>
      <c r="D4604" s="28"/>
      <c r="E4604" s="28"/>
      <c r="F4604" s="28"/>
      <c r="G4604" s="28"/>
      <c r="H4604" s="28"/>
      <c r="I4604" s="28"/>
      <c r="J4604" s="28"/>
      <c r="K4604" s="28"/>
      <c r="L4604" s="28"/>
      <c r="M4604" s="28"/>
      <c r="N4604" s="28"/>
      <c r="O4604" s="28"/>
      <c r="P4604" s="28"/>
      <c r="Q4604" s="28"/>
      <c r="R4604" s="28"/>
      <c r="S4604" s="28"/>
    </row>
    <row r="4605" spans="1:19" x14ac:dyDescent="0.25">
      <c r="A4605" s="28"/>
      <c r="B4605" s="28"/>
      <c r="C4605" s="28"/>
      <c r="D4605" s="28"/>
      <c r="E4605" s="28"/>
      <c r="F4605" s="28"/>
      <c r="G4605" s="28"/>
      <c r="H4605" s="28"/>
      <c r="I4605" s="28"/>
      <c r="J4605" s="28"/>
      <c r="K4605" s="28"/>
      <c r="L4605" s="28"/>
      <c r="M4605" s="28"/>
      <c r="N4605" s="28"/>
      <c r="O4605" s="28"/>
      <c r="P4605" s="28"/>
      <c r="Q4605" s="28"/>
      <c r="R4605" s="28"/>
      <c r="S4605" s="28"/>
    </row>
    <row r="4606" spans="1:19" x14ac:dyDescent="0.25">
      <c r="A4606" s="28"/>
      <c r="B4606" s="28"/>
      <c r="C4606" s="28"/>
      <c r="D4606" s="28"/>
      <c r="E4606" s="28"/>
      <c r="F4606" s="28"/>
      <c r="G4606" s="28"/>
      <c r="H4606" s="28"/>
      <c r="I4606" s="28"/>
      <c r="J4606" s="28"/>
      <c r="K4606" s="28"/>
      <c r="L4606" s="28"/>
      <c r="M4606" s="28"/>
      <c r="N4606" s="28"/>
      <c r="O4606" s="28"/>
      <c r="P4606" s="28"/>
      <c r="Q4606" s="28"/>
      <c r="R4606" s="28"/>
      <c r="S4606" s="28"/>
    </row>
    <row r="4607" spans="1:19" x14ac:dyDescent="0.25">
      <c r="A4607" s="28"/>
      <c r="B4607" s="28"/>
      <c r="C4607" s="28"/>
      <c r="D4607" s="28"/>
      <c r="E4607" s="28"/>
      <c r="F4607" s="28"/>
      <c r="G4607" s="28"/>
      <c r="H4607" s="28"/>
      <c r="I4607" s="28"/>
      <c r="J4607" s="28"/>
      <c r="K4607" s="28"/>
      <c r="L4607" s="28"/>
      <c r="M4607" s="28"/>
      <c r="N4607" s="28"/>
      <c r="O4607" s="28"/>
      <c r="P4607" s="28"/>
      <c r="Q4607" s="28"/>
      <c r="R4607" s="28"/>
      <c r="S4607" s="28"/>
    </row>
    <row r="4608" spans="1:19" x14ac:dyDescent="0.25">
      <c r="A4608" s="28"/>
      <c r="B4608" s="28"/>
      <c r="C4608" s="28"/>
      <c r="D4608" s="28"/>
      <c r="E4608" s="28"/>
      <c r="F4608" s="28"/>
      <c r="G4608" s="28"/>
      <c r="H4608" s="28"/>
      <c r="I4608" s="28"/>
      <c r="J4608" s="28"/>
      <c r="K4608" s="28"/>
      <c r="L4608" s="28"/>
      <c r="M4608" s="28"/>
      <c r="N4608" s="28"/>
      <c r="O4608" s="28"/>
      <c r="P4608" s="28"/>
      <c r="Q4608" s="28"/>
      <c r="R4608" s="28"/>
      <c r="S4608" s="28"/>
    </row>
    <row r="4609" spans="1:19" x14ac:dyDescent="0.25">
      <c r="A4609" s="28"/>
      <c r="B4609" s="28"/>
      <c r="C4609" s="28"/>
      <c r="D4609" s="28"/>
      <c r="E4609" s="28"/>
      <c r="F4609" s="28"/>
      <c r="G4609" s="28"/>
      <c r="H4609" s="28"/>
      <c r="I4609" s="28"/>
      <c r="J4609" s="28"/>
      <c r="K4609" s="28"/>
      <c r="L4609" s="28"/>
      <c r="M4609" s="28"/>
      <c r="N4609" s="28"/>
      <c r="O4609" s="28"/>
      <c r="P4609" s="28"/>
      <c r="Q4609" s="28"/>
      <c r="R4609" s="28"/>
      <c r="S4609" s="28"/>
    </row>
    <row r="4610" spans="1:19" x14ac:dyDescent="0.25">
      <c r="A4610" s="28"/>
      <c r="B4610" s="28"/>
      <c r="C4610" s="28"/>
      <c r="D4610" s="28"/>
      <c r="E4610" s="28"/>
      <c r="F4610" s="28"/>
      <c r="G4610" s="28"/>
      <c r="H4610" s="28"/>
      <c r="I4610" s="28"/>
      <c r="J4610" s="28"/>
      <c r="K4610" s="28"/>
      <c r="L4610" s="28"/>
      <c r="M4610" s="28"/>
      <c r="N4610" s="28"/>
      <c r="O4610" s="28"/>
      <c r="P4610" s="28"/>
      <c r="Q4610" s="28"/>
      <c r="R4610" s="28"/>
      <c r="S4610" s="28"/>
    </row>
    <row r="4611" spans="1:19" x14ac:dyDescent="0.25">
      <c r="A4611" s="28"/>
      <c r="B4611" s="28"/>
      <c r="C4611" s="28"/>
      <c r="D4611" s="28"/>
      <c r="E4611" s="28"/>
      <c r="F4611" s="28"/>
      <c r="G4611" s="28"/>
      <c r="H4611" s="28"/>
      <c r="I4611" s="28"/>
      <c r="J4611" s="28"/>
      <c r="K4611" s="28"/>
      <c r="L4611" s="28"/>
      <c r="M4611" s="28"/>
      <c r="N4611" s="28"/>
      <c r="O4611" s="28"/>
      <c r="P4611" s="28"/>
      <c r="Q4611" s="28"/>
      <c r="R4611" s="28"/>
      <c r="S4611" s="28"/>
    </row>
    <row r="4612" spans="1:19" x14ac:dyDescent="0.25">
      <c r="A4612" s="28"/>
      <c r="B4612" s="28"/>
      <c r="C4612" s="28"/>
      <c r="D4612" s="28"/>
      <c r="E4612" s="28"/>
      <c r="F4612" s="28"/>
      <c r="G4612" s="28"/>
      <c r="H4612" s="28"/>
      <c r="I4612" s="28"/>
      <c r="J4612" s="28"/>
      <c r="K4612" s="28"/>
      <c r="L4612" s="28"/>
      <c r="M4612" s="28"/>
      <c r="N4612" s="28"/>
      <c r="O4612" s="28"/>
      <c r="P4612" s="28"/>
      <c r="Q4612" s="28"/>
      <c r="R4612" s="28"/>
      <c r="S4612" s="28"/>
    </row>
    <row r="4613" spans="1:19" x14ac:dyDescent="0.25">
      <c r="A4613" s="28"/>
      <c r="B4613" s="28"/>
      <c r="C4613" s="28"/>
      <c r="D4613" s="28"/>
      <c r="E4613" s="28"/>
      <c r="F4613" s="28"/>
      <c r="G4613" s="28"/>
      <c r="H4613" s="28"/>
      <c r="I4613" s="28"/>
      <c r="J4613" s="28"/>
      <c r="K4613" s="28"/>
      <c r="L4613" s="28"/>
      <c r="M4613" s="28"/>
      <c r="N4613" s="28"/>
      <c r="O4613" s="28"/>
      <c r="P4613" s="28"/>
      <c r="Q4613" s="28"/>
      <c r="R4613" s="28"/>
      <c r="S4613" s="28"/>
    </row>
    <row r="4614" spans="1:19" x14ac:dyDescent="0.25">
      <c r="A4614" s="28"/>
      <c r="B4614" s="28"/>
      <c r="C4614" s="28"/>
      <c r="D4614" s="28"/>
      <c r="E4614" s="28"/>
      <c r="F4614" s="28"/>
      <c r="G4614" s="28"/>
      <c r="H4614" s="28"/>
      <c r="I4614" s="28"/>
      <c r="J4614" s="28"/>
      <c r="K4614" s="28"/>
      <c r="L4614" s="28"/>
      <c r="M4614" s="28"/>
      <c r="N4614" s="28"/>
      <c r="O4614" s="28"/>
      <c r="P4614" s="28"/>
      <c r="Q4614" s="28"/>
      <c r="R4614" s="28"/>
      <c r="S4614" s="28"/>
    </row>
    <row r="4615" spans="1:19" x14ac:dyDescent="0.25">
      <c r="A4615" s="28"/>
      <c r="B4615" s="28"/>
      <c r="C4615" s="28"/>
      <c r="D4615" s="28"/>
      <c r="E4615" s="28"/>
      <c r="F4615" s="28"/>
      <c r="G4615" s="28"/>
      <c r="H4615" s="28"/>
      <c r="I4615" s="28"/>
      <c r="J4615" s="28"/>
      <c r="K4615" s="28"/>
      <c r="L4615" s="28"/>
      <c r="M4615" s="28"/>
      <c r="N4615" s="28"/>
      <c r="O4615" s="28"/>
      <c r="P4615" s="28"/>
      <c r="Q4615" s="28"/>
      <c r="R4615" s="28"/>
      <c r="S4615" s="28"/>
    </row>
    <row r="4616" spans="1:19" x14ac:dyDescent="0.25">
      <c r="A4616" s="28"/>
      <c r="B4616" s="28"/>
      <c r="C4616" s="28"/>
      <c r="D4616" s="28"/>
      <c r="E4616" s="28"/>
      <c r="F4616" s="28"/>
      <c r="G4616" s="28"/>
      <c r="H4616" s="28"/>
      <c r="I4616" s="28"/>
      <c r="J4616" s="28"/>
      <c r="K4616" s="28"/>
      <c r="L4616" s="28"/>
      <c r="M4616" s="28"/>
      <c r="N4616" s="28"/>
      <c r="O4616" s="28"/>
      <c r="P4616" s="28"/>
      <c r="Q4616" s="28"/>
      <c r="R4616" s="28"/>
      <c r="S4616" s="28"/>
    </row>
    <row r="4617" spans="1:19" x14ac:dyDescent="0.25">
      <c r="A4617" s="28"/>
      <c r="B4617" s="28"/>
      <c r="C4617" s="28"/>
      <c r="D4617" s="28"/>
      <c r="E4617" s="28"/>
      <c r="F4617" s="28"/>
      <c r="G4617" s="28"/>
      <c r="H4617" s="28"/>
      <c r="I4617" s="28"/>
      <c r="J4617" s="28"/>
      <c r="K4617" s="28"/>
      <c r="L4617" s="28"/>
      <c r="M4617" s="28"/>
      <c r="N4617" s="28"/>
      <c r="O4617" s="28"/>
      <c r="P4617" s="28"/>
      <c r="Q4617" s="28"/>
      <c r="R4617" s="28"/>
      <c r="S4617" s="28"/>
    </row>
    <row r="4618" spans="1:19" x14ac:dyDescent="0.25">
      <c r="A4618" s="28"/>
      <c r="B4618" s="28"/>
      <c r="C4618" s="28"/>
      <c r="D4618" s="28"/>
      <c r="E4618" s="28"/>
      <c r="F4618" s="28"/>
      <c r="G4618" s="28"/>
      <c r="H4618" s="28"/>
      <c r="I4618" s="28"/>
      <c r="J4618" s="28"/>
      <c r="K4618" s="28"/>
      <c r="L4618" s="28"/>
      <c r="M4618" s="28"/>
      <c r="N4618" s="28"/>
      <c r="O4618" s="28"/>
      <c r="P4618" s="28"/>
      <c r="Q4618" s="28"/>
      <c r="R4618" s="28"/>
      <c r="S4618" s="28"/>
    </row>
    <row r="4619" spans="1:19" x14ac:dyDescent="0.25">
      <c r="A4619" s="28"/>
      <c r="B4619" s="28"/>
      <c r="C4619" s="28"/>
      <c r="D4619" s="28"/>
      <c r="E4619" s="28"/>
      <c r="F4619" s="28"/>
      <c r="G4619" s="28"/>
      <c r="H4619" s="28"/>
      <c r="I4619" s="28"/>
      <c r="J4619" s="28"/>
      <c r="K4619" s="28"/>
      <c r="L4619" s="28"/>
      <c r="M4619" s="28"/>
      <c r="N4619" s="28"/>
      <c r="O4619" s="28"/>
      <c r="P4619" s="28"/>
      <c r="Q4619" s="28"/>
      <c r="R4619" s="28"/>
      <c r="S4619" s="28"/>
    </row>
    <row r="4620" spans="1:19" x14ac:dyDescent="0.25">
      <c r="A4620" s="28"/>
      <c r="B4620" s="28"/>
      <c r="C4620" s="28"/>
      <c r="D4620" s="28"/>
      <c r="E4620" s="28"/>
      <c r="F4620" s="28"/>
      <c r="G4620" s="28"/>
      <c r="H4620" s="28"/>
      <c r="I4620" s="28"/>
      <c r="J4620" s="28"/>
      <c r="K4620" s="28"/>
      <c r="L4620" s="28"/>
      <c r="M4620" s="28"/>
      <c r="N4620" s="28"/>
      <c r="O4620" s="28"/>
      <c r="P4620" s="28"/>
      <c r="Q4620" s="28"/>
      <c r="R4620" s="28"/>
      <c r="S4620" s="28"/>
    </row>
    <row r="4621" spans="1:19" x14ac:dyDescent="0.25">
      <c r="A4621" s="28"/>
      <c r="B4621" s="28"/>
      <c r="C4621" s="28"/>
      <c r="D4621" s="28"/>
      <c r="E4621" s="28"/>
      <c r="F4621" s="28"/>
      <c r="G4621" s="28"/>
      <c r="H4621" s="28"/>
      <c r="I4621" s="28"/>
      <c r="J4621" s="28"/>
      <c r="K4621" s="28"/>
      <c r="L4621" s="28"/>
      <c r="M4621" s="28"/>
      <c r="N4621" s="28"/>
      <c r="O4621" s="28"/>
      <c r="P4621" s="28"/>
      <c r="Q4621" s="28"/>
      <c r="R4621" s="28"/>
      <c r="S4621" s="28"/>
    </row>
    <row r="4622" spans="1:19" x14ac:dyDescent="0.25">
      <c r="A4622" s="28"/>
      <c r="B4622" s="28"/>
      <c r="C4622" s="28"/>
      <c r="D4622" s="28"/>
      <c r="E4622" s="28"/>
      <c r="F4622" s="28"/>
      <c r="G4622" s="28"/>
      <c r="H4622" s="28"/>
      <c r="I4622" s="28"/>
      <c r="J4622" s="28"/>
      <c r="K4622" s="28"/>
      <c r="L4622" s="28"/>
      <c r="M4622" s="28"/>
      <c r="N4622" s="28"/>
      <c r="O4622" s="28"/>
      <c r="P4622" s="28"/>
      <c r="Q4622" s="28"/>
      <c r="R4622" s="28"/>
      <c r="S4622" s="28"/>
    </row>
    <row r="4623" spans="1:19" x14ac:dyDescent="0.25">
      <c r="A4623" s="28"/>
      <c r="B4623" s="28"/>
      <c r="C4623" s="28"/>
      <c r="D4623" s="28"/>
      <c r="E4623" s="28"/>
      <c r="F4623" s="28"/>
      <c r="G4623" s="28"/>
      <c r="H4623" s="28"/>
      <c r="I4623" s="28"/>
      <c r="J4623" s="28"/>
      <c r="K4623" s="28"/>
      <c r="L4623" s="28"/>
      <c r="M4623" s="28"/>
      <c r="N4623" s="28"/>
      <c r="O4623" s="28"/>
      <c r="P4623" s="28"/>
      <c r="Q4623" s="28"/>
      <c r="R4623" s="28"/>
      <c r="S4623" s="28"/>
    </row>
    <row r="4624" spans="1:19" x14ac:dyDescent="0.25">
      <c r="A4624" s="28"/>
      <c r="B4624" s="28"/>
      <c r="C4624" s="28"/>
      <c r="D4624" s="28"/>
      <c r="E4624" s="28"/>
      <c r="F4624" s="28"/>
      <c r="G4624" s="28"/>
      <c r="H4624" s="28"/>
      <c r="I4624" s="28"/>
      <c r="J4624" s="28"/>
      <c r="K4624" s="28"/>
      <c r="L4624" s="28"/>
      <c r="M4624" s="28"/>
      <c r="N4624" s="28"/>
      <c r="O4624" s="28"/>
      <c r="P4624" s="28"/>
      <c r="Q4624" s="28"/>
      <c r="R4624" s="28"/>
      <c r="S4624" s="28"/>
    </row>
    <row r="4625" spans="1:19" x14ac:dyDescent="0.25">
      <c r="A4625" s="28"/>
      <c r="B4625" s="28"/>
      <c r="C4625" s="28"/>
      <c r="D4625" s="28"/>
      <c r="E4625" s="28"/>
      <c r="F4625" s="28"/>
      <c r="G4625" s="28"/>
      <c r="H4625" s="28"/>
      <c r="I4625" s="28"/>
      <c r="J4625" s="28"/>
      <c r="K4625" s="28"/>
      <c r="L4625" s="28"/>
      <c r="M4625" s="28"/>
      <c r="N4625" s="28"/>
      <c r="O4625" s="28"/>
      <c r="P4625" s="28"/>
      <c r="Q4625" s="28"/>
      <c r="R4625" s="28"/>
      <c r="S4625" s="28"/>
    </row>
    <row r="4626" spans="1:19" x14ac:dyDescent="0.25">
      <c r="A4626" s="28"/>
      <c r="B4626" s="28"/>
      <c r="C4626" s="28"/>
      <c r="D4626" s="28"/>
      <c r="E4626" s="28"/>
      <c r="F4626" s="28"/>
      <c r="G4626" s="28"/>
      <c r="H4626" s="28"/>
      <c r="I4626" s="28"/>
      <c r="J4626" s="28"/>
      <c r="K4626" s="28"/>
      <c r="L4626" s="28"/>
      <c r="M4626" s="28"/>
      <c r="N4626" s="28"/>
      <c r="O4626" s="28"/>
      <c r="P4626" s="28"/>
      <c r="Q4626" s="28"/>
      <c r="R4626" s="28"/>
      <c r="S4626" s="28"/>
    </row>
    <row r="4627" spans="1:19" x14ac:dyDescent="0.25">
      <c r="A4627" s="28"/>
      <c r="B4627" s="28"/>
      <c r="C4627" s="28"/>
      <c r="D4627" s="28"/>
      <c r="E4627" s="28"/>
      <c r="F4627" s="28"/>
      <c r="G4627" s="28"/>
      <c r="H4627" s="28"/>
      <c r="I4627" s="28"/>
      <c r="J4627" s="28"/>
      <c r="K4627" s="28"/>
      <c r="L4627" s="28"/>
      <c r="M4627" s="28"/>
      <c r="N4627" s="28"/>
      <c r="O4627" s="28"/>
      <c r="P4627" s="28"/>
      <c r="Q4627" s="28"/>
      <c r="R4627" s="28"/>
      <c r="S4627" s="28"/>
    </row>
    <row r="4628" spans="1:19" x14ac:dyDescent="0.25">
      <c r="A4628" s="28"/>
      <c r="B4628" s="28"/>
      <c r="C4628" s="28"/>
      <c r="D4628" s="28"/>
      <c r="E4628" s="28"/>
      <c r="F4628" s="28"/>
      <c r="G4628" s="28"/>
      <c r="H4628" s="28"/>
      <c r="I4628" s="28"/>
      <c r="J4628" s="28"/>
      <c r="K4628" s="28"/>
      <c r="L4628" s="28"/>
      <c r="M4628" s="28"/>
      <c r="N4628" s="28"/>
      <c r="O4628" s="28"/>
      <c r="P4628" s="28"/>
      <c r="Q4628" s="28"/>
      <c r="R4628" s="28"/>
      <c r="S4628" s="28"/>
    </row>
    <row r="4629" spans="1:19" x14ac:dyDescent="0.25">
      <c r="A4629" s="28"/>
      <c r="B4629" s="28"/>
      <c r="C4629" s="28"/>
      <c r="D4629" s="28"/>
      <c r="E4629" s="28"/>
      <c r="F4629" s="28"/>
      <c r="G4629" s="28"/>
      <c r="H4629" s="28"/>
      <c r="I4629" s="28"/>
      <c r="J4629" s="28"/>
      <c r="K4629" s="28"/>
      <c r="L4629" s="28"/>
      <c r="M4629" s="28"/>
      <c r="N4629" s="28"/>
      <c r="O4629" s="28"/>
      <c r="P4629" s="28"/>
      <c r="Q4629" s="28"/>
      <c r="R4629" s="28"/>
      <c r="S4629" s="28"/>
    </row>
    <row r="4630" spans="1:19" x14ac:dyDescent="0.25">
      <c r="A4630" s="28"/>
      <c r="B4630" s="28"/>
      <c r="C4630" s="28"/>
      <c r="D4630" s="28"/>
      <c r="E4630" s="28"/>
      <c r="F4630" s="28"/>
      <c r="G4630" s="28"/>
      <c r="H4630" s="28"/>
      <c r="I4630" s="28"/>
      <c r="J4630" s="28"/>
      <c r="K4630" s="28"/>
      <c r="L4630" s="28"/>
      <c r="M4630" s="28"/>
      <c r="N4630" s="28"/>
      <c r="O4630" s="28"/>
      <c r="P4630" s="28"/>
      <c r="Q4630" s="28"/>
      <c r="R4630" s="28"/>
      <c r="S4630" s="28"/>
    </row>
    <row r="4631" spans="1:19" x14ac:dyDescent="0.25">
      <c r="A4631" s="28"/>
      <c r="B4631" s="28"/>
      <c r="C4631" s="28"/>
      <c r="D4631" s="28"/>
      <c r="E4631" s="28"/>
      <c r="F4631" s="28"/>
      <c r="G4631" s="28"/>
      <c r="H4631" s="28"/>
      <c r="I4631" s="28"/>
      <c r="J4631" s="28"/>
      <c r="K4631" s="28"/>
      <c r="L4631" s="28"/>
      <c r="M4631" s="28"/>
      <c r="N4631" s="28"/>
      <c r="O4631" s="28"/>
      <c r="P4631" s="28"/>
      <c r="Q4631" s="28"/>
      <c r="R4631" s="28"/>
      <c r="S4631" s="28"/>
    </row>
    <row r="4632" spans="1:19" x14ac:dyDescent="0.25">
      <c r="A4632" s="28"/>
      <c r="B4632" s="28"/>
      <c r="C4632" s="28"/>
      <c r="D4632" s="28"/>
      <c r="E4632" s="28"/>
      <c r="F4632" s="28"/>
      <c r="G4632" s="28"/>
      <c r="H4632" s="28"/>
      <c r="I4632" s="28"/>
      <c r="J4632" s="28"/>
      <c r="K4632" s="28"/>
      <c r="L4632" s="28"/>
      <c r="M4632" s="28"/>
      <c r="N4632" s="28"/>
      <c r="O4632" s="28"/>
      <c r="P4632" s="28"/>
      <c r="Q4632" s="28"/>
      <c r="R4632" s="28"/>
      <c r="S4632" s="28"/>
    </row>
    <row r="4633" spans="1:19" x14ac:dyDescent="0.25">
      <c r="A4633" s="28"/>
      <c r="B4633" s="28"/>
      <c r="C4633" s="28"/>
      <c r="D4633" s="28"/>
      <c r="E4633" s="28"/>
      <c r="F4633" s="28"/>
      <c r="G4633" s="28"/>
      <c r="H4633" s="28"/>
      <c r="I4633" s="28"/>
      <c r="J4633" s="28"/>
      <c r="K4633" s="28"/>
      <c r="L4633" s="28"/>
      <c r="M4633" s="28"/>
      <c r="N4633" s="28"/>
      <c r="O4633" s="28"/>
      <c r="P4633" s="28"/>
      <c r="Q4633" s="28"/>
      <c r="R4633" s="28"/>
      <c r="S4633" s="28"/>
    </row>
    <row r="4634" spans="1:19" x14ac:dyDescent="0.25">
      <c r="A4634" s="28"/>
      <c r="B4634" s="28"/>
      <c r="C4634" s="28"/>
      <c r="D4634" s="28"/>
      <c r="E4634" s="28"/>
      <c r="F4634" s="28"/>
      <c r="G4634" s="28"/>
      <c r="H4634" s="28"/>
      <c r="I4634" s="28"/>
      <c r="J4634" s="28"/>
      <c r="K4634" s="28"/>
      <c r="L4634" s="28"/>
      <c r="M4634" s="28"/>
      <c r="N4634" s="28"/>
      <c r="O4634" s="28"/>
      <c r="P4634" s="28"/>
      <c r="Q4634" s="28"/>
      <c r="R4634" s="28"/>
      <c r="S4634" s="28"/>
    </row>
    <row r="4635" spans="1:19" x14ac:dyDescent="0.25">
      <c r="A4635" s="28"/>
      <c r="B4635" s="28"/>
      <c r="C4635" s="28"/>
      <c r="D4635" s="28"/>
      <c r="E4635" s="28"/>
      <c r="F4635" s="28"/>
      <c r="G4635" s="28"/>
      <c r="H4635" s="28"/>
      <c r="I4635" s="28"/>
      <c r="J4635" s="28"/>
      <c r="K4635" s="28"/>
      <c r="L4635" s="28"/>
      <c r="M4635" s="28"/>
      <c r="N4635" s="28"/>
      <c r="O4635" s="28"/>
      <c r="P4635" s="28"/>
      <c r="Q4635" s="28"/>
      <c r="R4635" s="28"/>
      <c r="S4635" s="28"/>
    </row>
    <row r="4636" spans="1:19" x14ac:dyDescent="0.25">
      <c r="A4636" s="28"/>
      <c r="B4636" s="28"/>
      <c r="C4636" s="28"/>
      <c r="D4636" s="28"/>
      <c r="E4636" s="28"/>
      <c r="F4636" s="28"/>
      <c r="G4636" s="28"/>
      <c r="H4636" s="28"/>
      <c r="I4636" s="28"/>
      <c r="J4636" s="28"/>
      <c r="K4636" s="28"/>
      <c r="L4636" s="28"/>
      <c r="M4636" s="28"/>
      <c r="N4636" s="28"/>
      <c r="O4636" s="28"/>
      <c r="P4636" s="28"/>
      <c r="Q4636" s="28"/>
      <c r="R4636" s="28"/>
      <c r="S4636" s="28"/>
    </row>
    <row r="4637" spans="1:19" x14ac:dyDescent="0.25">
      <c r="A4637" s="28"/>
      <c r="B4637" s="28"/>
      <c r="C4637" s="28"/>
      <c r="D4637" s="28"/>
      <c r="E4637" s="28"/>
      <c r="F4637" s="28"/>
      <c r="G4637" s="28"/>
      <c r="H4637" s="28"/>
      <c r="I4637" s="28"/>
      <c r="J4637" s="28"/>
      <c r="K4637" s="28"/>
      <c r="L4637" s="28"/>
      <c r="M4637" s="28"/>
      <c r="N4637" s="28"/>
      <c r="O4637" s="28"/>
      <c r="P4637" s="28"/>
      <c r="Q4637" s="28"/>
      <c r="R4637" s="28"/>
      <c r="S4637" s="28"/>
    </row>
    <row r="4638" spans="1:19" x14ac:dyDescent="0.25">
      <c r="A4638" s="28"/>
      <c r="B4638" s="28"/>
      <c r="C4638" s="28"/>
      <c r="D4638" s="28"/>
      <c r="E4638" s="28"/>
      <c r="F4638" s="28"/>
      <c r="G4638" s="28"/>
      <c r="H4638" s="28"/>
      <c r="I4638" s="28"/>
      <c r="J4638" s="28"/>
      <c r="K4638" s="28"/>
      <c r="L4638" s="28"/>
      <c r="M4638" s="28"/>
      <c r="N4638" s="28"/>
      <c r="O4638" s="28"/>
      <c r="P4638" s="28"/>
      <c r="Q4638" s="28"/>
      <c r="R4638" s="28"/>
      <c r="S4638" s="28"/>
    </row>
    <row r="4639" spans="1:19" x14ac:dyDescent="0.25">
      <c r="A4639" s="28"/>
      <c r="B4639" s="28"/>
      <c r="C4639" s="28"/>
      <c r="D4639" s="28"/>
      <c r="E4639" s="28"/>
      <c r="F4639" s="28"/>
      <c r="G4639" s="28"/>
      <c r="H4639" s="28"/>
      <c r="I4639" s="28"/>
      <c r="J4639" s="28"/>
      <c r="K4639" s="28"/>
      <c r="L4639" s="28"/>
      <c r="M4639" s="28"/>
      <c r="N4639" s="28"/>
      <c r="O4639" s="28"/>
      <c r="P4639" s="28"/>
      <c r="Q4639" s="28"/>
      <c r="R4639" s="28"/>
      <c r="S4639" s="28"/>
    </row>
    <row r="4640" spans="1:19" x14ac:dyDescent="0.25">
      <c r="A4640" s="28"/>
      <c r="B4640" s="28"/>
      <c r="C4640" s="28"/>
      <c r="D4640" s="28"/>
      <c r="E4640" s="28"/>
      <c r="F4640" s="28"/>
      <c r="G4640" s="28"/>
      <c r="H4640" s="28"/>
      <c r="I4640" s="28"/>
      <c r="J4640" s="28"/>
      <c r="K4640" s="28"/>
      <c r="L4640" s="28"/>
      <c r="M4640" s="28"/>
      <c r="N4640" s="28"/>
      <c r="O4640" s="28"/>
      <c r="P4640" s="28"/>
      <c r="Q4640" s="28"/>
      <c r="R4640" s="28"/>
      <c r="S4640" s="28"/>
    </row>
    <row r="4641" spans="1:19" x14ac:dyDescent="0.25">
      <c r="A4641" s="28"/>
      <c r="B4641" s="28"/>
      <c r="C4641" s="28"/>
      <c r="D4641" s="28"/>
      <c r="E4641" s="28"/>
      <c r="F4641" s="28"/>
      <c r="G4641" s="28"/>
      <c r="H4641" s="28"/>
      <c r="I4641" s="28"/>
      <c r="J4641" s="28"/>
      <c r="K4641" s="28"/>
      <c r="L4641" s="28"/>
      <c r="M4641" s="28"/>
      <c r="N4641" s="28"/>
      <c r="O4641" s="28"/>
      <c r="P4641" s="28"/>
      <c r="Q4641" s="28"/>
      <c r="R4641" s="28"/>
      <c r="S4641" s="28"/>
    </row>
    <row r="4642" spans="1:19" x14ac:dyDescent="0.25">
      <c r="A4642" s="28"/>
      <c r="B4642" s="28"/>
      <c r="C4642" s="28"/>
      <c r="D4642" s="28"/>
      <c r="E4642" s="28"/>
      <c r="F4642" s="28"/>
      <c r="G4642" s="28"/>
      <c r="H4642" s="28"/>
      <c r="I4642" s="28"/>
      <c r="J4642" s="28"/>
      <c r="K4642" s="28"/>
      <c r="L4642" s="28"/>
      <c r="M4642" s="28"/>
      <c r="N4642" s="28"/>
      <c r="O4642" s="28"/>
      <c r="P4642" s="28"/>
      <c r="Q4642" s="28"/>
      <c r="R4642" s="28"/>
      <c r="S4642" s="28"/>
    </row>
    <row r="4643" spans="1:19" x14ac:dyDescent="0.25">
      <c r="A4643" s="28"/>
      <c r="B4643" s="28"/>
      <c r="C4643" s="28"/>
      <c r="D4643" s="28"/>
      <c r="E4643" s="28"/>
      <c r="F4643" s="28"/>
      <c r="G4643" s="28"/>
      <c r="H4643" s="28"/>
      <c r="I4643" s="28"/>
      <c r="J4643" s="28"/>
      <c r="K4643" s="28"/>
      <c r="L4643" s="28"/>
      <c r="M4643" s="28"/>
      <c r="N4643" s="28"/>
      <c r="O4643" s="28"/>
      <c r="P4643" s="28"/>
      <c r="Q4643" s="28"/>
      <c r="R4643" s="28"/>
      <c r="S4643" s="28"/>
    </row>
    <row r="4644" spans="1:19" x14ac:dyDescent="0.25">
      <c r="A4644" s="28"/>
      <c r="B4644" s="28"/>
      <c r="C4644" s="28"/>
      <c r="D4644" s="28"/>
      <c r="E4644" s="28"/>
      <c r="F4644" s="28"/>
      <c r="G4644" s="28"/>
      <c r="H4644" s="28"/>
      <c r="I4644" s="28"/>
      <c r="J4644" s="28"/>
      <c r="K4644" s="28"/>
      <c r="L4644" s="28"/>
      <c r="M4644" s="28"/>
      <c r="N4644" s="28"/>
      <c r="O4644" s="28"/>
      <c r="P4644" s="28"/>
      <c r="Q4644" s="28"/>
      <c r="R4644" s="28"/>
      <c r="S4644" s="28"/>
    </row>
    <row r="4645" spans="1:19" x14ac:dyDescent="0.25">
      <c r="A4645" s="28"/>
      <c r="B4645" s="28"/>
      <c r="C4645" s="28"/>
      <c r="D4645" s="28"/>
      <c r="E4645" s="28"/>
      <c r="F4645" s="28"/>
      <c r="G4645" s="28"/>
      <c r="H4645" s="28"/>
      <c r="I4645" s="28"/>
      <c r="J4645" s="28"/>
      <c r="K4645" s="28"/>
      <c r="L4645" s="28"/>
      <c r="M4645" s="28"/>
      <c r="N4645" s="28"/>
      <c r="O4645" s="28"/>
      <c r="P4645" s="28"/>
      <c r="Q4645" s="28"/>
      <c r="R4645" s="28"/>
      <c r="S4645" s="28"/>
    </row>
    <row r="4646" spans="1:19" x14ac:dyDescent="0.25">
      <c r="A4646" s="28"/>
      <c r="B4646" s="28"/>
      <c r="C4646" s="28"/>
      <c r="D4646" s="28"/>
      <c r="E4646" s="28"/>
      <c r="F4646" s="28"/>
      <c r="G4646" s="28"/>
      <c r="H4646" s="28"/>
      <c r="I4646" s="28"/>
      <c r="J4646" s="28"/>
      <c r="K4646" s="28"/>
      <c r="L4646" s="28"/>
      <c r="M4646" s="28"/>
      <c r="N4646" s="28"/>
      <c r="O4646" s="28"/>
      <c r="P4646" s="28"/>
      <c r="Q4646" s="28"/>
      <c r="R4646" s="28"/>
      <c r="S4646" s="28"/>
    </row>
    <row r="4647" spans="1:19" x14ac:dyDescent="0.25">
      <c r="A4647" s="28"/>
      <c r="B4647" s="28"/>
      <c r="C4647" s="28"/>
      <c r="D4647" s="28"/>
      <c r="E4647" s="28"/>
      <c r="F4647" s="28"/>
      <c r="G4647" s="28"/>
      <c r="H4647" s="28"/>
      <c r="I4647" s="28"/>
      <c r="J4647" s="28"/>
      <c r="K4647" s="28"/>
      <c r="L4647" s="28"/>
      <c r="M4647" s="28"/>
      <c r="N4647" s="28"/>
      <c r="O4647" s="28"/>
      <c r="P4647" s="28"/>
      <c r="Q4647" s="28"/>
      <c r="R4647" s="28"/>
      <c r="S4647" s="28"/>
    </row>
    <row r="4648" spans="1:19" x14ac:dyDescent="0.25">
      <c r="A4648" s="28"/>
      <c r="B4648" s="28"/>
      <c r="C4648" s="28"/>
      <c r="D4648" s="28"/>
      <c r="E4648" s="28"/>
      <c r="F4648" s="28"/>
      <c r="G4648" s="28"/>
      <c r="H4648" s="28"/>
      <c r="I4648" s="28"/>
      <c r="J4648" s="28"/>
      <c r="K4648" s="28"/>
      <c r="L4648" s="28"/>
      <c r="M4648" s="28"/>
      <c r="N4648" s="28"/>
      <c r="O4648" s="28"/>
      <c r="P4648" s="28"/>
      <c r="Q4648" s="28"/>
      <c r="R4648" s="28"/>
      <c r="S4648" s="28"/>
    </row>
    <row r="4649" spans="1:19" x14ac:dyDescent="0.25">
      <c r="A4649" s="28"/>
      <c r="B4649" s="28"/>
      <c r="C4649" s="28"/>
      <c r="D4649" s="28"/>
      <c r="E4649" s="28"/>
      <c r="F4649" s="28"/>
      <c r="G4649" s="28"/>
      <c r="H4649" s="28"/>
      <c r="I4649" s="28"/>
      <c r="J4649" s="28"/>
      <c r="K4649" s="28"/>
      <c r="L4649" s="28"/>
      <c r="M4649" s="28"/>
      <c r="N4649" s="28"/>
      <c r="O4649" s="28"/>
      <c r="P4649" s="28"/>
      <c r="Q4649" s="28"/>
      <c r="R4649" s="28"/>
      <c r="S4649" s="28"/>
    </row>
    <row r="4650" spans="1:19" x14ac:dyDescent="0.25">
      <c r="A4650" s="28"/>
      <c r="B4650" s="28"/>
      <c r="C4650" s="28"/>
      <c r="D4650" s="28"/>
      <c r="E4650" s="28"/>
      <c r="F4650" s="28"/>
      <c r="G4650" s="28"/>
      <c r="H4650" s="28"/>
      <c r="I4650" s="28"/>
      <c r="J4650" s="28"/>
      <c r="K4650" s="28"/>
      <c r="L4650" s="28"/>
      <c r="M4650" s="28"/>
      <c r="N4650" s="28"/>
      <c r="O4650" s="28"/>
      <c r="P4650" s="28"/>
      <c r="Q4650" s="28"/>
      <c r="R4650" s="28"/>
      <c r="S4650" s="28"/>
    </row>
    <row r="4651" spans="1:19" x14ac:dyDescent="0.25">
      <c r="A4651" s="28"/>
      <c r="B4651" s="28"/>
      <c r="C4651" s="28"/>
      <c r="D4651" s="28"/>
      <c r="E4651" s="28"/>
      <c r="F4651" s="28"/>
      <c r="G4651" s="28"/>
      <c r="H4651" s="28"/>
      <c r="I4651" s="28"/>
      <c r="J4651" s="28"/>
      <c r="K4651" s="28"/>
      <c r="L4651" s="28"/>
      <c r="M4651" s="28"/>
      <c r="N4651" s="28"/>
      <c r="O4651" s="28"/>
      <c r="P4651" s="28"/>
      <c r="Q4651" s="28"/>
      <c r="R4651" s="28"/>
      <c r="S4651" s="28"/>
    </row>
    <row r="4652" spans="1:19" x14ac:dyDescent="0.25">
      <c r="A4652" s="28"/>
      <c r="B4652" s="28"/>
      <c r="C4652" s="28"/>
      <c r="D4652" s="28"/>
      <c r="E4652" s="28"/>
      <c r="F4652" s="28"/>
      <c r="G4652" s="28"/>
      <c r="H4652" s="28"/>
      <c r="I4652" s="28"/>
      <c r="J4652" s="28"/>
      <c r="K4652" s="28"/>
      <c r="L4652" s="28"/>
      <c r="M4652" s="28"/>
      <c r="N4652" s="28"/>
      <c r="O4652" s="28"/>
      <c r="P4652" s="28"/>
      <c r="Q4652" s="28"/>
      <c r="R4652" s="28"/>
      <c r="S4652" s="28"/>
    </row>
    <row r="4653" spans="1:19" x14ac:dyDescent="0.25">
      <c r="A4653" s="28"/>
      <c r="B4653" s="28"/>
      <c r="C4653" s="28"/>
      <c r="D4653" s="28"/>
      <c r="E4653" s="28"/>
      <c r="F4653" s="28"/>
      <c r="G4653" s="28"/>
      <c r="H4653" s="28"/>
      <c r="I4653" s="28"/>
      <c r="J4653" s="28"/>
      <c r="K4653" s="28"/>
      <c r="L4653" s="28"/>
      <c r="M4653" s="28"/>
      <c r="N4653" s="28"/>
      <c r="O4653" s="28"/>
      <c r="P4653" s="28"/>
      <c r="Q4653" s="28"/>
      <c r="R4653" s="28"/>
      <c r="S4653" s="28"/>
    </row>
    <row r="4654" spans="1:19" x14ac:dyDescent="0.25">
      <c r="A4654" s="28"/>
      <c r="B4654" s="28"/>
      <c r="C4654" s="28"/>
      <c r="D4654" s="28"/>
      <c r="E4654" s="28"/>
      <c r="F4654" s="28"/>
      <c r="G4654" s="28"/>
      <c r="H4654" s="28"/>
      <c r="I4654" s="28"/>
      <c r="J4654" s="28"/>
      <c r="K4654" s="28"/>
      <c r="L4654" s="28"/>
      <c r="M4654" s="28"/>
      <c r="N4654" s="28"/>
      <c r="O4654" s="28"/>
      <c r="P4654" s="28"/>
      <c r="Q4654" s="28"/>
      <c r="R4654" s="28"/>
      <c r="S4654" s="28"/>
    </row>
    <row r="4655" spans="1:19" x14ac:dyDescent="0.25">
      <c r="A4655" s="28"/>
      <c r="B4655" s="28"/>
      <c r="C4655" s="28"/>
      <c r="D4655" s="28"/>
      <c r="E4655" s="28"/>
      <c r="F4655" s="28"/>
      <c r="G4655" s="28"/>
      <c r="H4655" s="28"/>
      <c r="I4655" s="28"/>
      <c r="J4655" s="28"/>
      <c r="K4655" s="28"/>
      <c r="L4655" s="28"/>
      <c r="M4655" s="28"/>
      <c r="N4655" s="28"/>
      <c r="O4655" s="28"/>
      <c r="P4655" s="28"/>
      <c r="Q4655" s="28"/>
      <c r="R4655" s="28"/>
      <c r="S4655" s="28"/>
    </row>
    <row r="4656" spans="1:19" x14ac:dyDescent="0.25">
      <c r="A4656" s="28"/>
      <c r="B4656" s="28"/>
      <c r="C4656" s="28"/>
      <c r="D4656" s="28"/>
      <c r="E4656" s="28"/>
      <c r="F4656" s="28"/>
      <c r="G4656" s="28"/>
      <c r="H4656" s="28"/>
      <c r="I4656" s="28"/>
      <c r="J4656" s="28"/>
      <c r="K4656" s="28"/>
      <c r="L4656" s="28"/>
      <c r="M4656" s="28"/>
      <c r="N4656" s="28"/>
      <c r="O4656" s="28"/>
      <c r="P4656" s="28"/>
      <c r="Q4656" s="28"/>
      <c r="R4656" s="28"/>
      <c r="S4656" s="28"/>
    </row>
    <row r="4657" spans="1:19" x14ac:dyDescent="0.25">
      <c r="A4657" s="28"/>
      <c r="B4657" s="28"/>
      <c r="C4657" s="28"/>
      <c r="D4657" s="28"/>
      <c r="E4657" s="28"/>
      <c r="F4657" s="28"/>
      <c r="G4657" s="28"/>
      <c r="H4657" s="28"/>
      <c r="I4657" s="28"/>
      <c r="J4657" s="28"/>
      <c r="K4657" s="28"/>
      <c r="L4657" s="28"/>
      <c r="M4657" s="28"/>
      <c r="N4657" s="28"/>
      <c r="O4657" s="28"/>
      <c r="P4657" s="28"/>
      <c r="Q4657" s="28"/>
      <c r="R4657" s="28"/>
      <c r="S4657" s="28"/>
    </row>
    <row r="4658" spans="1:19" x14ac:dyDescent="0.25">
      <c r="A4658" s="28"/>
      <c r="B4658" s="28"/>
      <c r="C4658" s="28"/>
      <c r="D4658" s="28"/>
      <c r="E4658" s="28"/>
      <c r="F4658" s="28"/>
      <c r="G4658" s="28"/>
      <c r="H4658" s="28"/>
      <c r="I4658" s="28"/>
      <c r="J4658" s="28"/>
      <c r="K4658" s="28"/>
      <c r="L4658" s="28"/>
      <c r="M4658" s="28"/>
      <c r="N4658" s="28"/>
      <c r="O4658" s="28"/>
      <c r="P4658" s="28"/>
      <c r="Q4658" s="28"/>
      <c r="R4658" s="28"/>
      <c r="S4658" s="28"/>
    </row>
    <row r="4659" spans="1:19" x14ac:dyDescent="0.25">
      <c r="A4659" s="28"/>
      <c r="B4659" s="28"/>
      <c r="C4659" s="28"/>
      <c r="D4659" s="28"/>
      <c r="E4659" s="28"/>
      <c r="F4659" s="28"/>
      <c r="G4659" s="28"/>
      <c r="H4659" s="28"/>
      <c r="I4659" s="28"/>
      <c r="J4659" s="28"/>
      <c r="K4659" s="28"/>
      <c r="L4659" s="28"/>
      <c r="M4659" s="28"/>
      <c r="N4659" s="28"/>
      <c r="O4659" s="28"/>
      <c r="P4659" s="28"/>
      <c r="Q4659" s="28"/>
      <c r="R4659" s="28"/>
      <c r="S4659" s="28"/>
    </row>
    <row r="4660" spans="1:19" x14ac:dyDescent="0.25">
      <c r="A4660" s="28"/>
      <c r="B4660" s="28"/>
      <c r="C4660" s="28"/>
      <c r="D4660" s="28"/>
      <c r="E4660" s="28"/>
      <c r="F4660" s="28"/>
      <c r="G4660" s="28"/>
      <c r="H4660" s="28"/>
      <c r="I4660" s="28"/>
      <c r="J4660" s="28"/>
      <c r="K4660" s="28"/>
      <c r="L4660" s="28"/>
      <c r="M4660" s="28"/>
      <c r="N4660" s="28"/>
      <c r="O4660" s="28"/>
      <c r="P4660" s="28"/>
      <c r="Q4660" s="28"/>
      <c r="R4660" s="28"/>
      <c r="S4660" s="28"/>
    </row>
    <row r="4661" spans="1:19" x14ac:dyDescent="0.25">
      <c r="A4661" s="28"/>
      <c r="B4661" s="28"/>
      <c r="C4661" s="28"/>
      <c r="D4661" s="28"/>
      <c r="E4661" s="28"/>
      <c r="F4661" s="28"/>
      <c r="G4661" s="28"/>
      <c r="H4661" s="28"/>
      <c r="I4661" s="28"/>
      <c r="J4661" s="28"/>
      <c r="K4661" s="28"/>
      <c r="L4661" s="28"/>
      <c r="M4661" s="28"/>
      <c r="N4661" s="28"/>
      <c r="O4661" s="28"/>
      <c r="P4661" s="28"/>
      <c r="Q4661" s="28"/>
      <c r="R4661" s="28"/>
      <c r="S4661" s="28"/>
    </row>
    <row r="4662" spans="1:19" x14ac:dyDescent="0.25">
      <c r="A4662" s="28"/>
      <c r="B4662" s="28"/>
      <c r="C4662" s="28"/>
      <c r="D4662" s="28"/>
      <c r="E4662" s="28"/>
      <c r="F4662" s="28"/>
      <c r="G4662" s="28"/>
      <c r="H4662" s="28"/>
      <c r="I4662" s="28"/>
      <c r="J4662" s="28"/>
      <c r="K4662" s="28"/>
      <c r="L4662" s="28"/>
      <c r="M4662" s="28"/>
      <c r="N4662" s="28"/>
      <c r="O4662" s="28"/>
      <c r="P4662" s="28"/>
      <c r="Q4662" s="28"/>
      <c r="R4662" s="28"/>
      <c r="S4662" s="28"/>
    </row>
    <row r="4663" spans="1:19" x14ac:dyDescent="0.25">
      <c r="A4663" s="28"/>
      <c r="B4663" s="28"/>
      <c r="C4663" s="28"/>
      <c r="D4663" s="28"/>
      <c r="E4663" s="28"/>
      <c r="F4663" s="28"/>
      <c r="G4663" s="28"/>
      <c r="H4663" s="28"/>
      <c r="I4663" s="28"/>
      <c r="J4663" s="28"/>
      <c r="K4663" s="28"/>
      <c r="L4663" s="28"/>
      <c r="M4663" s="28"/>
      <c r="N4663" s="28"/>
      <c r="O4663" s="28"/>
      <c r="P4663" s="28"/>
      <c r="Q4663" s="28"/>
      <c r="R4663" s="28"/>
      <c r="S4663" s="28"/>
    </row>
    <row r="4664" spans="1:19" x14ac:dyDescent="0.25">
      <c r="A4664" s="28"/>
      <c r="B4664" s="28"/>
      <c r="C4664" s="28"/>
      <c r="D4664" s="28"/>
      <c r="E4664" s="28"/>
      <c r="F4664" s="28"/>
      <c r="G4664" s="28"/>
      <c r="H4664" s="28"/>
      <c r="I4664" s="28"/>
      <c r="J4664" s="28"/>
      <c r="K4664" s="28"/>
      <c r="L4664" s="28"/>
      <c r="M4664" s="28"/>
      <c r="N4664" s="28"/>
      <c r="O4664" s="28"/>
      <c r="P4664" s="28"/>
      <c r="Q4664" s="28"/>
      <c r="R4664" s="28"/>
      <c r="S4664" s="28"/>
    </row>
    <row r="4665" spans="1:19" x14ac:dyDescent="0.25">
      <c r="A4665" s="28"/>
      <c r="B4665" s="28"/>
      <c r="C4665" s="28"/>
      <c r="D4665" s="28"/>
      <c r="E4665" s="28"/>
      <c r="F4665" s="28"/>
      <c r="G4665" s="28"/>
      <c r="H4665" s="28"/>
      <c r="I4665" s="28"/>
      <c r="J4665" s="28"/>
      <c r="K4665" s="28"/>
      <c r="L4665" s="28"/>
      <c r="M4665" s="28"/>
      <c r="N4665" s="28"/>
      <c r="O4665" s="28"/>
      <c r="P4665" s="28"/>
      <c r="Q4665" s="28"/>
      <c r="R4665" s="28"/>
      <c r="S4665" s="28"/>
    </row>
    <row r="4666" spans="1:19" x14ac:dyDescent="0.25">
      <c r="A4666" s="28"/>
      <c r="B4666" s="28"/>
      <c r="C4666" s="28"/>
      <c r="D4666" s="28"/>
      <c r="E4666" s="28"/>
      <c r="F4666" s="28"/>
      <c r="G4666" s="28"/>
      <c r="H4666" s="28"/>
      <c r="I4666" s="28"/>
      <c r="J4666" s="28"/>
      <c r="K4666" s="28"/>
      <c r="L4666" s="28"/>
      <c r="M4666" s="28"/>
      <c r="N4666" s="28"/>
      <c r="O4666" s="28"/>
      <c r="P4666" s="28"/>
      <c r="Q4666" s="28"/>
      <c r="R4666" s="28"/>
      <c r="S4666" s="28"/>
    </row>
    <row r="4667" spans="1:19" x14ac:dyDescent="0.25">
      <c r="A4667" s="28"/>
      <c r="B4667" s="28"/>
      <c r="C4667" s="28"/>
      <c r="D4667" s="28"/>
      <c r="E4667" s="28"/>
      <c r="F4667" s="28"/>
      <c r="G4667" s="28"/>
      <c r="H4667" s="28"/>
      <c r="I4667" s="28"/>
      <c r="J4667" s="28"/>
      <c r="K4667" s="28"/>
      <c r="L4667" s="28"/>
      <c r="M4667" s="28"/>
      <c r="N4667" s="28"/>
      <c r="O4667" s="28"/>
      <c r="P4667" s="28"/>
      <c r="Q4667" s="28"/>
      <c r="R4667" s="28"/>
      <c r="S4667" s="28"/>
    </row>
    <row r="4668" spans="1:19" x14ac:dyDescent="0.25">
      <c r="A4668" s="28"/>
      <c r="B4668" s="28"/>
      <c r="C4668" s="28"/>
      <c r="D4668" s="28"/>
      <c r="E4668" s="28"/>
      <c r="F4668" s="28"/>
      <c r="G4668" s="28"/>
      <c r="H4668" s="28"/>
      <c r="I4668" s="28"/>
      <c r="J4668" s="28"/>
      <c r="K4668" s="28"/>
      <c r="L4668" s="28"/>
      <c r="M4668" s="28"/>
      <c r="N4668" s="28"/>
      <c r="O4668" s="28"/>
      <c r="P4668" s="28"/>
      <c r="Q4668" s="28"/>
      <c r="R4668" s="28"/>
      <c r="S4668" s="28"/>
    </row>
    <row r="4669" spans="1:19" x14ac:dyDescent="0.25">
      <c r="A4669" s="28"/>
      <c r="B4669" s="28"/>
      <c r="C4669" s="28"/>
      <c r="D4669" s="28"/>
      <c r="E4669" s="28"/>
      <c r="F4669" s="28"/>
      <c r="G4669" s="28"/>
      <c r="H4669" s="28"/>
      <c r="I4669" s="28"/>
      <c r="J4669" s="28"/>
      <c r="K4669" s="28"/>
      <c r="L4669" s="28"/>
      <c r="M4669" s="28"/>
      <c r="N4669" s="28"/>
      <c r="O4669" s="28"/>
      <c r="P4669" s="28"/>
      <c r="Q4669" s="28"/>
      <c r="R4669" s="28"/>
      <c r="S4669" s="28"/>
    </row>
    <row r="4670" spans="1:19" x14ac:dyDescent="0.25">
      <c r="A4670" s="28"/>
      <c r="B4670" s="28"/>
      <c r="C4670" s="28"/>
      <c r="D4670" s="28"/>
      <c r="E4670" s="28"/>
      <c r="F4670" s="28"/>
      <c r="G4670" s="28"/>
      <c r="H4670" s="28"/>
      <c r="I4670" s="28"/>
      <c r="J4670" s="28"/>
      <c r="K4670" s="28"/>
      <c r="L4670" s="28"/>
      <c r="M4670" s="28"/>
      <c r="N4670" s="28"/>
      <c r="O4670" s="28"/>
      <c r="P4670" s="28"/>
      <c r="Q4670" s="28"/>
      <c r="R4670" s="28"/>
      <c r="S4670" s="28"/>
    </row>
    <row r="4671" spans="1:19" x14ac:dyDescent="0.25">
      <c r="A4671" s="28"/>
      <c r="B4671" s="28"/>
      <c r="C4671" s="28"/>
      <c r="D4671" s="28"/>
      <c r="E4671" s="28"/>
      <c r="F4671" s="28"/>
      <c r="G4671" s="28"/>
      <c r="H4671" s="28"/>
      <c r="I4671" s="28"/>
      <c r="J4671" s="28"/>
      <c r="K4671" s="28"/>
      <c r="L4671" s="28"/>
      <c r="M4671" s="28"/>
      <c r="N4671" s="28"/>
      <c r="O4671" s="28"/>
      <c r="P4671" s="28"/>
      <c r="Q4671" s="28"/>
      <c r="R4671" s="28"/>
      <c r="S4671" s="28"/>
    </row>
    <row r="4672" spans="1:19" x14ac:dyDescent="0.25">
      <c r="A4672" s="28"/>
      <c r="B4672" s="28"/>
      <c r="C4672" s="28"/>
      <c r="D4672" s="28"/>
      <c r="E4672" s="28"/>
      <c r="F4672" s="28"/>
      <c r="G4672" s="28"/>
      <c r="H4672" s="28"/>
      <c r="I4672" s="28"/>
      <c r="J4672" s="28"/>
      <c r="K4672" s="28"/>
      <c r="L4672" s="28"/>
      <c r="M4672" s="28"/>
      <c r="N4672" s="28"/>
      <c r="O4672" s="28"/>
      <c r="P4672" s="28"/>
      <c r="Q4672" s="28"/>
      <c r="R4672" s="28"/>
      <c r="S4672" s="28"/>
    </row>
    <row r="4673" spans="1:19" x14ac:dyDescent="0.25">
      <c r="A4673" s="28"/>
      <c r="B4673" s="28"/>
      <c r="C4673" s="28"/>
      <c r="D4673" s="28"/>
      <c r="E4673" s="28"/>
      <c r="F4673" s="28"/>
      <c r="G4673" s="28"/>
      <c r="H4673" s="28"/>
      <c r="I4673" s="28"/>
      <c r="J4673" s="28"/>
      <c r="K4673" s="28"/>
      <c r="L4673" s="28"/>
      <c r="M4673" s="28"/>
      <c r="N4673" s="28"/>
      <c r="O4673" s="28"/>
      <c r="P4673" s="28"/>
      <c r="Q4673" s="28"/>
      <c r="R4673" s="28"/>
      <c r="S4673" s="28"/>
    </row>
    <row r="4674" spans="1:19" x14ac:dyDescent="0.25">
      <c r="A4674" s="28"/>
      <c r="B4674" s="28"/>
      <c r="C4674" s="28"/>
      <c r="D4674" s="28"/>
      <c r="E4674" s="28"/>
      <c r="F4674" s="28"/>
      <c r="G4674" s="28"/>
      <c r="H4674" s="28"/>
      <c r="I4674" s="28"/>
      <c r="J4674" s="28"/>
      <c r="K4674" s="28"/>
      <c r="L4674" s="28"/>
      <c r="M4674" s="28"/>
      <c r="N4674" s="28"/>
      <c r="O4674" s="28"/>
      <c r="P4674" s="28"/>
      <c r="Q4674" s="28"/>
      <c r="R4674" s="28"/>
      <c r="S4674" s="28"/>
    </row>
    <row r="4675" spans="1:19" x14ac:dyDescent="0.25">
      <c r="A4675" s="28"/>
      <c r="B4675" s="28"/>
      <c r="C4675" s="28"/>
      <c r="D4675" s="28"/>
      <c r="E4675" s="28"/>
      <c r="F4675" s="28"/>
      <c r="G4675" s="28"/>
      <c r="H4675" s="28"/>
      <c r="I4675" s="28"/>
      <c r="J4675" s="28"/>
      <c r="K4675" s="28"/>
      <c r="L4675" s="28"/>
      <c r="M4675" s="28"/>
      <c r="N4675" s="28"/>
      <c r="O4675" s="28"/>
      <c r="P4675" s="28"/>
      <c r="Q4675" s="28"/>
      <c r="R4675" s="28"/>
      <c r="S4675" s="28"/>
    </row>
    <row r="4676" spans="1:19" x14ac:dyDescent="0.25">
      <c r="A4676" s="28"/>
      <c r="B4676" s="28"/>
      <c r="C4676" s="28"/>
      <c r="D4676" s="28"/>
      <c r="E4676" s="28"/>
      <c r="F4676" s="28"/>
      <c r="G4676" s="28"/>
      <c r="H4676" s="28"/>
      <c r="I4676" s="28"/>
      <c r="J4676" s="28"/>
      <c r="K4676" s="28"/>
      <c r="L4676" s="28"/>
      <c r="M4676" s="28"/>
      <c r="N4676" s="28"/>
      <c r="O4676" s="28"/>
      <c r="P4676" s="28"/>
      <c r="Q4676" s="28"/>
      <c r="R4676" s="28"/>
      <c r="S4676" s="28"/>
    </row>
    <row r="4677" spans="1:19" x14ac:dyDescent="0.25">
      <c r="A4677" s="28"/>
      <c r="B4677" s="28"/>
      <c r="C4677" s="28"/>
      <c r="D4677" s="28"/>
      <c r="E4677" s="28"/>
      <c r="F4677" s="28"/>
      <c r="G4677" s="28"/>
      <c r="H4677" s="28"/>
      <c r="I4677" s="28"/>
      <c r="J4677" s="28"/>
      <c r="K4677" s="28"/>
      <c r="L4677" s="28"/>
      <c r="M4677" s="28"/>
      <c r="N4677" s="28"/>
      <c r="O4677" s="28"/>
      <c r="P4677" s="28"/>
      <c r="Q4677" s="28"/>
      <c r="R4677" s="28"/>
      <c r="S4677" s="28"/>
    </row>
    <row r="4678" spans="1:19" x14ac:dyDescent="0.25">
      <c r="A4678" s="28"/>
      <c r="B4678" s="28"/>
      <c r="C4678" s="28"/>
      <c r="D4678" s="28"/>
      <c r="E4678" s="28"/>
      <c r="F4678" s="28"/>
      <c r="G4678" s="28"/>
      <c r="H4678" s="28"/>
      <c r="I4678" s="28"/>
      <c r="J4678" s="28"/>
      <c r="K4678" s="28"/>
      <c r="L4678" s="28"/>
      <c r="M4678" s="28"/>
      <c r="N4678" s="28"/>
      <c r="O4678" s="28"/>
      <c r="P4678" s="28"/>
      <c r="Q4678" s="28"/>
      <c r="R4678" s="28"/>
      <c r="S4678" s="28"/>
    </row>
    <row r="4679" spans="1:19" x14ac:dyDescent="0.25">
      <c r="A4679" s="28"/>
      <c r="B4679" s="28"/>
      <c r="C4679" s="28"/>
      <c r="D4679" s="28"/>
      <c r="E4679" s="28"/>
      <c r="F4679" s="28"/>
      <c r="G4679" s="28"/>
      <c r="H4679" s="28"/>
      <c r="I4679" s="28"/>
      <c r="J4679" s="28"/>
      <c r="K4679" s="28"/>
      <c r="L4679" s="28"/>
      <c r="M4679" s="28"/>
      <c r="N4679" s="28"/>
      <c r="O4679" s="28"/>
      <c r="P4679" s="28"/>
      <c r="Q4679" s="28"/>
      <c r="R4679" s="28"/>
      <c r="S4679" s="28"/>
    </row>
    <row r="4680" spans="1:19" x14ac:dyDescent="0.25">
      <c r="A4680" s="28"/>
      <c r="B4680" s="28"/>
      <c r="C4680" s="28"/>
      <c r="D4680" s="28"/>
      <c r="E4680" s="28"/>
      <c r="F4680" s="28"/>
      <c r="G4680" s="28"/>
      <c r="H4680" s="28"/>
      <c r="I4680" s="28"/>
      <c r="J4680" s="28"/>
      <c r="K4680" s="28"/>
      <c r="L4680" s="28"/>
      <c r="M4680" s="28"/>
      <c r="N4680" s="28"/>
      <c r="O4680" s="28"/>
      <c r="P4680" s="28"/>
      <c r="Q4680" s="28"/>
      <c r="R4680" s="28"/>
      <c r="S4680" s="28"/>
    </row>
    <row r="4681" spans="1:19" x14ac:dyDescent="0.25">
      <c r="A4681" s="28"/>
      <c r="B4681" s="28"/>
      <c r="C4681" s="28"/>
      <c r="D4681" s="28"/>
      <c r="E4681" s="28"/>
      <c r="F4681" s="28"/>
      <c r="G4681" s="28"/>
      <c r="H4681" s="28"/>
      <c r="I4681" s="28"/>
      <c r="J4681" s="28"/>
      <c r="K4681" s="28"/>
      <c r="L4681" s="28"/>
      <c r="M4681" s="28"/>
      <c r="N4681" s="28"/>
      <c r="O4681" s="28"/>
      <c r="P4681" s="28"/>
      <c r="Q4681" s="28"/>
      <c r="R4681" s="28"/>
      <c r="S4681" s="28"/>
    </row>
    <row r="4682" spans="1:19" x14ac:dyDescent="0.25">
      <c r="A4682" s="28"/>
      <c r="B4682" s="28"/>
      <c r="C4682" s="28"/>
      <c r="D4682" s="28"/>
      <c r="E4682" s="28"/>
      <c r="F4682" s="28"/>
      <c r="G4682" s="28"/>
      <c r="H4682" s="28"/>
      <c r="I4682" s="28"/>
      <c r="J4682" s="28"/>
      <c r="K4682" s="28"/>
      <c r="L4682" s="28"/>
      <c r="M4682" s="28"/>
      <c r="N4682" s="28"/>
      <c r="O4682" s="28"/>
      <c r="P4682" s="28"/>
      <c r="Q4682" s="28"/>
      <c r="R4682" s="28"/>
      <c r="S4682" s="28"/>
    </row>
    <row r="4683" spans="1:19" x14ac:dyDescent="0.25">
      <c r="A4683" s="28"/>
      <c r="B4683" s="28"/>
      <c r="C4683" s="28"/>
      <c r="D4683" s="28"/>
      <c r="E4683" s="28"/>
      <c r="F4683" s="28"/>
      <c r="G4683" s="28"/>
      <c r="H4683" s="28"/>
      <c r="I4683" s="28"/>
      <c r="J4683" s="28"/>
      <c r="K4683" s="28"/>
      <c r="L4683" s="28"/>
      <c r="M4683" s="28"/>
      <c r="N4683" s="28"/>
      <c r="O4683" s="28"/>
      <c r="P4683" s="28"/>
      <c r="Q4683" s="28"/>
      <c r="R4683" s="28"/>
      <c r="S4683" s="28"/>
    </row>
    <row r="4684" spans="1:19" x14ac:dyDescent="0.25">
      <c r="A4684" s="28"/>
      <c r="B4684" s="28"/>
      <c r="C4684" s="28"/>
      <c r="D4684" s="28"/>
      <c r="E4684" s="28"/>
      <c r="F4684" s="28"/>
      <c r="G4684" s="28"/>
      <c r="H4684" s="28"/>
      <c r="I4684" s="28"/>
      <c r="J4684" s="28"/>
      <c r="K4684" s="28"/>
      <c r="L4684" s="28"/>
      <c r="M4684" s="28"/>
      <c r="N4684" s="28"/>
      <c r="O4684" s="28"/>
      <c r="P4684" s="28"/>
      <c r="Q4684" s="28"/>
      <c r="R4684" s="28"/>
      <c r="S4684" s="28"/>
    </row>
    <row r="4685" spans="1:19" x14ac:dyDescent="0.25">
      <c r="A4685" s="28"/>
      <c r="B4685" s="28"/>
      <c r="C4685" s="28"/>
      <c r="D4685" s="28"/>
      <c r="E4685" s="28"/>
      <c r="F4685" s="28"/>
      <c r="G4685" s="28"/>
      <c r="H4685" s="28"/>
      <c r="I4685" s="28"/>
      <c r="J4685" s="28"/>
      <c r="K4685" s="28"/>
      <c r="L4685" s="28"/>
      <c r="M4685" s="28"/>
      <c r="N4685" s="28"/>
      <c r="O4685" s="28"/>
      <c r="P4685" s="28"/>
      <c r="Q4685" s="28"/>
      <c r="R4685" s="28"/>
      <c r="S4685" s="28"/>
    </row>
    <row r="4686" spans="1:19" x14ac:dyDescent="0.25">
      <c r="A4686" s="28"/>
      <c r="B4686" s="28"/>
      <c r="C4686" s="28"/>
      <c r="D4686" s="28"/>
      <c r="E4686" s="28"/>
      <c r="F4686" s="28"/>
      <c r="G4686" s="28"/>
      <c r="H4686" s="28"/>
      <c r="I4686" s="28"/>
      <c r="J4686" s="28"/>
      <c r="K4686" s="28"/>
      <c r="L4686" s="28"/>
      <c r="M4686" s="28"/>
      <c r="N4686" s="28"/>
      <c r="O4686" s="28"/>
      <c r="P4686" s="28"/>
      <c r="Q4686" s="28"/>
      <c r="R4686" s="28"/>
      <c r="S4686" s="28"/>
    </row>
    <row r="4687" spans="1:19" x14ac:dyDescent="0.25">
      <c r="A4687" s="28"/>
      <c r="B4687" s="28"/>
      <c r="C4687" s="28"/>
      <c r="D4687" s="28"/>
      <c r="E4687" s="28"/>
      <c r="F4687" s="28"/>
      <c r="G4687" s="28"/>
      <c r="H4687" s="28"/>
      <c r="I4687" s="28"/>
      <c r="J4687" s="28"/>
      <c r="K4687" s="28"/>
      <c r="L4687" s="28"/>
      <c r="M4687" s="28"/>
      <c r="N4687" s="28"/>
      <c r="O4687" s="28"/>
      <c r="P4687" s="28"/>
      <c r="Q4687" s="28"/>
      <c r="R4687" s="28"/>
      <c r="S4687" s="28"/>
    </row>
    <row r="4688" spans="1:19" x14ac:dyDescent="0.25">
      <c r="A4688" s="28"/>
      <c r="B4688" s="28"/>
      <c r="C4688" s="28"/>
      <c r="D4688" s="28"/>
      <c r="E4688" s="28"/>
      <c r="F4688" s="28"/>
      <c r="G4688" s="28"/>
      <c r="H4688" s="28"/>
      <c r="I4688" s="28"/>
      <c r="J4688" s="28"/>
      <c r="K4688" s="28"/>
      <c r="L4688" s="28"/>
      <c r="M4688" s="28"/>
      <c r="N4688" s="28"/>
      <c r="O4688" s="28"/>
      <c r="P4688" s="28"/>
      <c r="Q4688" s="28"/>
      <c r="R4688" s="28"/>
      <c r="S4688" s="28"/>
    </row>
    <row r="4689" spans="1:19" x14ac:dyDescent="0.25">
      <c r="A4689" s="28"/>
      <c r="B4689" s="28"/>
      <c r="C4689" s="28"/>
      <c r="D4689" s="28"/>
      <c r="E4689" s="28"/>
      <c r="F4689" s="28"/>
      <c r="G4689" s="28"/>
      <c r="H4689" s="28"/>
      <c r="I4689" s="28"/>
      <c r="J4689" s="28"/>
      <c r="K4689" s="28"/>
      <c r="L4689" s="28"/>
      <c r="M4689" s="28"/>
      <c r="N4689" s="28"/>
      <c r="O4689" s="28"/>
      <c r="P4689" s="28"/>
      <c r="Q4689" s="28"/>
      <c r="R4689" s="28"/>
      <c r="S4689" s="28"/>
    </row>
    <row r="4690" spans="1:19" x14ac:dyDescent="0.25">
      <c r="A4690" s="28"/>
      <c r="B4690" s="28"/>
      <c r="C4690" s="28"/>
      <c r="D4690" s="28"/>
      <c r="E4690" s="28"/>
      <c r="F4690" s="28"/>
      <c r="G4690" s="28"/>
      <c r="H4690" s="28"/>
      <c r="I4690" s="28"/>
      <c r="J4690" s="28"/>
      <c r="K4690" s="28"/>
      <c r="L4690" s="28"/>
      <c r="M4690" s="28"/>
      <c r="N4690" s="28"/>
      <c r="O4690" s="28"/>
      <c r="P4690" s="28"/>
      <c r="Q4690" s="28"/>
      <c r="R4690" s="28"/>
      <c r="S4690" s="28"/>
    </row>
    <row r="4691" spans="1:19" x14ac:dyDescent="0.25">
      <c r="A4691" s="28"/>
      <c r="B4691" s="28"/>
      <c r="C4691" s="28"/>
      <c r="D4691" s="28"/>
      <c r="E4691" s="28"/>
      <c r="F4691" s="28"/>
      <c r="G4691" s="28"/>
      <c r="H4691" s="28"/>
      <c r="I4691" s="28"/>
      <c r="J4691" s="28"/>
      <c r="K4691" s="28"/>
      <c r="L4691" s="28"/>
      <c r="M4691" s="28"/>
      <c r="N4691" s="28"/>
      <c r="O4691" s="28"/>
      <c r="P4691" s="28"/>
      <c r="Q4691" s="28"/>
      <c r="R4691" s="28"/>
      <c r="S4691" s="28"/>
    </row>
    <row r="4692" spans="1:19" x14ac:dyDescent="0.25">
      <c r="A4692" s="28"/>
      <c r="B4692" s="28"/>
      <c r="C4692" s="28"/>
      <c r="D4692" s="28"/>
      <c r="E4692" s="28"/>
      <c r="F4692" s="28"/>
      <c r="G4692" s="28"/>
      <c r="H4692" s="28"/>
      <c r="I4692" s="28"/>
      <c r="J4692" s="28"/>
      <c r="K4692" s="28"/>
      <c r="L4692" s="28"/>
      <c r="M4692" s="28"/>
      <c r="N4692" s="28"/>
      <c r="O4692" s="28"/>
      <c r="P4692" s="28"/>
      <c r="Q4692" s="28"/>
      <c r="R4692" s="28"/>
      <c r="S4692" s="28"/>
    </row>
    <row r="4693" spans="1:19" x14ac:dyDescent="0.25">
      <c r="A4693" s="28"/>
      <c r="B4693" s="28"/>
      <c r="C4693" s="28"/>
      <c r="D4693" s="28"/>
      <c r="E4693" s="28"/>
      <c r="F4693" s="28"/>
      <c r="G4693" s="28"/>
      <c r="H4693" s="28"/>
      <c r="I4693" s="28"/>
      <c r="J4693" s="28"/>
      <c r="K4693" s="28"/>
      <c r="L4693" s="28"/>
      <c r="M4693" s="28"/>
      <c r="N4693" s="28"/>
      <c r="O4693" s="28"/>
      <c r="P4693" s="28"/>
      <c r="Q4693" s="28"/>
      <c r="R4693" s="28"/>
      <c r="S4693" s="28"/>
    </row>
    <row r="4694" spans="1:19" x14ac:dyDescent="0.25">
      <c r="A4694" s="28"/>
      <c r="B4694" s="28"/>
      <c r="C4694" s="28"/>
      <c r="D4694" s="28"/>
      <c r="E4694" s="28"/>
      <c r="F4694" s="28"/>
      <c r="G4694" s="28"/>
      <c r="H4694" s="28"/>
      <c r="I4694" s="28"/>
      <c r="J4694" s="28"/>
      <c r="K4694" s="28"/>
      <c r="L4694" s="28"/>
      <c r="M4694" s="28"/>
      <c r="N4694" s="28"/>
      <c r="O4694" s="28"/>
      <c r="P4694" s="28"/>
      <c r="Q4694" s="28"/>
      <c r="R4694" s="28"/>
      <c r="S4694" s="28"/>
    </row>
    <row r="4695" spans="1:19" x14ac:dyDescent="0.25">
      <c r="A4695" s="28"/>
      <c r="B4695" s="28"/>
      <c r="C4695" s="28"/>
      <c r="D4695" s="28"/>
      <c r="E4695" s="28"/>
      <c r="F4695" s="28"/>
      <c r="G4695" s="28"/>
      <c r="H4695" s="28"/>
      <c r="I4695" s="28"/>
      <c r="J4695" s="28"/>
      <c r="K4695" s="28"/>
      <c r="L4695" s="28"/>
      <c r="M4695" s="28"/>
      <c r="N4695" s="28"/>
      <c r="O4695" s="28"/>
      <c r="P4695" s="28"/>
      <c r="Q4695" s="28"/>
      <c r="R4695" s="28"/>
      <c r="S4695" s="28"/>
    </row>
    <row r="4696" spans="1:19" x14ac:dyDescent="0.25">
      <c r="A4696" s="28"/>
      <c r="B4696" s="28"/>
      <c r="C4696" s="28"/>
      <c r="D4696" s="28"/>
      <c r="E4696" s="28"/>
      <c r="F4696" s="28"/>
      <c r="G4696" s="28"/>
      <c r="H4696" s="28"/>
      <c r="I4696" s="28"/>
      <c r="J4696" s="28"/>
      <c r="K4696" s="28"/>
      <c r="L4696" s="28"/>
      <c r="M4696" s="28"/>
      <c r="N4696" s="28"/>
      <c r="O4696" s="28"/>
      <c r="P4696" s="28"/>
      <c r="Q4696" s="28"/>
      <c r="R4696" s="28"/>
      <c r="S4696" s="28"/>
    </row>
    <row r="4697" spans="1:19" x14ac:dyDescent="0.25">
      <c r="A4697" s="28"/>
      <c r="B4697" s="28"/>
      <c r="C4697" s="28"/>
      <c r="D4697" s="28"/>
      <c r="E4697" s="28"/>
      <c r="F4697" s="28"/>
      <c r="G4697" s="28"/>
      <c r="H4697" s="28"/>
      <c r="I4697" s="28"/>
      <c r="J4697" s="28"/>
      <c r="K4697" s="28"/>
      <c r="L4697" s="28"/>
      <c r="M4697" s="28"/>
      <c r="N4697" s="28"/>
      <c r="O4697" s="28"/>
      <c r="P4697" s="28"/>
      <c r="Q4697" s="28"/>
      <c r="R4697" s="28"/>
      <c r="S4697" s="28"/>
    </row>
    <row r="4698" spans="1:19" x14ac:dyDescent="0.25">
      <c r="A4698" s="28"/>
      <c r="B4698" s="28"/>
      <c r="C4698" s="28"/>
      <c r="D4698" s="28"/>
      <c r="E4698" s="28"/>
      <c r="F4698" s="28"/>
      <c r="G4698" s="28"/>
      <c r="H4698" s="28"/>
      <c r="I4698" s="28"/>
      <c r="J4698" s="28"/>
      <c r="K4698" s="28"/>
      <c r="L4698" s="28"/>
      <c r="M4698" s="28"/>
      <c r="N4698" s="28"/>
      <c r="O4698" s="28"/>
      <c r="P4698" s="28"/>
      <c r="Q4698" s="28"/>
      <c r="R4698" s="28"/>
      <c r="S4698" s="28"/>
    </row>
    <row r="4699" spans="1:19" x14ac:dyDescent="0.25">
      <c r="A4699" s="28"/>
      <c r="B4699" s="28"/>
      <c r="C4699" s="28"/>
      <c r="D4699" s="28"/>
      <c r="E4699" s="28"/>
      <c r="F4699" s="28"/>
      <c r="G4699" s="28"/>
      <c r="H4699" s="28"/>
      <c r="I4699" s="28"/>
      <c r="J4699" s="28"/>
      <c r="K4699" s="28"/>
      <c r="L4699" s="28"/>
      <c r="M4699" s="28"/>
      <c r="N4699" s="28"/>
      <c r="O4699" s="28"/>
      <c r="P4699" s="28"/>
      <c r="Q4699" s="28"/>
      <c r="R4699" s="28"/>
      <c r="S4699" s="28"/>
    </row>
    <row r="4700" spans="1:19" x14ac:dyDescent="0.25">
      <c r="A4700" s="28"/>
      <c r="B4700" s="28"/>
      <c r="C4700" s="28"/>
      <c r="D4700" s="28"/>
      <c r="E4700" s="28"/>
      <c r="F4700" s="28"/>
      <c r="G4700" s="28"/>
      <c r="H4700" s="28"/>
      <c r="I4700" s="28"/>
      <c r="J4700" s="28"/>
      <c r="K4700" s="28"/>
      <c r="L4700" s="28"/>
      <c r="M4700" s="28"/>
      <c r="N4700" s="28"/>
      <c r="O4700" s="28"/>
      <c r="P4700" s="28"/>
      <c r="Q4700" s="28"/>
      <c r="R4700" s="28"/>
      <c r="S4700" s="28"/>
    </row>
    <row r="4701" spans="1:19" x14ac:dyDescent="0.25">
      <c r="A4701" s="28"/>
      <c r="B4701" s="28"/>
      <c r="C4701" s="28"/>
      <c r="D4701" s="28"/>
      <c r="E4701" s="28"/>
      <c r="F4701" s="28"/>
      <c r="G4701" s="28"/>
      <c r="H4701" s="28"/>
      <c r="I4701" s="28"/>
      <c r="J4701" s="28"/>
      <c r="K4701" s="28"/>
      <c r="L4701" s="28"/>
      <c r="M4701" s="28"/>
      <c r="N4701" s="28"/>
      <c r="O4701" s="28"/>
      <c r="P4701" s="28"/>
      <c r="Q4701" s="28"/>
      <c r="R4701" s="28"/>
      <c r="S4701" s="28"/>
    </row>
    <row r="4702" spans="1:19" x14ac:dyDescent="0.25">
      <c r="A4702" s="28"/>
      <c r="B4702" s="28"/>
      <c r="C4702" s="28"/>
      <c r="D4702" s="28"/>
      <c r="E4702" s="28"/>
      <c r="F4702" s="28"/>
      <c r="G4702" s="28"/>
      <c r="H4702" s="28"/>
      <c r="I4702" s="28"/>
      <c r="J4702" s="28"/>
      <c r="K4702" s="28"/>
      <c r="L4702" s="28"/>
      <c r="M4702" s="28"/>
      <c r="N4702" s="28"/>
      <c r="O4702" s="28"/>
      <c r="P4702" s="28"/>
      <c r="Q4702" s="28"/>
      <c r="R4702" s="28"/>
      <c r="S4702" s="28"/>
    </row>
    <row r="4703" spans="1:19" x14ac:dyDescent="0.25">
      <c r="A4703" s="28"/>
      <c r="B4703" s="28"/>
      <c r="C4703" s="28"/>
      <c r="D4703" s="28"/>
      <c r="E4703" s="28"/>
      <c r="F4703" s="28"/>
      <c r="G4703" s="28"/>
      <c r="H4703" s="28"/>
      <c r="I4703" s="28"/>
      <c r="J4703" s="28"/>
      <c r="K4703" s="28"/>
      <c r="L4703" s="28"/>
      <c r="M4703" s="28"/>
      <c r="N4703" s="28"/>
      <c r="O4703" s="28"/>
      <c r="P4703" s="28"/>
      <c r="Q4703" s="28"/>
      <c r="R4703" s="28"/>
      <c r="S4703" s="28"/>
    </row>
    <row r="4704" spans="1:19" x14ac:dyDescent="0.25">
      <c r="A4704" s="28"/>
      <c r="B4704" s="28"/>
      <c r="C4704" s="28"/>
      <c r="D4704" s="28"/>
      <c r="E4704" s="28"/>
      <c r="F4704" s="28"/>
      <c r="G4704" s="28"/>
      <c r="H4704" s="28"/>
      <c r="I4704" s="28"/>
      <c r="J4704" s="28"/>
      <c r="K4704" s="28"/>
      <c r="L4704" s="28"/>
      <c r="M4704" s="28"/>
      <c r="N4704" s="28"/>
      <c r="O4704" s="28"/>
      <c r="P4704" s="28"/>
      <c r="Q4704" s="28"/>
      <c r="R4704" s="28"/>
      <c r="S4704" s="28"/>
    </row>
    <row r="4705" spans="1:19" x14ac:dyDescent="0.25">
      <c r="A4705" s="28"/>
      <c r="B4705" s="28"/>
      <c r="C4705" s="28"/>
      <c r="D4705" s="28"/>
      <c r="E4705" s="28"/>
      <c r="F4705" s="28"/>
      <c r="G4705" s="28"/>
      <c r="H4705" s="28"/>
      <c r="I4705" s="28"/>
      <c r="J4705" s="28"/>
      <c r="K4705" s="28"/>
      <c r="L4705" s="28"/>
      <c r="M4705" s="28"/>
      <c r="N4705" s="28"/>
      <c r="O4705" s="28"/>
      <c r="P4705" s="28"/>
      <c r="Q4705" s="28"/>
      <c r="R4705" s="28"/>
      <c r="S4705" s="28"/>
    </row>
    <row r="4706" spans="1:19" x14ac:dyDescent="0.25">
      <c r="A4706" s="28"/>
      <c r="B4706" s="28"/>
      <c r="C4706" s="28"/>
      <c r="D4706" s="28"/>
      <c r="E4706" s="28"/>
      <c r="F4706" s="28"/>
      <c r="G4706" s="28"/>
      <c r="H4706" s="28"/>
      <c r="I4706" s="28"/>
      <c r="J4706" s="28"/>
      <c r="K4706" s="28"/>
      <c r="L4706" s="28"/>
      <c r="M4706" s="28"/>
      <c r="N4706" s="28"/>
      <c r="O4706" s="28"/>
      <c r="P4706" s="28"/>
      <c r="Q4706" s="28"/>
      <c r="R4706" s="28"/>
      <c r="S4706" s="28"/>
    </row>
    <row r="4707" spans="1:19" x14ac:dyDescent="0.25">
      <c r="A4707" s="28"/>
      <c r="B4707" s="28"/>
      <c r="C4707" s="28"/>
      <c r="D4707" s="28"/>
      <c r="E4707" s="28"/>
      <c r="F4707" s="28"/>
      <c r="G4707" s="28"/>
      <c r="H4707" s="28"/>
      <c r="I4707" s="28"/>
      <c r="J4707" s="28"/>
      <c r="K4707" s="28"/>
      <c r="L4707" s="28"/>
      <c r="M4707" s="28"/>
      <c r="N4707" s="28"/>
      <c r="O4707" s="28"/>
      <c r="P4707" s="28"/>
      <c r="Q4707" s="28"/>
      <c r="R4707" s="28"/>
      <c r="S4707" s="28"/>
    </row>
    <row r="4708" spans="1:19" x14ac:dyDescent="0.25">
      <c r="A4708" s="28"/>
      <c r="B4708" s="28"/>
      <c r="C4708" s="28"/>
      <c r="D4708" s="28"/>
      <c r="E4708" s="28"/>
      <c r="F4708" s="28"/>
      <c r="G4708" s="28"/>
      <c r="H4708" s="28"/>
      <c r="I4708" s="28"/>
      <c r="J4708" s="28"/>
      <c r="K4708" s="28"/>
      <c r="L4708" s="28"/>
      <c r="M4708" s="28"/>
      <c r="N4708" s="28"/>
      <c r="O4708" s="28"/>
      <c r="P4708" s="28"/>
      <c r="Q4708" s="28"/>
      <c r="R4708" s="28"/>
      <c r="S4708" s="28"/>
    </row>
    <row r="4709" spans="1:19" x14ac:dyDescent="0.25">
      <c r="A4709" s="28"/>
      <c r="B4709" s="28"/>
      <c r="C4709" s="28"/>
      <c r="D4709" s="28"/>
      <c r="E4709" s="28"/>
      <c r="F4709" s="28"/>
      <c r="G4709" s="28"/>
      <c r="H4709" s="28"/>
      <c r="I4709" s="28"/>
      <c r="J4709" s="28"/>
      <c r="K4709" s="28"/>
      <c r="L4709" s="28"/>
      <c r="M4709" s="28"/>
      <c r="N4709" s="28"/>
      <c r="O4709" s="28"/>
      <c r="P4709" s="28"/>
      <c r="Q4709" s="28"/>
      <c r="R4709" s="28"/>
      <c r="S4709" s="28"/>
    </row>
    <row r="4710" spans="1:19" x14ac:dyDescent="0.25">
      <c r="A4710" s="28"/>
      <c r="B4710" s="28"/>
      <c r="C4710" s="28"/>
      <c r="D4710" s="28"/>
      <c r="E4710" s="28"/>
      <c r="F4710" s="28"/>
      <c r="G4710" s="28"/>
      <c r="H4710" s="28"/>
      <c r="I4710" s="28"/>
      <c r="J4710" s="28"/>
      <c r="K4710" s="28"/>
      <c r="L4710" s="28"/>
      <c r="M4710" s="28"/>
      <c r="N4710" s="28"/>
      <c r="O4710" s="28"/>
      <c r="P4710" s="28"/>
      <c r="Q4710" s="28"/>
      <c r="R4710" s="28"/>
      <c r="S4710" s="28"/>
    </row>
    <row r="4711" spans="1:19" x14ac:dyDescent="0.25">
      <c r="A4711" s="28"/>
      <c r="B4711" s="28"/>
      <c r="C4711" s="28"/>
      <c r="D4711" s="28"/>
      <c r="E4711" s="28"/>
      <c r="F4711" s="28"/>
      <c r="G4711" s="28"/>
      <c r="H4711" s="28"/>
      <c r="I4711" s="28"/>
      <c r="J4711" s="28"/>
      <c r="K4711" s="28"/>
      <c r="L4711" s="28"/>
      <c r="M4711" s="28"/>
      <c r="N4711" s="28"/>
      <c r="O4711" s="28"/>
      <c r="P4711" s="28"/>
      <c r="Q4711" s="28"/>
      <c r="R4711" s="28"/>
      <c r="S4711" s="28"/>
    </row>
    <row r="4712" spans="1:19" x14ac:dyDescent="0.25">
      <c r="A4712" s="28"/>
      <c r="B4712" s="28"/>
      <c r="C4712" s="28"/>
      <c r="D4712" s="28"/>
      <c r="E4712" s="28"/>
      <c r="F4712" s="28"/>
      <c r="G4712" s="28"/>
      <c r="H4712" s="28"/>
      <c r="I4712" s="28"/>
      <c r="J4712" s="28"/>
      <c r="K4712" s="28"/>
      <c r="L4712" s="28"/>
      <c r="M4712" s="28"/>
      <c r="N4712" s="28"/>
      <c r="O4712" s="28"/>
      <c r="P4712" s="28"/>
      <c r="Q4712" s="28"/>
      <c r="R4712" s="28"/>
      <c r="S4712" s="28"/>
    </row>
    <row r="4713" spans="1:19" x14ac:dyDescent="0.25">
      <c r="A4713" s="28"/>
      <c r="B4713" s="28"/>
      <c r="C4713" s="28"/>
      <c r="D4713" s="28"/>
      <c r="E4713" s="28"/>
      <c r="F4713" s="28"/>
      <c r="G4713" s="28"/>
      <c r="H4713" s="28"/>
      <c r="I4713" s="28"/>
      <c r="J4713" s="28"/>
      <c r="K4713" s="28"/>
      <c r="L4713" s="28"/>
      <c r="M4713" s="28"/>
      <c r="N4713" s="28"/>
      <c r="O4713" s="28"/>
      <c r="P4713" s="28"/>
      <c r="Q4713" s="28"/>
      <c r="R4713" s="28"/>
      <c r="S4713" s="28"/>
    </row>
    <row r="4714" spans="1:19" x14ac:dyDescent="0.25">
      <c r="A4714" s="28"/>
      <c r="B4714" s="28"/>
      <c r="C4714" s="28"/>
      <c r="D4714" s="28"/>
      <c r="E4714" s="28"/>
      <c r="F4714" s="28"/>
      <c r="G4714" s="28"/>
      <c r="H4714" s="28"/>
      <c r="I4714" s="28"/>
      <c r="J4714" s="28"/>
      <c r="K4714" s="28"/>
      <c r="L4714" s="28"/>
      <c r="M4714" s="28"/>
      <c r="N4714" s="28"/>
      <c r="O4714" s="28"/>
      <c r="P4714" s="28"/>
      <c r="Q4714" s="28"/>
      <c r="R4714" s="28"/>
      <c r="S4714" s="28"/>
    </row>
    <row r="4715" spans="1:19" x14ac:dyDescent="0.25">
      <c r="A4715" s="28"/>
      <c r="B4715" s="28"/>
      <c r="C4715" s="28"/>
      <c r="D4715" s="28"/>
      <c r="E4715" s="28"/>
      <c r="F4715" s="28"/>
      <c r="G4715" s="28"/>
      <c r="H4715" s="28"/>
      <c r="I4715" s="28"/>
      <c r="J4715" s="28"/>
      <c r="K4715" s="28"/>
      <c r="L4715" s="28"/>
      <c r="M4715" s="28"/>
      <c r="N4715" s="28"/>
      <c r="O4715" s="28"/>
      <c r="P4715" s="28"/>
      <c r="Q4715" s="28"/>
      <c r="R4715" s="28"/>
      <c r="S4715" s="28"/>
    </row>
    <row r="4716" spans="1:19" x14ac:dyDescent="0.25">
      <c r="A4716" s="28"/>
      <c r="B4716" s="28"/>
      <c r="C4716" s="28"/>
      <c r="D4716" s="28"/>
      <c r="E4716" s="28"/>
      <c r="F4716" s="28"/>
      <c r="G4716" s="28"/>
      <c r="H4716" s="28"/>
      <c r="I4716" s="28"/>
      <c r="J4716" s="28"/>
      <c r="K4716" s="28"/>
      <c r="L4716" s="28"/>
      <c r="M4716" s="28"/>
      <c r="N4716" s="28"/>
      <c r="O4716" s="28"/>
      <c r="P4716" s="28"/>
      <c r="Q4716" s="28"/>
      <c r="R4716" s="28"/>
      <c r="S4716" s="28"/>
    </row>
    <row r="4717" spans="1:19" x14ac:dyDescent="0.25">
      <c r="A4717" s="28"/>
      <c r="B4717" s="28"/>
      <c r="C4717" s="28"/>
      <c r="D4717" s="28"/>
      <c r="E4717" s="28"/>
      <c r="F4717" s="28"/>
      <c r="G4717" s="28"/>
      <c r="H4717" s="28"/>
      <c r="I4717" s="28"/>
      <c r="J4717" s="28"/>
      <c r="K4717" s="28"/>
      <c r="L4717" s="28"/>
      <c r="M4717" s="28"/>
      <c r="N4717" s="28"/>
      <c r="O4717" s="28"/>
      <c r="P4717" s="28"/>
      <c r="Q4717" s="28"/>
      <c r="R4717" s="28"/>
      <c r="S4717" s="28"/>
    </row>
    <row r="4718" spans="1:19" x14ac:dyDescent="0.25">
      <c r="A4718" s="28"/>
      <c r="B4718" s="28"/>
      <c r="C4718" s="28"/>
      <c r="D4718" s="28"/>
      <c r="E4718" s="28"/>
      <c r="F4718" s="28"/>
      <c r="G4718" s="28"/>
      <c r="H4718" s="28"/>
      <c r="I4718" s="28"/>
      <c r="J4718" s="28"/>
      <c r="K4718" s="28"/>
      <c r="L4718" s="28"/>
      <c r="M4718" s="28"/>
      <c r="N4718" s="28"/>
      <c r="O4718" s="28"/>
      <c r="P4718" s="28"/>
      <c r="Q4718" s="28"/>
      <c r="R4718" s="28"/>
      <c r="S4718" s="28"/>
    </row>
    <row r="4719" spans="1:19" x14ac:dyDescent="0.25">
      <c r="A4719" s="28"/>
      <c r="B4719" s="28"/>
      <c r="C4719" s="28"/>
      <c r="D4719" s="28"/>
      <c r="E4719" s="28"/>
      <c r="F4719" s="28"/>
      <c r="G4719" s="28"/>
      <c r="H4719" s="28"/>
      <c r="I4719" s="28"/>
      <c r="J4719" s="28"/>
      <c r="K4719" s="28"/>
      <c r="L4719" s="28"/>
      <c r="M4719" s="28"/>
      <c r="N4719" s="28"/>
      <c r="O4719" s="28"/>
      <c r="P4719" s="28"/>
      <c r="Q4719" s="28"/>
      <c r="R4719" s="28"/>
      <c r="S4719" s="28"/>
    </row>
    <row r="4720" spans="1:19" x14ac:dyDescent="0.25">
      <c r="A4720" s="28"/>
      <c r="B4720" s="28"/>
      <c r="C4720" s="28"/>
      <c r="D4720" s="28"/>
      <c r="E4720" s="28"/>
      <c r="F4720" s="28"/>
      <c r="G4720" s="28"/>
      <c r="H4720" s="28"/>
      <c r="I4720" s="28"/>
      <c r="J4720" s="28"/>
      <c r="K4720" s="28"/>
      <c r="L4720" s="28"/>
      <c r="M4720" s="28"/>
      <c r="N4720" s="28"/>
      <c r="O4720" s="28"/>
      <c r="P4720" s="28"/>
      <c r="Q4720" s="28"/>
      <c r="R4720" s="28"/>
      <c r="S4720" s="28"/>
    </row>
    <row r="4721" spans="1:19" x14ac:dyDescent="0.25">
      <c r="A4721" s="28"/>
      <c r="B4721" s="28"/>
      <c r="C4721" s="28"/>
      <c r="D4721" s="28"/>
      <c r="E4721" s="28"/>
      <c r="F4721" s="28"/>
      <c r="G4721" s="28"/>
      <c r="H4721" s="28"/>
      <c r="I4721" s="28"/>
      <c r="J4721" s="28"/>
      <c r="K4721" s="28"/>
      <c r="L4721" s="28"/>
      <c r="M4721" s="28"/>
      <c r="N4721" s="28"/>
      <c r="O4721" s="28"/>
      <c r="P4721" s="28"/>
      <c r="Q4721" s="28"/>
      <c r="R4721" s="28"/>
      <c r="S4721" s="28"/>
    </row>
    <row r="4722" spans="1:19" x14ac:dyDescent="0.25">
      <c r="A4722" s="28"/>
      <c r="B4722" s="28"/>
      <c r="C4722" s="28"/>
      <c r="D4722" s="28"/>
      <c r="E4722" s="28"/>
      <c r="F4722" s="28"/>
      <c r="G4722" s="28"/>
      <c r="H4722" s="28"/>
      <c r="I4722" s="28"/>
      <c r="J4722" s="28"/>
      <c r="K4722" s="28"/>
      <c r="L4722" s="28"/>
      <c r="M4722" s="28"/>
      <c r="N4722" s="28"/>
      <c r="O4722" s="28"/>
      <c r="P4722" s="28"/>
      <c r="Q4722" s="28"/>
      <c r="R4722" s="28"/>
      <c r="S4722" s="28"/>
    </row>
    <row r="4723" spans="1:19" x14ac:dyDescent="0.25">
      <c r="A4723" s="28"/>
      <c r="B4723" s="28"/>
      <c r="C4723" s="28"/>
      <c r="D4723" s="28"/>
      <c r="E4723" s="28"/>
      <c r="F4723" s="28"/>
      <c r="G4723" s="28"/>
      <c r="H4723" s="28"/>
      <c r="I4723" s="28"/>
      <c r="J4723" s="28"/>
      <c r="K4723" s="28"/>
      <c r="L4723" s="28"/>
      <c r="M4723" s="28"/>
      <c r="N4723" s="28"/>
      <c r="O4723" s="28"/>
      <c r="P4723" s="28"/>
      <c r="Q4723" s="28"/>
      <c r="R4723" s="28"/>
      <c r="S4723" s="28"/>
    </row>
    <row r="4724" spans="1:19" x14ac:dyDescent="0.25">
      <c r="A4724" s="28"/>
      <c r="B4724" s="28"/>
      <c r="C4724" s="28"/>
      <c r="D4724" s="28"/>
      <c r="E4724" s="28"/>
      <c r="F4724" s="28"/>
      <c r="G4724" s="28"/>
      <c r="H4724" s="28"/>
      <c r="I4724" s="28"/>
      <c r="J4724" s="28"/>
      <c r="K4724" s="28"/>
      <c r="L4724" s="28"/>
      <c r="M4724" s="28"/>
      <c r="N4724" s="28"/>
      <c r="O4724" s="28"/>
      <c r="P4724" s="28"/>
      <c r="Q4724" s="28"/>
      <c r="R4724" s="28"/>
      <c r="S4724" s="28"/>
    </row>
    <row r="4725" spans="1:19" x14ac:dyDescent="0.25">
      <c r="A4725" s="28"/>
      <c r="B4725" s="28"/>
      <c r="C4725" s="28"/>
      <c r="D4725" s="28"/>
      <c r="E4725" s="28"/>
      <c r="F4725" s="28"/>
      <c r="G4725" s="28"/>
      <c r="H4725" s="28"/>
      <c r="I4725" s="28"/>
      <c r="J4725" s="28"/>
      <c r="K4725" s="28"/>
      <c r="L4725" s="28"/>
      <c r="M4725" s="28"/>
      <c r="N4725" s="28"/>
      <c r="O4725" s="28"/>
      <c r="P4725" s="28"/>
      <c r="Q4725" s="28"/>
      <c r="R4725" s="28"/>
      <c r="S4725" s="28"/>
    </row>
    <row r="4726" spans="1:19" x14ac:dyDescent="0.25">
      <c r="A4726" s="28"/>
      <c r="B4726" s="28"/>
      <c r="C4726" s="28"/>
      <c r="D4726" s="28"/>
      <c r="E4726" s="28"/>
      <c r="F4726" s="28"/>
      <c r="G4726" s="28"/>
      <c r="H4726" s="28"/>
      <c r="I4726" s="28"/>
      <c r="J4726" s="28"/>
      <c r="K4726" s="28"/>
      <c r="L4726" s="28"/>
      <c r="M4726" s="28"/>
      <c r="N4726" s="28"/>
      <c r="O4726" s="28"/>
      <c r="P4726" s="28"/>
      <c r="Q4726" s="28"/>
      <c r="R4726" s="28"/>
      <c r="S4726" s="28"/>
    </row>
    <row r="4727" spans="1:19" x14ac:dyDescent="0.25">
      <c r="A4727" s="28"/>
      <c r="B4727" s="28"/>
      <c r="C4727" s="28"/>
      <c r="D4727" s="28"/>
      <c r="E4727" s="28"/>
      <c r="F4727" s="28"/>
      <c r="G4727" s="28"/>
      <c r="H4727" s="28"/>
      <c r="I4727" s="28"/>
      <c r="J4727" s="28"/>
      <c r="K4727" s="28"/>
      <c r="L4727" s="28"/>
      <c r="M4727" s="28"/>
      <c r="N4727" s="28"/>
      <c r="O4727" s="28"/>
      <c r="P4727" s="28"/>
      <c r="Q4727" s="28"/>
      <c r="R4727" s="28"/>
      <c r="S4727" s="28"/>
    </row>
    <row r="4728" spans="1:19" x14ac:dyDescent="0.25">
      <c r="A4728" s="28"/>
      <c r="B4728" s="28"/>
      <c r="C4728" s="28"/>
      <c r="D4728" s="28"/>
      <c r="E4728" s="28"/>
      <c r="F4728" s="28"/>
      <c r="G4728" s="28"/>
      <c r="H4728" s="28"/>
      <c r="I4728" s="28"/>
      <c r="J4728" s="28"/>
      <c r="K4728" s="28"/>
      <c r="L4728" s="28"/>
      <c r="M4728" s="28"/>
      <c r="N4728" s="28"/>
      <c r="O4728" s="28"/>
      <c r="P4728" s="28"/>
      <c r="Q4728" s="28"/>
      <c r="R4728" s="28"/>
      <c r="S4728" s="28"/>
    </row>
    <row r="4729" spans="1:19" x14ac:dyDescent="0.25">
      <c r="A4729" s="28"/>
      <c r="B4729" s="28"/>
      <c r="C4729" s="28"/>
      <c r="D4729" s="28"/>
      <c r="E4729" s="28"/>
      <c r="F4729" s="28"/>
      <c r="G4729" s="28"/>
      <c r="H4729" s="28"/>
      <c r="I4729" s="28"/>
      <c r="J4729" s="28"/>
      <c r="K4729" s="28"/>
      <c r="L4729" s="28"/>
      <c r="M4729" s="28"/>
      <c r="N4729" s="28"/>
      <c r="O4729" s="28"/>
      <c r="P4729" s="28"/>
      <c r="Q4729" s="28"/>
      <c r="R4729" s="28"/>
      <c r="S4729" s="28"/>
    </row>
    <row r="4730" spans="1:19" x14ac:dyDescent="0.25">
      <c r="A4730" s="28"/>
      <c r="B4730" s="28"/>
      <c r="C4730" s="28"/>
      <c r="D4730" s="28"/>
      <c r="E4730" s="28"/>
      <c r="F4730" s="28"/>
      <c r="G4730" s="28"/>
      <c r="H4730" s="28"/>
      <c r="I4730" s="28"/>
      <c r="J4730" s="28"/>
      <c r="K4730" s="28"/>
      <c r="L4730" s="28"/>
      <c r="M4730" s="28"/>
      <c r="N4730" s="28"/>
      <c r="O4730" s="28"/>
      <c r="P4730" s="28"/>
      <c r="Q4730" s="28"/>
      <c r="R4730" s="28"/>
      <c r="S4730" s="28"/>
    </row>
    <row r="4731" spans="1:19" x14ac:dyDescent="0.25">
      <c r="A4731" s="28"/>
      <c r="B4731" s="28"/>
      <c r="C4731" s="28"/>
      <c r="D4731" s="28"/>
      <c r="E4731" s="28"/>
      <c r="F4731" s="28"/>
      <c r="G4731" s="28"/>
      <c r="H4731" s="28"/>
      <c r="I4731" s="28"/>
      <c r="J4731" s="28"/>
      <c r="K4731" s="28"/>
      <c r="L4731" s="28"/>
      <c r="M4731" s="28"/>
      <c r="N4731" s="28"/>
      <c r="O4731" s="28"/>
      <c r="P4731" s="28"/>
      <c r="Q4731" s="28"/>
      <c r="R4731" s="28"/>
      <c r="S4731" s="28"/>
    </row>
    <row r="4732" spans="1:19" x14ac:dyDescent="0.25">
      <c r="A4732" s="28"/>
      <c r="B4732" s="28"/>
      <c r="C4732" s="28"/>
      <c r="D4732" s="28"/>
      <c r="E4732" s="28"/>
      <c r="F4732" s="28"/>
      <c r="G4732" s="28"/>
      <c r="H4732" s="28"/>
      <c r="I4732" s="28"/>
      <c r="J4732" s="28"/>
      <c r="K4732" s="28"/>
      <c r="L4732" s="28"/>
      <c r="M4732" s="28"/>
      <c r="N4732" s="28"/>
      <c r="O4732" s="28"/>
      <c r="P4732" s="28"/>
      <c r="Q4732" s="28"/>
      <c r="R4732" s="28"/>
      <c r="S4732" s="28"/>
    </row>
    <row r="4733" spans="1:19" x14ac:dyDescent="0.25">
      <c r="A4733" s="28"/>
      <c r="B4733" s="28"/>
      <c r="C4733" s="28"/>
      <c r="D4733" s="28"/>
      <c r="E4733" s="28"/>
      <c r="F4733" s="28"/>
      <c r="G4733" s="28"/>
      <c r="H4733" s="28"/>
      <c r="I4733" s="28"/>
      <c r="J4733" s="28"/>
      <c r="K4733" s="28"/>
      <c r="L4733" s="28"/>
      <c r="M4733" s="28"/>
      <c r="N4733" s="28"/>
      <c r="O4733" s="28"/>
      <c r="P4733" s="28"/>
      <c r="Q4733" s="28"/>
      <c r="R4733" s="28"/>
      <c r="S4733" s="28"/>
    </row>
    <row r="4734" spans="1:19" x14ac:dyDescent="0.25">
      <c r="A4734" s="28"/>
      <c r="B4734" s="28"/>
      <c r="C4734" s="28"/>
      <c r="D4734" s="28"/>
      <c r="E4734" s="28"/>
      <c r="F4734" s="28"/>
      <c r="G4734" s="28"/>
      <c r="H4734" s="28"/>
      <c r="I4734" s="28"/>
      <c r="J4734" s="28"/>
      <c r="K4734" s="28"/>
      <c r="L4734" s="28"/>
      <c r="M4734" s="28"/>
      <c r="N4734" s="28"/>
      <c r="O4734" s="28"/>
      <c r="P4734" s="28"/>
      <c r="Q4734" s="28"/>
      <c r="R4734" s="28"/>
      <c r="S4734" s="28"/>
    </row>
    <row r="4735" spans="1:19" x14ac:dyDescent="0.25">
      <c r="A4735" s="28"/>
      <c r="B4735" s="28"/>
      <c r="C4735" s="28"/>
      <c r="D4735" s="28"/>
      <c r="E4735" s="28"/>
      <c r="F4735" s="28"/>
      <c r="G4735" s="28"/>
      <c r="H4735" s="28"/>
      <c r="I4735" s="28"/>
      <c r="J4735" s="28"/>
      <c r="K4735" s="28"/>
      <c r="L4735" s="28"/>
      <c r="M4735" s="28"/>
      <c r="N4735" s="28"/>
      <c r="O4735" s="28"/>
      <c r="P4735" s="28"/>
      <c r="Q4735" s="28"/>
      <c r="R4735" s="28"/>
      <c r="S4735" s="28"/>
    </row>
    <row r="4736" spans="1:19" x14ac:dyDescent="0.25">
      <c r="A4736" s="28"/>
      <c r="B4736" s="28"/>
      <c r="C4736" s="28"/>
      <c r="D4736" s="28"/>
      <c r="E4736" s="28"/>
      <c r="F4736" s="28"/>
      <c r="G4736" s="28"/>
      <c r="H4736" s="28"/>
      <c r="I4736" s="28"/>
      <c r="J4736" s="28"/>
      <c r="K4736" s="28"/>
      <c r="L4736" s="28"/>
      <c r="M4736" s="28"/>
      <c r="N4736" s="28"/>
      <c r="O4736" s="28"/>
      <c r="P4736" s="28"/>
      <c r="Q4736" s="28"/>
      <c r="R4736" s="28"/>
      <c r="S4736" s="28"/>
    </row>
    <row r="4737" spans="1:19" x14ac:dyDescent="0.25">
      <c r="A4737" s="28"/>
      <c r="B4737" s="28"/>
      <c r="C4737" s="28"/>
      <c r="D4737" s="28"/>
      <c r="E4737" s="28"/>
      <c r="F4737" s="28"/>
      <c r="G4737" s="28"/>
      <c r="H4737" s="28"/>
      <c r="I4737" s="28"/>
      <c r="J4737" s="28"/>
      <c r="K4737" s="28"/>
      <c r="L4737" s="28"/>
      <c r="M4737" s="28"/>
      <c r="N4737" s="28"/>
      <c r="O4737" s="28"/>
      <c r="P4737" s="28"/>
      <c r="Q4737" s="28"/>
      <c r="R4737" s="28"/>
      <c r="S4737" s="28"/>
    </row>
    <row r="4738" spans="1:19" x14ac:dyDescent="0.25">
      <c r="A4738" s="28"/>
      <c r="B4738" s="28"/>
      <c r="C4738" s="28"/>
      <c r="D4738" s="28"/>
      <c r="E4738" s="28"/>
      <c r="F4738" s="28"/>
      <c r="G4738" s="28"/>
      <c r="H4738" s="28"/>
      <c r="I4738" s="28"/>
      <c r="J4738" s="28"/>
      <c r="K4738" s="28"/>
      <c r="L4738" s="28"/>
      <c r="M4738" s="28"/>
      <c r="N4738" s="28"/>
      <c r="O4738" s="28"/>
      <c r="P4738" s="28"/>
      <c r="Q4738" s="28"/>
      <c r="R4738" s="28"/>
      <c r="S4738" s="28"/>
    </row>
    <row r="4739" spans="1:19" x14ac:dyDescent="0.25">
      <c r="A4739" s="28"/>
      <c r="B4739" s="28"/>
      <c r="C4739" s="28"/>
      <c r="D4739" s="28"/>
      <c r="E4739" s="28"/>
      <c r="F4739" s="28"/>
      <c r="G4739" s="28"/>
      <c r="H4739" s="28"/>
      <c r="I4739" s="28"/>
      <c r="J4739" s="28"/>
      <c r="K4739" s="28"/>
      <c r="L4739" s="28"/>
      <c r="M4739" s="28"/>
      <c r="N4739" s="28"/>
      <c r="O4739" s="28"/>
      <c r="P4739" s="28"/>
      <c r="Q4739" s="28"/>
      <c r="R4739" s="28"/>
      <c r="S4739" s="28"/>
    </row>
    <row r="4740" spans="1:19" x14ac:dyDescent="0.25">
      <c r="A4740" s="28"/>
      <c r="B4740" s="28"/>
      <c r="C4740" s="28"/>
      <c r="D4740" s="28"/>
      <c r="E4740" s="28"/>
      <c r="F4740" s="28"/>
      <c r="G4740" s="28"/>
      <c r="H4740" s="28"/>
      <c r="I4740" s="28"/>
      <c r="J4740" s="28"/>
      <c r="K4740" s="28"/>
      <c r="L4740" s="28"/>
      <c r="M4740" s="28"/>
      <c r="N4740" s="28"/>
      <c r="O4740" s="28"/>
      <c r="P4740" s="28"/>
      <c r="Q4740" s="28"/>
      <c r="R4740" s="28"/>
      <c r="S4740" s="28"/>
    </row>
    <row r="4741" spans="1:19" x14ac:dyDescent="0.25">
      <c r="A4741" s="28"/>
      <c r="B4741" s="28"/>
      <c r="C4741" s="28"/>
      <c r="D4741" s="28"/>
      <c r="E4741" s="28"/>
      <c r="F4741" s="28"/>
      <c r="G4741" s="28"/>
      <c r="H4741" s="28"/>
      <c r="I4741" s="28"/>
      <c r="J4741" s="28"/>
      <c r="K4741" s="28"/>
      <c r="L4741" s="28"/>
      <c r="M4741" s="28"/>
      <c r="N4741" s="28"/>
      <c r="O4741" s="28"/>
      <c r="P4741" s="28"/>
      <c r="Q4741" s="28"/>
      <c r="R4741" s="28"/>
      <c r="S4741" s="28"/>
    </row>
    <row r="4742" spans="1:19" x14ac:dyDescent="0.25">
      <c r="A4742" s="28"/>
      <c r="B4742" s="28"/>
      <c r="C4742" s="28"/>
      <c r="D4742" s="28"/>
      <c r="E4742" s="28"/>
      <c r="F4742" s="28"/>
      <c r="G4742" s="28"/>
      <c r="H4742" s="28"/>
      <c r="I4742" s="28"/>
      <c r="J4742" s="28"/>
      <c r="K4742" s="28"/>
      <c r="L4742" s="28"/>
      <c r="M4742" s="28"/>
      <c r="N4742" s="28"/>
      <c r="O4742" s="28"/>
      <c r="P4742" s="28"/>
      <c r="Q4742" s="28"/>
      <c r="R4742" s="28"/>
      <c r="S4742" s="28"/>
    </row>
    <row r="4743" spans="1:19" x14ac:dyDescent="0.25">
      <c r="A4743" s="28"/>
      <c r="B4743" s="28"/>
      <c r="C4743" s="28"/>
      <c r="D4743" s="28"/>
      <c r="E4743" s="28"/>
      <c r="F4743" s="28"/>
      <c r="G4743" s="28"/>
      <c r="H4743" s="28"/>
      <c r="I4743" s="28"/>
      <c r="J4743" s="28"/>
      <c r="K4743" s="28"/>
      <c r="L4743" s="28"/>
      <c r="M4743" s="28"/>
      <c r="N4743" s="28"/>
      <c r="O4743" s="28"/>
      <c r="P4743" s="28"/>
      <c r="Q4743" s="28"/>
      <c r="R4743" s="28"/>
      <c r="S4743" s="28"/>
    </row>
    <row r="4744" spans="1:19" x14ac:dyDescent="0.25">
      <c r="A4744" s="28"/>
      <c r="B4744" s="28"/>
      <c r="C4744" s="28"/>
      <c r="D4744" s="28"/>
      <c r="E4744" s="28"/>
      <c r="F4744" s="28"/>
      <c r="G4744" s="28"/>
      <c r="H4744" s="28"/>
      <c r="I4744" s="28"/>
      <c r="J4744" s="28"/>
      <c r="K4744" s="28"/>
      <c r="L4744" s="28"/>
      <c r="M4744" s="28"/>
      <c r="N4744" s="28"/>
      <c r="O4744" s="28"/>
      <c r="P4744" s="28"/>
      <c r="Q4744" s="28"/>
      <c r="R4744" s="28"/>
      <c r="S4744" s="28"/>
    </row>
    <row r="4745" spans="1:19" x14ac:dyDescent="0.25">
      <c r="A4745" s="28"/>
      <c r="B4745" s="28"/>
      <c r="C4745" s="28"/>
      <c r="D4745" s="28"/>
      <c r="E4745" s="28"/>
      <c r="F4745" s="28"/>
      <c r="G4745" s="28"/>
      <c r="H4745" s="28"/>
      <c r="I4745" s="28"/>
      <c r="J4745" s="28"/>
      <c r="K4745" s="28"/>
      <c r="L4745" s="28"/>
      <c r="M4745" s="28"/>
      <c r="N4745" s="28"/>
      <c r="O4745" s="28"/>
      <c r="P4745" s="28"/>
      <c r="Q4745" s="28"/>
      <c r="R4745" s="28"/>
      <c r="S4745" s="28"/>
    </row>
    <row r="4746" spans="1:19" x14ac:dyDescent="0.25">
      <c r="A4746" s="28"/>
      <c r="B4746" s="28"/>
      <c r="C4746" s="28"/>
      <c r="D4746" s="28"/>
      <c r="E4746" s="28"/>
      <c r="F4746" s="28"/>
      <c r="G4746" s="28"/>
      <c r="H4746" s="28"/>
      <c r="I4746" s="28"/>
      <c r="J4746" s="28"/>
      <c r="K4746" s="28"/>
      <c r="L4746" s="28"/>
      <c r="M4746" s="28"/>
      <c r="N4746" s="28"/>
      <c r="O4746" s="28"/>
      <c r="P4746" s="28"/>
      <c r="Q4746" s="28"/>
      <c r="R4746" s="28"/>
      <c r="S4746" s="28"/>
    </row>
    <row r="4747" spans="1:19" x14ac:dyDescent="0.25">
      <c r="A4747" s="28"/>
      <c r="B4747" s="28"/>
      <c r="C4747" s="28"/>
      <c r="D4747" s="28"/>
      <c r="E4747" s="28"/>
      <c r="F4747" s="28"/>
      <c r="G4747" s="28"/>
      <c r="H4747" s="28"/>
      <c r="I4747" s="28"/>
      <c r="J4747" s="28"/>
      <c r="K4747" s="28"/>
      <c r="L4747" s="28"/>
      <c r="M4747" s="28"/>
      <c r="N4747" s="28"/>
      <c r="O4747" s="28"/>
      <c r="P4747" s="28"/>
      <c r="Q4747" s="28"/>
      <c r="R4747" s="28"/>
      <c r="S4747" s="28"/>
    </row>
    <row r="4748" spans="1:19" x14ac:dyDescent="0.25">
      <c r="A4748" s="28"/>
      <c r="B4748" s="28"/>
      <c r="C4748" s="28"/>
      <c r="D4748" s="28"/>
      <c r="E4748" s="28"/>
      <c r="F4748" s="28"/>
      <c r="G4748" s="28"/>
      <c r="H4748" s="28"/>
      <c r="I4748" s="28"/>
      <c r="J4748" s="28"/>
      <c r="K4748" s="28"/>
      <c r="L4748" s="28"/>
      <c r="M4748" s="28"/>
      <c r="N4748" s="28"/>
      <c r="O4748" s="28"/>
      <c r="P4748" s="28"/>
      <c r="Q4748" s="28"/>
      <c r="R4748" s="28"/>
      <c r="S4748" s="28"/>
    </row>
    <row r="4749" spans="1:19" x14ac:dyDescent="0.25">
      <c r="A4749" s="28"/>
      <c r="B4749" s="28"/>
      <c r="C4749" s="28"/>
      <c r="D4749" s="28"/>
      <c r="E4749" s="28"/>
      <c r="F4749" s="28"/>
      <c r="G4749" s="28"/>
      <c r="H4749" s="28"/>
      <c r="I4749" s="28"/>
      <c r="J4749" s="28"/>
      <c r="K4749" s="28"/>
      <c r="L4749" s="28"/>
      <c r="M4749" s="28"/>
      <c r="N4749" s="28"/>
      <c r="O4749" s="28"/>
      <c r="P4749" s="28"/>
      <c r="Q4749" s="28"/>
      <c r="R4749" s="28"/>
      <c r="S4749" s="28"/>
    </row>
    <row r="4750" spans="1:19" x14ac:dyDescent="0.25">
      <c r="A4750" s="28"/>
      <c r="B4750" s="28"/>
      <c r="C4750" s="28"/>
      <c r="D4750" s="28"/>
      <c r="E4750" s="28"/>
      <c r="F4750" s="28"/>
      <c r="G4750" s="28"/>
      <c r="H4750" s="28"/>
      <c r="I4750" s="28"/>
      <c r="J4750" s="28"/>
      <c r="K4750" s="28"/>
      <c r="L4750" s="28"/>
      <c r="M4750" s="28"/>
      <c r="N4750" s="28"/>
      <c r="O4750" s="28"/>
      <c r="P4750" s="28"/>
      <c r="Q4750" s="28"/>
      <c r="R4750" s="28"/>
      <c r="S4750" s="28"/>
    </row>
    <row r="4751" spans="1:19" x14ac:dyDescent="0.25">
      <c r="A4751" s="28"/>
      <c r="B4751" s="28"/>
      <c r="C4751" s="28"/>
      <c r="D4751" s="28"/>
      <c r="E4751" s="28"/>
      <c r="F4751" s="28"/>
      <c r="G4751" s="28"/>
      <c r="H4751" s="28"/>
      <c r="I4751" s="28"/>
      <c r="J4751" s="28"/>
      <c r="K4751" s="28"/>
      <c r="L4751" s="28"/>
      <c r="M4751" s="28"/>
      <c r="N4751" s="28"/>
      <c r="O4751" s="28"/>
      <c r="P4751" s="28"/>
      <c r="Q4751" s="28"/>
      <c r="R4751" s="28"/>
      <c r="S4751" s="28"/>
    </row>
    <row r="4752" spans="1:19" x14ac:dyDescent="0.25">
      <c r="A4752" s="28"/>
      <c r="B4752" s="28"/>
      <c r="C4752" s="28"/>
      <c r="D4752" s="28"/>
      <c r="E4752" s="28"/>
      <c r="F4752" s="28"/>
      <c r="G4752" s="28"/>
      <c r="H4752" s="28"/>
      <c r="I4752" s="28"/>
      <c r="J4752" s="28"/>
      <c r="K4752" s="28"/>
      <c r="L4752" s="28"/>
      <c r="M4752" s="28"/>
      <c r="N4752" s="28"/>
      <c r="O4752" s="28"/>
      <c r="P4752" s="28"/>
      <c r="Q4752" s="28"/>
      <c r="R4752" s="28"/>
      <c r="S4752" s="28"/>
    </row>
    <row r="4753" spans="1:19" x14ac:dyDescent="0.25">
      <c r="A4753" s="28"/>
      <c r="B4753" s="28"/>
      <c r="C4753" s="28"/>
      <c r="D4753" s="28"/>
      <c r="E4753" s="28"/>
      <c r="F4753" s="28"/>
      <c r="G4753" s="28"/>
      <c r="H4753" s="28"/>
      <c r="I4753" s="28"/>
      <c r="J4753" s="28"/>
      <c r="K4753" s="28"/>
      <c r="L4753" s="28"/>
      <c r="M4753" s="28"/>
      <c r="N4753" s="28"/>
      <c r="O4753" s="28"/>
      <c r="P4753" s="28"/>
      <c r="Q4753" s="28"/>
      <c r="R4753" s="28"/>
      <c r="S4753" s="28"/>
    </row>
    <row r="4754" spans="1:19" x14ac:dyDescent="0.25">
      <c r="A4754" s="28"/>
      <c r="B4754" s="28"/>
      <c r="C4754" s="28"/>
      <c r="D4754" s="28"/>
      <c r="E4754" s="28"/>
      <c r="F4754" s="28"/>
      <c r="G4754" s="28"/>
      <c r="H4754" s="28"/>
      <c r="I4754" s="28"/>
      <c r="J4754" s="28"/>
      <c r="K4754" s="28"/>
      <c r="L4754" s="28"/>
      <c r="M4754" s="28"/>
      <c r="N4754" s="28"/>
      <c r="O4754" s="28"/>
      <c r="P4754" s="28"/>
      <c r="Q4754" s="28"/>
      <c r="R4754" s="28"/>
      <c r="S4754" s="28"/>
    </row>
    <row r="4755" spans="1:19" x14ac:dyDescent="0.25">
      <c r="A4755" s="28"/>
      <c r="B4755" s="28"/>
      <c r="C4755" s="28"/>
      <c r="D4755" s="28"/>
      <c r="E4755" s="28"/>
      <c r="F4755" s="28"/>
      <c r="G4755" s="28"/>
      <c r="H4755" s="28"/>
      <c r="I4755" s="28"/>
      <c r="J4755" s="28"/>
      <c r="K4755" s="28"/>
      <c r="L4755" s="28"/>
      <c r="M4755" s="28"/>
      <c r="N4755" s="28"/>
      <c r="O4755" s="28"/>
      <c r="P4755" s="28"/>
      <c r="Q4755" s="28"/>
      <c r="R4755" s="28"/>
      <c r="S4755" s="28"/>
    </row>
    <row r="4756" spans="1:19" x14ac:dyDescent="0.25">
      <c r="A4756" s="28"/>
      <c r="B4756" s="28"/>
      <c r="C4756" s="28"/>
      <c r="D4756" s="28"/>
      <c r="E4756" s="28"/>
      <c r="F4756" s="28"/>
      <c r="G4756" s="28"/>
      <c r="H4756" s="28"/>
      <c r="I4756" s="28"/>
      <c r="J4756" s="28"/>
      <c r="K4756" s="28"/>
      <c r="L4756" s="28"/>
      <c r="M4756" s="28"/>
      <c r="N4756" s="28"/>
      <c r="O4756" s="28"/>
      <c r="P4756" s="28"/>
      <c r="Q4756" s="28"/>
      <c r="R4756" s="28"/>
      <c r="S4756" s="28"/>
    </row>
    <row r="4757" spans="1:19" x14ac:dyDescent="0.25">
      <c r="A4757" s="28"/>
      <c r="B4757" s="28"/>
      <c r="C4757" s="28"/>
      <c r="D4757" s="28"/>
      <c r="E4757" s="28"/>
      <c r="F4757" s="28"/>
      <c r="G4757" s="28"/>
      <c r="H4757" s="28"/>
      <c r="I4757" s="28"/>
      <c r="J4757" s="28"/>
      <c r="K4757" s="28"/>
      <c r="L4757" s="28"/>
      <c r="M4757" s="28"/>
      <c r="N4757" s="28"/>
      <c r="O4757" s="28"/>
      <c r="P4757" s="28"/>
      <c r="Q4757" s="28"/>
      <c r="R4757" s="28"/>
      <c r="S4757" s="28"/>
    </row>
    <row r="4758" spans="1:19" x14ac:dyDescent="0.25">
      <c r="A4758" s="28"/>
      <c r="B4758" s="28"/>
      <c r="C4758" s="28"/>
      <c r="D4758" s="28"/>
      <c r="E4758" s="28"/>
      <c r="F4758" s="28"/>
      <c r="G4758" s="28"/>
      <c r="H4758" s="28"/>
      <c r="I4758" s="28"/>
      <c r="J4758" s="28"/>
      <c r="K4758" s="28"/>
      <c r="L4758" s="28"/>
      <c r="M4758" s="28"/>
      <c r="N4758" s="28"/>
      <c r="O4758" s="28"/>
      <c r="P4758" s="28"/>
      <c r="Q4758" s="28"/>
      <c r="R4758" s="28"/>
      <c r="S4758" s="28"/>
    </row>
    <row r="4759" spans="1:19" x14ac:dyDescent="0.25">
      <c r="A4759" s="28"/>
      <c r="B4759" s="28"/>
      <c r="C4759" s="28"/>
      <c r="D4759" s="28"/>
      <c r="E4759" s="28"/>
      <c r="F4759" s="28"/>
      <c r="G4759" s="28"/>
      <c r="H4759" s="28"/>
      <c r="I4759" s="28"/>
      <c r="J4759" s="28"/>
      <c r="K4759" s="28"/>
      <c r="L4759" s="28"/>
      <c r="M4759" s="28"/>
      <c r="N4759" s="28"/>
      <c r="O4759" s="28"/>
      <c r="P4759" s="28"/>
      <c r="Q4759" s="28"/>
      <c r="R4759" s="28"/>
      <c r="S4759" s="28"/>
    </row>
    <row r="4760" spans="1:19" x14ac:dyDescent="0.25">
      <c r="A4760" s="28"/>
      <c r="B4760" s="28"/>
      <c r="C4760" s="28"/>
      <c r="D4760" s="28"/>
      <c r="E4760" s="28"/>
      <c r="F4760" s="28"/>
      <c r="G4760" s="28"/>
      <c r="H4760" s="28"/>
      <c r="I4760" s="28"/>
      <c r="J4760" s="28"/>
      <c r="K4760" s="28"/>
      <c r="L4760" s="28"/>
      <c r="M4760" s="28"/>
      <c r="N4760" s="28"/>
      <c r="O4760" s="28"/>
      <c r="P4760" s="28"/>
      <c r="Q4760" s="28"/>
      <c r="R4760" s="28"/>
      <c r="S4760" s="28"/>
    </row>
    <row r="4761" spans="1:19" x14ac:dyDescent="0.25">
      <c r="A4761" s="28"/>
      <c r="B4761" s="28"/>
      <c r="C4761" s="28"/>
      <c r="D4761" s="28"/>
      <c r="E4761" s="28"/>
      <c r="F4761" s="28"/>
      <c r="G4761" s="28"/>
      <c r="H4761" s="28"/>
      <c r="I4761" s="28"/>
      <c r="J4761" s="28"/>
      <c r="K4761" s="28"/>
      <c r="L4761" s="28"/>
      <c r="M4761" s="28"/>
      <c r="N4761" s="28"/>
      <c r="O4761" s="28"/>
      <c r="P4761" s="28"/>
      <c r="Q4761" s="28"/>
      <c r="R4761" s="28"/>
      <c r="S4761" s="28"/>
    </row>
    <row r="4762" spans="1:19" x14ac:dyDescent="0.25">
      <c r="A4762" s="28"/>
      <c r="B4762" s="28"/>
      <c r="C4762" s="28"/>
      <c r="D4762" s="28"/>
      <c r="E4762" s="28"/>
      <c r="F4762" s="28"/>
      <c r="G4762" s="28"/>
      <c r="H4762" s="28"/>
      <c r="I4762" s="28"/>
      <c r="J4762" s="28"/>
      <c r="K4762" s="28"/>
      <c r="L4762" s="28"/>
      <c r="M4762" s="28"/>
      <c r="N4762" s="28"/>
      <c r="O4762" s="28"/>
      <c r="P4762" s="28"/>
      <c r="Q4762" s="28"/>
      <c r="R4762" s="28"/>
      <c r="S4762" s="28"/>
    </row>
    <row r="4763" spans="1:19" x14ac:dyDescent="0.25">
      <c r="A4763" s="28"/>
      <c r="B4763" s="28"/>
      <c r="C4763" s="28"/>
      <c r="D4763" s="28"/>
      <c r="E4763" s="28"/>
      <c r="F4763" s="28"/>
      <c r="G4763" s="28"/>
      <c r="H4763" s="28"/>
      <c r="I4763" s="28"/>
      <c r="J4763" s="28"/>
      <c r="K4763" s="28"/>
      <c r="L4763" s="28"/>
      <c r="M4763" s="28"/>
      <c r="N4763" s="28"/>
      <c r="O4763" s="28"/>
      <c r="P4763" s="28"/>
      <c r="Q4763" s="28"/>
      <c r="R4763" s="28"/>
      <c r="S4763" s="28"/>
    </row>
    <row r="4764" spans="1:19" x14ac:dyDescent="0.25">
      <c r="A4764" s="28"/>
      <c r="B4764" s="28"/>
      <c r="C4764" s="28"/>
      <c r="D4764" s="28"/>
      <c r="E4764" s="28"/>
      <c r="F4764" s="28"/>
      <c r="G4764" s="28"/>
      <c r="H4764" s="28"/>
      <c r="I4764" s="28"/>
      <c r="J4764" s="28"/>
      <c r="K4764" s="28"/>
      <c r="L4764" s="28"/>
      <c r="M4764" s="28"/>
      <c r="N4764" s="28"/>
      <c r="O4764" s="28"/>
      <c r="P4764" s="28"/>
      <c r="Q4764" s="28"/>
      <c r="R4764" s="28"/>
      <c r="S4764" s="28"/>
    </row>
    <row r="4765" spans="1:19" x14ac:dyDescent="0.25">
      <c r="A4765" s="28"/>
      <c r="B4765" s="28"/>
      <c r="C4765" s="28"/>
      <c r="D4765" s="28"/>
      <c r="E4765" s="28"/>
      <c r="F4765" s="28"/>
      <c r="G4765" s="28"/>
      <c r="H4765" s="28"/>
      <c r="I4765" s="28"/>
      <c r="J4765" s="28"/>
      <c r="K4765" s="28"/>
      <c r="L4765" s="28"/>
      <c r="M4765" s="28"/>
      <c r="N4765" s="28"/>
      <c r="O4765" s="28"/>
      <c r="P4765" s="28"/>
      <c r="Q4765" s="28"/>
      <c r="R4765" s="28"/>
      <c r="S4765" s="28"/>
    </row>
    <row r="4766" spans="1:19" x14ac:dyDescent="0.25">
      <c r="A4766" s="28"/>
      <c r="B4766" s="28"/>
      <c r="C4766" s="28"/>
      <c r="D4766" s="28"/>
      <c r="E4766" s="28"/>
      <c r="F4766" s="28"/>
      <c r="G4766" s="28"/>
      <c r="H4766" s="28"/>
      <c r="I4766" s="28"/>
      <c r="J4766" s="28"/>
      <c r="K4766" s="28"/>
      <c r="L4766" s="28"/>
      <c r="M4766" s="28"/>
      <c r="N4766" s="28"/>
      <c r="O4766" s="28"/>
      <c r="P4766" s="28"/>
      <c r="Q4766" s="28"/>
      <c r="R4766" s="28"/>
      <c r="S4766" s="28"/>
    </row>
    <row r="4767" spans="1:19" x14ac:dyDescent="0.25">
      <c r="A4767" s="28"/>
      <c r="B4767" s="28"/>
      <c r="C4767" s="28"/>
      <c r="D4767" s="28"/>
      <c r="E4767" s="28"/>
      <c r="F4767" s="28"/>
      <c r="G4767" s="28"/>
      <c r="H4767" s="28"/>
      <c r="I4767" s="28"/>
      <c r="J4767" s="28"/>
      <c r="K4767" s="28"/>
      <c r="L4767" s="28"/>
      <c r="M4767" s="28"/>
      <c r="N4767" s="28"/>
      <c r="O4767" s="28"/>
      <c r="P4767" s="28"/>
      <c r="Q4767" s="28"/>
      <c r="R4767" s="28"/>
      <c r="S4767" s="28"/>
    </row>
    <row r="4768" spans="1:19" x14ac:dyDescent="0.25">
      <c r="A4768" s="28"/>
      <c r="B4768" s="28"/>
      <c r="C4768" s="28"/>
      <c r="D4768" s="28"/>
      <c r="E4768" s="28"/>
      <c r="F4768" s="28"/>
      <c r="G4768" s="28"/>
      <c r="H4768" s="28"/>
      <c r="I4768" s="28"/>
      <c r="J4768" s="28"/>
      <c r="K4768" s="28"/>
      <c r="L4768" s="28"/>
      <c r="M4768" s="28"/>
      <c r="N4768" s="28"/>
      <c r="O4768" s="28"/>
      <c r="P4768" s="28"/>
      <c r="Q4768" s="28"/>
      <c r="R4768" s="28"/>
      <c r="S4768" s="28"/>
    </row>
    <row r="4769" spans="1:19" x14ac:dyDescent="0.25">
      <c r="A4769" s="28"/>
      <c r="B4769" s="28"/>
      <c r="C4769" s="28"/>
      <c r="D4769" s="28"/>
      <c r="E4769" s="28"/>
      <c r="F4769" s="28"/>
      <c r="G4769" s="28"/>
      <c r="H4769" s="28"/>
      <c r="I4769" s="28"/>
      <c r="J4769" s="28"/>
      <c r="K4769" s="28"/>
      <c r="L4769" s="28"/>
      <c r="M4769" s="28"/>
      <c r="N4769" s="28"/>
      <c r="O4769" s="28"/>
      <c r="P4769" s="28"/>
      <c r="Q4769" s="28"/>
      <c r="R4769" s="28"/>
      <c r="S4769" s="28"/>
    </row>
    <row r="4770" spans="1:19" x14ac:dyDescent="0.25">
      <c r="A4770" s="28"/>
      <c r="B4770" s="28"/>
      <c r="C4770" s="28"/>
      <c r="D4770" s="28"/>
      <c r="E4770" s="28"/>
      <c r="F4770" s="28"/>
      <c r="G4770" s="28"/>
      <c r="H4770" s="28"/>
      <c r="I4770" s="28"/>
      <c r="J4770" s="28"/>
      <c r="K4770" s="28"/>
      <c r="L4770" s="28"/>
      <c r="M4770" s="28"/>
      <c r="N4770" s="28"/>
      <c r="O4770" s="28"/>
      <c r="P4770" s="28"/>
      <c r="Q4770" s="28"/>
      <c r="R4770" s="28"/>
      <c r="S4770" s="28"/>
    </row>
    <row r="4771" spans="1:19" x14ac:dyDescent="0.25">
      <c r="A4771" s="28"/>
      <c r="B4771" s="28"/>
      <c r="C4771" s="28"/>
      <c r="D4771" s="28"/>
      <c r="E4771" s="28"/>
      <c r="F4771" s="28"/>
      <c r="G4771" s="28"/>
      <c r="H4771" s="28"/>
      <c r="I4771" s="28"/>
      <c r="J4771" s="28"/>
      <c r="K4771" s="28"/>
      <c r="L4771" s="28"/>
      <c r="M4771" s="28"/>
      <c r="N4771" s="28"/>
      <c r="O4771" s="28"/>
      <c r="P4771" s="28"/>
      <c r="Q4771" s="28"/>
      <c r="R4771" s="28"/>
      <c r="S4771" s="28"/>
    </row>
    <row r="4772" spans="1:19" x14ac:dyDescent="0.25">
      <c r="A4772" s="28"/>
      <c r="B4772" s="28"/>
      <c r="C4772" s="28"/>
      <c r="D4772" s="28"/>
      <c r="E4772" s="28"/>
      <c r="F4772" s="28"/>
      <c r="G4772" s="28"/>
      <c r="H4772" s="28"/>
      <c r="I4772" s="28"/>
      <c r="J4772" s="28"/>
      <c r="K4772" s="28"/>
      <c r="L4772" s="28"/>
      <c r="M4772" s="28"/>
      <c r="N4772" s="28"/>
      <c r="O4772" s="28"/>
      <c r="P4772" s="28"/>
      <c r="Q4772" s="28"/>
      <c r="R4772" s="28"/>
      <c r="S4772" s="28"/>
    </row>
    <row r="4773" spans="1:19" x14ac:dyDescent="0.25">
      <c r="A4773" s="28"/>
      <c r="B4773" s="28"/>
      <c r="C4773" s="28"/>
      <c r="D4773" s="28"/>
      <c r="E4773" s="28"/>
      <c r="F4773" s="28"/>
      <c r="G4773" s="28"/>
      <c r="H4773" s="28"/>
      <c r="I4773" s="28"/>
      <c r="J4773" s="28"/>
      <c r="K4773" s="28"/>
      <c r="L4773" s="28"/>
      <c r="M4773" s="28"/>
      <c r="N4773" s="28"/>
      <c r="O4773" s="28"/>
      <c r="P4773" s="28"/>
      <c r="Q4773" s="28"/>
      <c r="R4773" s="28"/>
      <c r="S4773" s="28"/>
    </row>
    <row r="4774" spans="1:19" x14ac:dyDescent="0.25">
      <c r="A4774" s="28"/>
      <c r="B4774" s="28"/>
      <c r="C4774" s="28"/>
      <c r="D4774" s="28"/>
      <c r="E4774" s="28"/>
      <c r="F4774" s="28"/>
      <c r="G4774" s="28"/>
      <c r="H4774" s="28"/>
      <c r="I4774" s="28"/>
      <c r="J4774" s="28"/>
      <c r="K4774" s="28"/>
      <c r="L4774" s="28"/>
      <c r="M4774" s="28"/>
      <c r="N4774" s="28"/>
      <c r="O4774" s="28"/>
      <c r="P4774" s="28"/>
      <c r="Q4774" s="28"/>
      <c r="R4774" s="28"/>
      <c r="S4774" s="28"/>
    </row>
    <row r="4775" spans="1:19" x14ac:dyDescent="0.25">
      <c r="A4775" s="28"/>
      <c r="B4775" s="28"/>
      <c r="C4775" s="28"/>
      <c r="D4775" s="28"/>
      <c r="E4775" s="28"/>
      <c r="F4775" s="28"/>
      <c r="G4775" s="28"/>
      <c r="H4775" s="28"/>
      <c r="I4775" s="28"/>
      <c r="J4775" s="28"/>
      <c r="K4775" s="28"/>
      <c r="L4775" s="28"/>
      <c r="M4775" s="28"/>
      <c r="N4775" s="28"/>
      <c r="O4775" s="28"/>
      <c r="P4775" s="28"/>
      <c r="Q4775" s="28"/>
      <c r="R4775" s="28"/>
      <c r="S4775" s="28"/>
    </row>
    <row r="4776" spans="1:19" x14ac:dyDescent="0.25">
      <c r="A4776" s="28"/>
      <c r="B4776" s="28"/>
      <c r="C4776" s="28"/>
      <c r="D4776" s="28"/>
      <c r="E4776" s="28"/>
      <c r="F4776" s="28"/>
      <c r="G4776" s="28"/>
      <c r="H4776" s="28"/>
      <c r="I4776" s="28"/>
      <c r="J4776" s="28"/>
      <c r="K4776" s="28"/>
      <c r="L4776" s="28"/>
      <c r="M4776" s="28"/>
      <c r="N4776" s="28"/>
      <c r="O4776" s="28"/>
      <c r="P4776" s="28"/>
      <c r="Q4776" s="28"/>
      <c r="R4776" s="28"/>
      <c r="S4776" s="28"/>
    </row>
    <row r="4777" spans="1:19" x14ac:dyDescent="0.25">
      <c r="A4777" s="28"/>
      <c r="B4777" s="28"/>
      <c r="C4777" s="28"/>
      <c r="D4777" s="28"/>
      <c r="E4777" s="28"/>
      <c r="F4777" s="28"/>
      <c r="G4777" s="28"/>
      <c r="H4777" s="28"/>
      <c r="I4777" s="28"/>
      <c r="J4777" s="28"/>
      <c r="K4777" s="28"/>
      <c r="L4777" s="28"/>
      <c r="M4777" s="28"/>
      <c r="N4777" s="28"/>
      <c r="O4777" s="28"/>
      <c r="P4777" s="28"/>
      <c r="Q4777" s="28"/>
      <c r="R4777" s="28"/>
      <c r="S4777" s="28"/>
    </row>
    <row r="4778" spans="1:19" x14ac:dyDescent="0.25">
      <c r="A4778" s="28"/>
      <c r="B4778" s="28"/>
      <c r="C4778" s="28"/>
      <c r="D4778" s="28"/>
      <c r="E4778" s="28"/>
      <c r="F4778" s="28"/>
      <c r="G4778" s="28"/>
      <c r="H4778" s="28"/>
      <c r="I4778" s="28"/>
      <c r="J4778" s="28"/>
      <c r="K4778" s="28"/>
      <c r="L4778" s="28"/>
      <c r="M4778" s="28"/>
      <c r="N4778" s="28"/>
      <c r="O4778" s="28"/>
      <c r="P4778" s="28"/>
      <c r="Q4778" s="28"/>
      <c r="R4778" s="28"/>
      <c r="S4778" s="28"/>
    </row>
    <row r="4779" spans="1:19" x14ac:dyDescent="0.25">
      <c r="A4779" s="28"/>
      <c r="B4779" s="28"/>
      <c r="C4779" s="28"/>
      <c r="D4779" s="28"/>
      <c r="E4779" s="28"/>
      <c r="F4779" s="28"/>
      <c r="G4779" s="28"/>
      <c r="H4779" s="28"/>
      <c r="I4779" s="28"/>
      <c r="J4779" s="28"/>
      <c r="K4779" s="28"/>
      <c r="L4779" s="28"/>
      <c r="M4779" s="28"/>
      <c r="N4779" s="28"/>
      <c r="O4779" s="28"/>
      <c r="P4779" s="28"/>
      <c r="Q4779" s="28"/>
      <c r="R4779" s="28"/>
      <c r="S4779" s="28"/>
    </row>
    <row r="4780" spans="1:19" x14ac:dyDescent="0.25">
      <c r="A4780" s="28"/>
      <c r="B4780" s="28"/>
      <c r="C4780" s="28"/>
      <c r="D4780" s="28"/>
      <c r="E4780" s="28"/>
      <c r="F4780" s="28"/>
      <c r="G4780" s="28"/>
      <c r="H4780" s="28"/>
      <c r="I4780" s="28"/>
      <c r="J4780" s="28"/>
      <c r="K4780" s="28"/>
      <c r="L4780" s="28"/>
      <c r="M4780" s="28"/>
      <c r="N4780" s="28"/>
      <c r="O4780" s="28"/>
      <c r="P4780" s="28"/>
      <c r="Q4780" s="28"/>
      <c r="R4780" s="28"/>
      <c r="S4780" s="28"/>
    </row>
    <row r="4781" spans="1:19" x14ac:dyDescent="0.25">
      <c r="A4781" s="28"/>
      <c r="B4781" s="28"/>
      <c r="C4781" s="28"/>
      <c r="D4781" s="28"/>
      <c r="E4781" s="28"/>
      <c r="F4781" s="28"/>
      <c r="G4781" s="28"/>
      <c r="H4781" s="28"/>
      <c r="I4781" s="28"/>
      <c r="J4781" s="28"/>
      <c r="K4781" s="28"/>
      <c r="L4781" s="28"/>
      <c r="M4781" s="28"/>
      <c r="N4781" s="28"/>
      <c r="O4781" s="28"/>
      <c r="P4781" s="28"/>
      <c r="Q4781" s="28"/>
      <c r="R4781" s="28"/>
      <c r="S4781" s="28"/>
    </row>
    <row r="4782" spans="1:19" x14ac:dyDescent="0.25">
      <c r="A4782" s="28"/>
      <c r="B4782" s="28"/>
      <c r="C4782" s="28"/>
      <c r="D4782" s="28"/>
      <c r="E4782" s="28"/>
      <c r="F4782" s="28"/>
      <c r="G4782" s="28"/>
      <c r="H4782" s="28"/>
      <c r="I4782" s="28"/>
      <c r="J4782" s="28"/>
      <c r="K4782" s="28"/>
      <c r="L4782" s="28"/>
      <c r="M4782" s="28"/>
      <c r="N4782" s="28"/>
      <c r="O4782" s="28"/>
      <c r="P4782" s="28"/>
      <c r="Q4782" s="28"/>
      <c r="R4782" s="28"/>
      <c r="S4782" s="28"/>
    </row>
    <row r="4783" spans="1:19" x14ac:dyDescent="0.25">
      <c r="A4783" s="28"/>
      <c r="B4783" s="28"/>
      <c r="C4783" s="28"/>
      <c r="D4783" s="28"/>
      <c r="E4783" s="28"/>
      <c r="F4783" s="28"/>
      <c r="G4783" s="28"/>
      <c r="H4783" s="28"/>
      <c r="I4783" s="28"/>
      <c r="J4783" s="28"/>
      <c r="K4783" s="28"/>
      <c r="L4783" s="28"/>
      <c r="M4783" s="28"/>
      <c r="N4783" s="28"/>
      <c r="O4783" s="28"/>
      <c r="P4783" s="28"/>
      <c r="Q4783" s="28"/>
      <c r="R4783" s="28"/>
      <c r="S4783" s="28"/>
    </row>
    <row r="4784" spans="1:19" x14ac:dyDescent="0.25">
      <c r="A4784" s="28"/>
      <c r="B4784" s="28"/>
      <c r="C4784" s="28"/>
      <c r="D4784" s="28"/>
      <c r="E4784" s="28"/>
      <c r="F4784" s="28"/>
      <c r="G4784" s="28"/>
      <c r="H4784" s="28"/>
      <c r="I4784" s="28"/>
      <c r="J4784" s="28"/>
      <c r="K4784" s="28"/>
      <c r="L4784" s="28"/>
      <c r="M4784" s="28"/>
      <c r="N4784" s="28"/>
      <c r="O4784" s="28"/>
      <c r="P4784" s="28"/>
      <c r="Q4784" s="28"/>
      <c r="R4784" s="28"/>
      <c r="S4784" s="28"/>
    </row>
    <row r="4785" spans="1:19" x14ac:dyDescent="0.25">
      <c r="A4785" s="28"/>
      <c r="B4785" s="28"/>
      <c r="C4785" s="28"/>
      <c r="D4785" s="28"/>
      <c r="E4785" s="28"/>
      <c r="F4785" s="28"/>
      <c r="G4785" s="28"/>
      <c r="H4785" s="28"/>
      <c r="I4785" s="28"/>
      <c r="J4785" s="28"/>
      <c r="K4785" s="28"/>
      <c r="L4785" s="28"/>
      <c r="M4785" s="28"/>
      <c r="N4785" s="28"/>
      <c r="O4785" s="28"/>
      <c r="P4785" s="28"/>
      <c r="Q4785" s="28"/>
      <c r="R4785" s="28"/>
      <c r="S4785" s="28"/>
    </row>
    <row r="4786" spans="1:19" x14ac:dyDescent="0.25">
      <c r="A4786" s="28"/>
      <c r="B4786" s="28"/>
      <c r="C4786" s="28"/>
      <c r="D4786" s="28"/>
      <c r="E4786" s="28"/>
      <c r="F4786" s="28"/>
      <c r="G4786" s="28"/>
      <c r="H4786" s="28"/>
      <c r="I4786" s="28"/>
      <c r="J4786" s="28"/>
      <c r="K4786" s="28"/>
      <c r="L4786" s="28"/>
      <c r="M4786" s="28"/>
      <c r="N4786" s="28"/>
      <c r="O4786" s="28"/>
      <c r="P4786" s="28"/>
      <c r="Q4786" s="28"/>
      <c r="R4786" s="28"/>
      <c r="S4786" s="28"/>
    </row>
    <row r="4787" spans="1:19" x14ac:dyDescent="0.25">
      <c r="A4787" s="28"/>
      <c r="B4787" s="28"/>
      <c r="C4787" s="28"/>
      <c r="D4787" s="28"/>
      <c r="E4787" s="28"/>
      <c r="F4787" s="28"/>
      <c r="G4787" s="28"/>
      <c r="H4787" s="28"/>
      <c r="I4787" s="28"/>
      <c r="J4787" s="28"/>
      <c r="K4787" s="28"/>
      <c r="L4787" s="28"/>
      <c r="M4787" s="28"/>
      <c r="N4787" s="28"/>
      <c r="O4787" s="28"/>
      <c r="P4787" s="28"/>
      <c r="Q4787" s="28"/>
      <c r="R4787" s="28"/>
      <c r="S4787" s="28"/>
    </row>
    <row r="4788" spans="1:19" x14ac:dyDescent="0.25">
      <c r="A4788" s="28"/>
      <c r="B4788" s="28"/>
      <c r="C4788" s="28"/>
      <c r="D4788" s="28"/>
      <c r="E4788" s="28"/>
      <c r="F4788" s="28"/>
      <c r="G4788" s="28"/>
      <c r="H4788" s="28"/>
      <c r="I4788" s="28"/>
      <c r="J4788" s="28"/>
      <c r="K4788" s="28"/>
      <c r="L4788" s="28"/>
      <c r="M4788" s="28"/>
      <c r="N4788" s="28"/>
      <c r="O4788" s="28"/>
      <c r="P4788" s="28"/>
      <c r="Q4788" s="28"/>
      <c r="R4788" s="28"/>
      <c r="S4788" s="28"/>
    </row>
    <row r="4789" spans="1:19" x14ac:dyDescent="0.25">
      <c r="A4789" s="28"/>
      <c r="B4789" s="28"/>
      <c r="C4789" s="28"/>
      <c r="D4789" s="28"/>
      <c r="E4789" s="28"/>
      <c r="F4789" s="28"/>
      <c r="G4789" s="28"/>
      <c r="H4789" s="28"/>
      <c r="I4789" s="28"/>
      <c r="J4789" s="28"/>
      <c r="K4789" s="28"/>
      <c r="L4789" s="28"/>
      <c r="M4789" s="28"/>
      <c r="N4789" s="28"/>
      <c r="O4789" s="28"/>
      <c r="P4789" s="28"/>
      <c r="Q4789" s="28"/>
      <c r="R4789" s="28"/>
      <c r="S4789" s="28"/>
    </row>
    <row r="4790" spans="1:19" x14ac:dyDescent="0.25">
      <c r="A4790" s="28"/>
      <c r="B4790" s="28"/>
      <c r="C4790" s="28"/>
      <c r="D4790" s="28"/>
      <c r="E4790" s="28"/>
      <c r="F4790" s="28"/>
      <c r="G4790" s="28"/>
      <c r="H4790" s="28"/>
      <c r="I4790" s="28"/>
      <c r="J4790" s="28"/>
      <c r="K4790" s="28"/>
      <c r="L4790" s="28"/>
      <c r="M4790" s="28"/>
      <c r="N4790" s="28"/>
      <c r="O4790" s="28"/>
      <c r="P4790" s="28"/>
      <c r="Q4790" s="28"/>
      <c r="R4790" s="28"/>
      <c r="S4790" s="28"/>
    </row>
    <row r="4791" spans="1:19" x14ac:dyDescent="0.25">
      <c r="A4791" s="28"/>
      <c r="B4791" s="28"/>
      <c r="C4791" s="28"/>
      <c r="D4791" s="28"/>
      <c r="E4791" s="28"/>
      <c r="F4791" s="28"/>
      <c r="G4791" s="28"/>
      <c r="H4791" s="28"/>
      <c r="I4791" s="28"/>
      <c r="J4791" s="28"/>
      <c r="K4791" s="28"/>
      <c r="L4791" s="28"/>
      <c r="M4791" s="28"/>
      <c r="N4791" s="28"/>
      <c r="O4791" s="28"/>
      <c r="P4791" s="28"/>
      <c r="Q4791" s="28"/>
      <c r="R4791" s="28"/>
      <c r="S4791" s="28"/>
    </row>
    <row r="4792" spans="1:19" x14ac:dyDescent="0.25">
      <c r="A4792" s="28"/>
      <c r="B4792" s="28"/>
      <c r="C4792" s="28"/>
      <c r="D4792" s="28"/>
      <c r="E4792" s="28"/>
      <c r="F4792" s="28"/>
      <c r="G4792" s="28"/>
      <c r="H4792" s="28"/>
      <c r="I4792" s="28"/>
      <c r="J4792" s="28"/>
      <c r="K4792" s="28"/>
      <c r="L4792" s="28"/>
      <c r="M4792" s="28"/>
      <c r="N4792" s="28"/>
      <c r="O4792" s="28"/>
      <c r="P4792" s="28"/>
      <c r="Q4792" s="28"/>
      <c r="R4792" s="28"/>
      <c r="S4792" s="28"/>
    </row>
    <row r="4793" spans="1:19" x14ac:dyDescent="0.25">
      <c r="A4793" s="28"/>
      <c r="B4793" s="28"/>
      <c r="C4793" s="28"/>
      <c r="D4793" s="28"/>
      <c r="E4793" s="28"/>
      <c r="F4793" s="28"/>
      <c r="G4793" s="28"/>
      <c r="H4793" s="28"/>
      <c r="I4793" s="28"/>
      <c r="J4793" s="28"/>
      <c r="K4793" s="28"/>
      <c r="L4793" s="28"/>
      <c r="M4793" s="28"/>
      <c r="N4793" s="28"/>
      <c r="O4793" s="28"/>
      <c r="P4793" s="28"/>
      <c r="Q4793" s="28"/>
      <c r="R4793" s="28"/>
      <c r="S4793" s="28"/>
    </row>
    <row r="4794" spans="1:19" x14ac:dyDescent="0.25">
      <c r="A4794" s="28"/>
      <c r="B4794" s="28"/>
      <c r="C4794" s="28"/>
      <c r="D4794" s="28"/>
      <c r="E4794" s="28"/>
      <c r="F4794" s="28"/>
      <c r="G4794" s="28"/>
      <c r="H4794" s="28"/>
      <c r="I4794" s="28"/>
      <c r="J4794" s="28"/>
      <c r="K4794" s="28"/>
      <c r="L4794" s="28"/>
      <c r="M4794" s="28"/>
      <c r="N4794" s="28"/>
      <c r="O4794" s="28"/>
      <c r="P4794" s="28"/>
      <c r="Q4794" s="28"/>
      <c r="R4794" s="28"/>
      <c r="S4794" s="28"/>
    </row>
    <row r="4795" spans="1:19" x14ac:dyDescent="0.25">
      <c r="A4795" s="28"/>
      <c r="B4795" s="28"/>
      <c r="C4795" s="28"/>
      <c r="D4795" s="28"/>
      <c r="E4795" s="28"/>
      <c r="F4795" s="28"/>
      <c r="G4795" s="28"/>
      <c r="H4795" s="28"/>
      <c r="I4795" s="28"/>
      <c r="J4795" s="28"/>
      <c r="K4795" s="28"/>
      <c r="L4795" s="28"/>
      <c r="M4795" s="28"/>
      <c r="N4795" s="28"/>
      <c r="O4795" s="28"/>
      <c r="P4795" s="28"/>
      <c r="Q4795" s="28"/>
      <c r="R4795" s="28"/>
      <c r="S4795" s="28"/>
    </row>
    <row r="4796" spans="1:19" x14ac:dyDescent="0.25">
      <c r="A4796" s="28"/>
      <c r="B4796" s="28"/>
      <c r="C4796" s="28"/>
      <c r="D4796" s="28"/>
      <c r="E4796" s="28"/>
      <c r="F4796" s="28"/>
      <c r="G4796" s="28"/>
      <c r="H4796" s="28"/>
      <c r="I4796" s="28"/>
      <c r="J4796" s="28"/>
      <c r="K4796" s="28"/>
      <c r="L4796" s="28"/>
      <c r="M4796" s="28"/>
      <c r="N4796" s="28"/>
      <c r="O4796" s="28"/>
      <c r="P4796" s="28"/>
      <c r="Q4796" s="28"/>
      <c r="R4796" s="28"/>
      <c r="S4796" s="28"/>
    </row>
    <row r="4797" spans="1:19" x14ac:dyDescent="0.25">
      <c r="A4797" s="28"/>
      <c r="B4797" s="28"/>
      <c r="C4797" s="28"/>
      <c r="D4797" s="28"/>
      <c r="E4797" s="28"/>
      <c r="F4797" s="28"/>
      <c r="G4797" s="28"/>
      <c r="H4797" s="28"/>
      <c r="I4797" s="28"/>
      <c r="J4797" s="28"/>
      <c r="K4797" s="28"/>
      <c r="L4797" s="28"/>
      <c r="M4797" s="28"/>
      <c r="N4797" s="28"/>
      <c r="O4797" s="28"/>
      <c r="P4797" s="28"/>
      <c r="Q4797" s="28"/>
      <c r="R4797" s="28"/>
      <c r="S4797" s="28"/>
    </row>
    <row r="4798" spans="1:19" x14ac:dyDescent="0.25">
      <c r="A4798" s="28"/>
      <c r="B4798" s="28"/>
      <c r="C4798" s="28"/>
      <c r="D4798" s="28"/>
      <c r="E4798" s="28"/>
      <c r="F4798" s="28"/>
      <c r="G4798" s="28"/>
      <c r="H4798" s="28"/>
      <c r="I4798" s="28"/>
      <c r="J4798" s="28"/>
      <c r="K4798" s="28"/>
      <c r="L4798" s="28"/>
      <c r="M4798" s="28"/>
      <c r="N4798" s="28"/>
      <c r="O4798" s="28"/>
      <c r="P4798" s="28"/>
      <c r="Q4798" s="28"/>
      <c r="R4798" s="28"/>
      <c r="S4798" s="28"/>
    </row>
    <row r="4799" spans="1:19" x14ac:dyDescent="0.25">
      <c r="A4799" s="28"/>
      <c r="B4799" s="28"/>
      <c r="C4799" s="28"/>
      <c r="D4799" s="28"/>
      <c r="E4799" s="28"/>
      <c r="F4799" s="28"/>
      <c r="G4799" s="28"/>
      <c r="H4799" s="28"/>
      <c r="I4799" s="28"/>
      <c r="J4799" s="28"/>
      <c r="K4799" s="28"/>
      <c r="L4799" s="28"/>
      <c r="M4799" s="28"/>
      <c r="N4799" s="28"/>
      <c r="O4799" s="28"/>
      <c r="P4799" s="28"/>
      <c r="Q4799" s="28"/>
      <c r="R4799" s="28"/>
      <c r="S4799" s="28"/>
    </row>
    <row r="4800" spans="1:19" x14ac:dyDescent="0.25">
      <c r="A4800" s="28"/>
      <c r="B4800" s="28"/>
      <c r="C4800" s="28"/>
      <c r="D4800" s="28"/>
      <c r="E4800" s="28"/>
      <c r="F4800" s="28"/>
      <c r="G4800" s="28"/>
      <c r="H4800" s="28"/>
      <c r="I4800" s="28"/>
      <c r="J4800" s="28"/>
      <c r="K4800" s="28"/>
      <c r="L4800" s="28"/>
      <c r="M4800" s="28"/>
      <c r="N4800" s="28"/>
      <c r="O4800" s="28"/>
      <c r="P4800" s="28"/>
      <c r="Q4800" s="28"/>
      <c r="R4800" s="28"/>
      <c r="S4800" s="28"/>
    </row>
    <row r="4801" spans="1:19" x14ac:dyDescent="0.25">
      <c r="A4801" s="28"/>
      <c r="B4801" s="28"/>
      <c r="C4801" s="28"/>
      <c r="D4801" s="28"/>
      <c r="E4801" s="28"/>
      <c r="F4801" s="28"/>
      <c r="G4801" s="28"/>
      <c r="H4801" s="28"/>
      <c r="I4801" s="28"/>
      <c r="J4801" s="28"/>
      <c r="K4801" s="28"/>
      <c r="L4801" s="28"/>
      <c r="M4801" s="28"/>
      <c r="N4801" s="28"/>
      <c r="O4801" s="28"/>
      <c r="P4801" s="28"/>
      <c r="Q4801" s="28"/>
      <c r="R4801" s="28"/>
      <c r="S4801" s="28"/>
    </row>
    <row r="4802" spans="1:19" x14ac:dyDescent="0.25">
      <c r="A4802" s="28"/>
      <c r="B4802" s="28"/>
      <c r="C4802" s="28"/>
      <c r="D4802" s="28"/>
      <c r="E4802" s="28"/>
      <c r="F4802" s="28"/>
      <c r="G4802" s="28"/>
      <c r="H4802" s="28"/>
      <c r="I4802" s="28"/>
      <c r="J4802" s="28"/>
      <c r="K4802" s="28"/>
      <c r="L4802" s="28"/>
      <c r="M4802" s="28"/>
      <c r="N4802" s="28"/>
      <c r="O4802" s="28"/>
      <c r="P4802" s="28"/>
      <c r="Q4802" s="28"/>
      <c r="R4802" s="28"/>
      <c r="S4802" s="28"/>
    </row>
    <row r="4803" spans="1:19" x14ac:dyDescent="0.25">
      <c r="A4803" s="28"/>
      <c r="B4803" s="28"/>
      <c r="C4803" s="28"/>
      <c r="D4803" s="28"/>
      <c r="E4803" s="28"/>
      <c r="F4803" s="28"/>
      <c r="G4803" s="28"/>
      <c r="H4803" s="28"/>
      <c r="I4803" s="28"/>
      <c r="J4803" s="28"/>
      <c r="K4803" s="28"/>
      <c r="L4803" s="28"/>
      <c r="M4803" s="28"/>
      <c r="N4803" s="28"/>
      <c r="O4803" s="28"/>
      <c r="P4803" s="28"/>
      <c r="Q4803" s="28"/>
      <c r="R4803" s="28"/>
      <c r="S4803" s="28"/>
    </row>
    <row r="4804" spans="1:19" x14ac:dyDescent="0.25">
      <c r="A4804" s="28"/>
      <c r="B4804" s="28"/>
      <c r="C4804" s="28"/>
      <c r="D4804" s="28"/>
      <c r="E4804" s="28"/>
      <c r="F4804" s="28"/>
      <c r="G4804" s="28"/>
      <c r="H4804" s="28"/>
      <c r="I4804" s="28"/>
      <c r="J4804" s="28"/>
      <c r="K4804" s="28"/>
      <c r="L4804" s="28"/>
      <c r="M4804" s="28"/>
      <c r="N4804" s="28"/>
      <c r="O4804" s="28"/>
      <c r="P4804" s="28"/>
      <c r="Q4804" s="28"/>
      <c r="R4804" s="28"/>
      <c r="S4804" s="28"/>
    </row>
    <row r="4805" spans="1:19" x14ac:dyDescent="0.25">
      <c r="A4805" s="28"/>
      <c r="B4805" s="28"/>
      <c r="C4805" s="28"/>
      <c r="D4805" s="28"/>
      <c r="E4805" s="28"/>
      <c r="F4805" s="28"/>
      <c r="G4805" s="28"/>
      <c r="H4805" s="28"/>
      <c r="I4805" s="28"/>
      <c r="J4805" s="28"/>
      <c r="K4805" s="28"/>
      <c r="L4805" s="28"/>
      <c r="M4805" s="28"/>
      <c r="N4805" s="28"/>
      <c r="O4805" s="28"/>
      <c r="P4805" s="28"/>
      <c r="Q4805" s="28"/>
      <c r="R4805" s="28"/>
      <c r="S4805" s="28"/>
    </row>
    <row r="4806" spans="1:19" x14ac:dyDescent="0.25">
      <c r="A4806" s="28"/>
      <c r="B4806" s="28"/>
      <c r="C4806" s="28"/>
      <c r="D4806" s="28"/>
      <c r="E4806" s="28"/>
      <c r="F4806" s="28"/>
      <c r="G4806" s="28"/>
      <c r="H4806" s="28"/>
      <c r="I4806" s="28"/>
      <c r="J4806" s="28"/>
      <c r="K4806" s="28"/>
      <c r="L4806" s="28"/>
      <c r="M4806" s="28"/>
      <c r="N4806" s="28"/>
      <c r="O4806" s="28"/>
      <c r="P4806" s="28"/>
      <c r="Q4806" s="28"/>
      <c r="R4806" s="28"/>
      <c r="S4806" s="28"/>
    </row>
    <row r="4807" spans="1:19" x14ac:dyDescent="0.25">
      <c r="A4807" s="28"/>
      <c r="B4807" s="28"/>
      <c r="C4807" s="28"/>
      <c r="D4807" s="28"/>
      <c r="E4807" s="28"/>
      <c r="F4807" s="28"/>
      <c r="G4807" s="28"/>
      <c r="H4807" s="28"/>
      <c r="I4807" s="28"/>
      <c r="J4807" s="28"/>
      <c r="K4807" s="28"/>
      <c r="L4807" s="28"/>
      <c r="M4807" s="28"/>
      <c r="N4807" s="28"/>
      <c r="O4807" s="28"/>
      <c r="P4807" s="28"/>
      <c r="Q4807" s="28"/>
      <c r="R4807" s="28"/>
      <c r="S4807" s="28"/>
    </row>
    <row r="4808" spans="1:19" x14ac:dyDescent="0.25">
      <c r="A4808" s="28"/>
      <c r="B4808" s="28"/>
      <c r="C4808" s="28"/>
      <c r="D4808" s="28"/>
      <c r="E4808" s="28"/>
      <c r="F4808" s="28"/>
      <c r="G4808" s="28"/>
      <c r="H4808" s="28"/>
      <c r="I4808" s="28"/>
      <c r="J4808" s="28"/>
      <c r="K4808" s="28"/>
      <c r="L4808" s="28"/>
      <c r="M4808" s="28"/>
      <c r="N4808" s="28"/>
      <c r="O4808" s="28"/>
      <c r="P4808" s="28"/>
      <c r="Q4808" s="28"/>
      <c r="R4808" s="28"/>
      <c r="S4808" s="28"/>
    </row>
    <row r="4809" spans="1:19" x14ac:dyDescent="0.25">
      <c r="A4809" s="28"/>
      <c r="B4809" s="28"/>
      <c r="C4809" s="28"/>
      <c r="D4809" s="28"/>
      <c r="E4809" s="28"/>
      <c r="F4809" s="28"/>
      <c r="G4809" s="28"/>
      <c r="H4809" s="28"/>
      <c r="I4809" s="28"/>
      <c r="J4809" s="28"/>
      <c r="K4809" s="28"/>
      <c r="L4809" s="28"/>
      <c r="M4809" s="28"/>
      <c r="N4809" s="28"/>
      <c r="O4809" s="28"/>
      <c r="P4809" s="28"/>
      <c r="Q4809" s="28"/>
      <c r="R4809" s="28"/>
      <c r="S4809" s="28"/>
    </row>
    <row r="4810" spans="1:19" x14ac:dyDescent="0.25">
      <c r="A4810" s="28"/>
      <c r="B4810" s="28"/>
      <c r="C4810" s="28"/>
      <c r="D4810" s="28"/>
      <c r="E4810" s="28"/>
      <c r="F4810" s="28"/>
      <c r="G4810" s="28"/>
      <c r="H4810" s="28"/>
      <c r="I4810" s="28"/>
      <c r="J4810" s="28"/>
      <c r="K4810" s="28"/>
      <c r="L4810" s="28"/>
      <c r="M4810" s="28"/>
      <c r="N4810" s="28"/>
      <c r="O4810" s="28"/>
      <c r="P4810" s="28"/>
      <c r="Q4810" s="28"/>
      <c r="R4810" s="28"/>
      <c r="S4810" s="28"/>
    </row>
    <row r="4811" spans="1:19" x14ac:dyDescent="0.25">
      <c r="A4811" s="28"/>
      <c r="B4811" s="28"/>
      <c r="C4811" s="28"/>
      <c r="D4811" s="28"/>
      <c r="E4811" s="28"/>
      <c r="F4811" s="28"/>
      <c r="G4811" s="28"/>
      <c r="H4811" s="28"/>
      <c r="I4811" s="28"/>
      <c r="J4811" s="28"/>
      <c r="K4811" s="28"/>
      <c r="L4811" s="28"/>
      <c r="M4811" s="28"/>
      <c r="N4811" s="28"/>
      <c r="O4811" s="28"/>
      <c r="P4811" s="28"/>
      <c r="Q4811" s="28"/>
      <c r="R4811" s="28"/>
      <c r="S4811" s="28"/>
    </row>
    <row r="4812" spans="1:19" x14ac:dyDescent="0.25">
      <c r="A4812" s="28"/>
      <c r="B4812" s="28"/>
      <c r="C4812" s="28"/>
      <c r="D4812" s="28"/>
      <c r="E4812" s="28"/>
      <c r="F4812" s="28"/>
      <c r="G4812" s="28"/>
      <c r="H4812" s="28"/>
      <c r="I4812" s="28"/>
      <c r="J4812" s="28"/>
      <c r="K4812" s="28"/>
      <c r="L4812" s="28"/>
      <c r="M4812" s="28"/>
      <c r="N4812" s="28"/>
      <c r="O4812" s="28"/>
      <c r="P4812" s="28"/>
      <c r="Q4812" s="28"/>
      <c r="R4812" s="28"/>
      <c r="S4812" s="28"/>
    </row>
    <row r="4813" spans="1:19" x14ac:dyDescent="0.25">
      <c r="A4813" s="28"/>
      <c r="B4813" s="28"/>
      <c r="C4813" s="28"/>
      <c r="D4813" s="28"/>
      <c r="E4813" s="28"/>
      <c r="F4813" s="28"/>
      <c r="G4813" s="28"/>
      <c r="H4813" s="28"/>
      <c r="I4813" s="28"/>
      <c r="J4813" s="28"/>
      <c r="K4813" s="28"/>
      <c r="L4813" s="28"/>
      <c r="M4813" s="28"/>
      <c r="N4813" s="28"/>
      <c r="O4813" s="28"/>
      <c r="P4813" s="28"/>
      <c r="Q4813" s="28"/>
      <c r="R4813" s="28"/>
      <c r="S4813" s="28"/>
    </row>
    <row r="4814" spans="1:19" x14ac:dyDescent="0.25">
      <c r="A4814" s="28"/>
      <c r="B4814" s="28"/>
      <c r="C4814" s="28"/>
      <c r="D4814" s="28"/>
      <c r="E4814" s="28"/>
      <c r="F4814" s="28"/>
      <c r="G4814" s="28"/>
      <c r="H4814" s="28"/>
      <c r="I4814" s="28"/>
      <c r="J4814" s="28"/>
      <c r="K4814" s="28"/>
      <c r="L4814" s="28"/>
      <c r="M4814" s="28"/>
      <c r="N4814" s="28"/>
      <c r="O4814" s="28"/>
      <c r="P4814" s="28"/>
      <c r="Q4814" s="28"/>
      <c r="R4814" s="28"/>
      <c r="S4814" s="28"/>
    </row>
    <row r="4815" spans="1:19" x14ac:dyDescent="0.25">
      <c r="A4815" s="28"/>
      <c r="B4815" s="28"/>
      <c r="C4815" s="28"/>
      <c r="D4815" s="28"/>
      <c r="E4815" s="28"/>
      <c r="F4815" s="28"/>
      <c r="G4815" s="28"/>
      <c r="H4815" s="28"/>
      <c r="I4815" s="28"/>
      <c r="J4815" s="28"/>
      <c r="K4815" s="28"/>
      <c r="L4815" s="28"/>
      <c r="M4815" s="28"/>
      <c r="N4815" s="28"/>
      <c r="O4815" s="28"/>
      <c r="P4815" s="28"/>
      <c r="Q4815" s="28"/>
      <c r="R4815" s="28"/>
      <c r="S4815" s="28"/>
    </row>
    <row r="4816" spans="1:19" x14ac:dyDescent="0.25">
      <c r="A4816" s="28"/>
      <c r="B4816" s="28"/>
      <c r="C4816" s="28"/>
      <c r="D4816" s="28"/>
      <c r="E4816" s="28"/>
      <c r="F4816" s="28"/>
      <c r="G4816" s="28"/>
      <c r="H4816" s="28"/>
      <c r="I4816" s="28"/>
      <c r="J4816" s="28"/>
      <c r="K4816" s="28"/>
      <c r="L4816" s="28"/>
      <c r="M4816" s="28"/>
      <c r="N4816" s="28"/>
      <c r="O4816" s="28"/>
      <c r="P4816" s="28"/>
      <c r="Q4816" s="28"/>
      <c r="R4816" s="28"/>
      <c r="S4816" s="28"/>
    </row>
    <row r="4817" spans="1:19" x14ac:dyDescent="0.25">
      <c r="A4817" s="28"/>
      <c r="B4817" s="28"/>
      <c r="C4817" s="28"/>
      <c r="D4817" s="28"/>
      <c r="E4817" s="28"/>
      <c r="F4817" s="28"/>
      <c r="G4817" s="28"/>
      <c r="H4817" s="28"/>
      <c r="I4817" s="28"/>
      <c r="J4817" s="28"/>
      <c r="K4817" s="28"/>
      <c r="L4817" s="28"/>
      <c r="M4817" s="28"/>
      <c r="N4817" s="28"/>
      <c r="O4817" s="28"/>
      <c r="P4817" s="28"/>
      <c r="Q4817" s="28"/>
      <c r="R4817" s="28"/>
      <c r="S4817" s="28"/>
    </row>
    <row r="4818" spans="1:19" x14ac:dyDescent="0.25">
      <c r="A4818" s="28"/>
      <c r="B4818" s="28"/>
      <c r="C4818" s="28"/>
      <c r="D4818" s="28"/>
      <c r="E4818" s="28"/>
      <c r="F4818" s="28"/>
      <c r="G4818" s="28"/>
      <c r="H4818" s="28"/>
      <c r="I4818" s="28"/>
      <c r="J4818" s="28"/>
      <c r="K4818" s="28"/>
      <c r="L4818" s="28"/>
      <c r="M4818" s="28"/>
      <c r="N4818" s="28"/>
      <c r="O4818" s="28"/>
      <c r="P4818" s="28"/>
      <c r="Q4818" s="28"/>
      <c r="R4818" s="28"/>
      <c r="S4818" s="28"/>
    </row>
    <row r="4819" spans="1:19" x14ac:dyDescent="0.25">
      <c r="A4819" s="28"/>
      <c r="B4819" s="28"/>
      <c r="C4819" s="28"/>
      <c r="D4819" s="28"/>
      <c r="E4819" s="28"/>
      <c r="F4819" s="28"/>
      <c r="G4819" s="28"/>
      <c r="H4819" s="28"/>
      <c r="I4819" s="28"/>
      <c r="J4819" s="28"/>
      <c r="K4819" s="28"/>
      <c r="L4819" s="28"/>
      <c r="M4819" s="28"/>
      <c r="N4819" s="28"/>
      <c r="O4819" s="28"/>
      <c r="P4819" s="28"/>
      <c r="Q4819" s="28"/>
      <c r="R4819" s="28"/>
      <c r="S4819" s="28"/>
    </row>
    <row r="4820" spans="1:19" x14ac:dyDescent="0.25">
      <c r="A4820" s="28"/>
      <c r="B4820" s="28"/>
      <c r="C4820" s="28"/>
      <c r="D4820" s="28"/>
      <c r="E4820" s="28"/>
      <c r="F4820" s="28"/>
      <c r="G4820" s="28"/>
      <c r="H4820" s="28"/>
      <c r="I4820" s="28"/>
      <c r="J4820" s="28"/>
      <c r="K4820" s="28"/>
      <c r="L4820" s="28"/>
      <c r="M4820" s="28"/>
      <c r="N4820" s="28"/>
      <c r="O4820" s="28"/>
      <c r="P4820" s="28"/>
      <c r="Q4820" s="28"/>
      <c r="R4820" s="28"/>
      <c r="S4820" s="28"/>
    </row>
    <row r="4821" spans="1:19" x14ac:dyDescent="0.25">
      <c r="A4821" s="28"/>
      <c r="B4821" s="28"/>
      <c r="C4821" s="28"/>
      <c r="D4821" s="28"/>
      <c r="E4821" s="28"/>
      <c r="F4821" s="28"/>
      <c r="G4821" s="28"/>
      <c r="H4821" s="28"/>
      <c r="I4821" s="28"/>
      <c r="J4821" s="28"/>
      <c r="K4821" s="28"/>
      <c r="L4821" s="28"/>
      <c r="M4821" s="28"/>
      <c r="N4821" s="28"/>
      <c r="O4821" s="28"/>
      <c r="P4821" s="28"/>
      <c r="Q4821" s="28"/>
      <c r="R4821" s="28"/>
      <c r="S4821" s="28"/>
    </row>
    <row r="4822" spans="1:19" x14ac:dyDescent="0.25">
      <c r="A4822" s="28"/>
      <c r="B4822" s="28"/>
      <c r="C4822" s="28"/>
      <c r="D4822" s="28"/>
      <c r="E4822" s="28"/>
      <c r="F4822" s="28"/>
      <c r="G4822" s="28"/>
      <c r="H4822" s="28"/>
      <c r="I4822" s="28"/>
      <c r="J4822" s="28"/>
      <c r="K4822" s="28"/>
      <c r="L4822" s="28"/>
      <c r="M4822" s="28"/>
      <c r="N4822" s="28"/>
      <c r="O4822" s="28"/>
      <c r="P4822" s="28"/>
      <c r="Q4822" s="28"/>
      <c r="R4822" s="28"/>
      <c r="S4822" s="28"/>
    </row>
    <row r="4823" spans="1:19" x14ac:dyDescent="0.25">
      <c r="A4823" s="28"/>
      <c r="B4823" s="28"/>
      <c r="C4823" s="28"/>
      <c r="D4823" s="28"/>
      <c r="E4823" s="28"/>
      <c r="F4823" s="28"/>
      <c r="G4823" s="28"/>
      <c r="H4823" s="28"/>
      <c r="I4823" s="28"/>
      <c r="J4823" s="28"/>
      <c r="K4823" s="28"/>
      <c r="L4823" s="28"/>
      <c r="M4823" s="28"/>
      <c r="N4823" s="28"/>
      <c r="O4823" s="28"/>
      <c r="P4823" s="28"/>
      <c r="Q4823" s="28"/>
      <c r="R4823" s="28"/>
      <c r="S4823" s="28"/>
    </row>
    <row r="4824" spans="1:19" x14ac:dyDescent="0.25">
      <c r="A4824" s="28"/>
      <c r="B4824" s="28"/>
      <c r="C4824" s="28"/>
      <c r="D4824" s="28"/>
      <c r="E4824" s="28"/>
      <c r="F4824" s="28"/>
      <c r="G4824" s="28"/>
      <c r="H4824" s="28"/>
      <c r="I4824" s="28"/>
      <c r="J4824" s="28"/>
      <c r="K4824" s="28"/>
      <c r="L4824" s="28"/>
      <c r="M4824" s="28"/>
      <c r="N4824" s="28"/>
      <c r="O4824" s="28"/>
      <c r="P4824" s="28"/>
      <c r="Q4824" s="28"/>
      <c r="R4824" s="28"/>
      <c r="S4824" s="28"/>
    </row>
    <row r="4825" spans="1:19" x14ac:dyDescent="0.25">
      <c r="A4825" s="28"/>
      <c r="B4825" s="28"/>
      <c r="C4825" s="28"/>
      <c r="D4825" s="28"/>
      <c r="E4825" s="28"/>
      <c r="F4825" s="28"/>
      <c r="G4825" s="28"/>
      <c r="H4825" s="28"/>
      <c r="I4825" s="28"/>
      <c r="J4825" s="28"/>
      <c r="K4825" s="28"/>
      <c r="L4825" s="28"/>
      <c r="M4825" s="28"/>
      <c r="N4825" s="28"/>
      <c r="O4825" s="28"/>
      <c r="P4825" s="28"/>
      <c r="Q4825" s="28"/>
      <c r="R4825" s="28"/>
      <c r="S4825" s="28"/>
    </row>
    <row r="4826" spans="1:19" x14ac:dyDescent="0.25">
      <c r="A4826" s="28"/>
      <c r="B4826" s="28"/>
      <c r="C4826" s="28"/>
      <c r="D4826" s="28"/>
      <c r="E4826" s="28"/>
      <c r="F4826" s="28"/>
      <c r="G4826" s="28"/>
      <c r="H4826" s="28"/>
      <c r="I4826" s="28"/>
      <c r="J4826" s="28"/>
      <c r="K4826" s="28"/>
      <c r="L4826" s="28"/>
      <c r="M4826" s="28"/>
      <c r="N4826" s="28"/>
      <c r="O4826" s="28"/>
      <c r="P4826" s="28"/>
      <c r="Q4826" s="28"/>
      <c r="R4826" s="28"/>
      <c r="S4826" s="28"/>
    </row>
    <row r="4827" spans="1:19" x14ac:dyDescent="0.25">
      <c r="A4827" s="28"/>
      <c r="B4827" s="28"/>
      <c r="C4827" s="28"/>
      <c r="D4827" s="28"/>
      <c r="E4827" s="28"/>
      <c r="F4827" s="28"/>
      <c r="G4827" s="28"/>
      <c r="H4827" s="28"/>
      <c r="I4827" s="28"/>
      <c r="J4827" s="28"/>
      <c r="K4827" s="28"/>
      <c r="L4827" s="28"/>
      <c r="M4827" s="28"/>
      <c r="N4827" s="28"/>
      <c r="O4827" s="28"/>
      <c r="P4827" s="28"/>
      <c r="Q4827" s="28"/>
      <c r="R4827" s="28"/>
      <c r="S4827" s="28"/>
    </row>
    <row r="4828" spans="1:19" x14ac:dyDescent="0.25">
      <c r="A4828" s="28"/>
      <c r="B4828" s="28"/>
      <c r="C4828" s="28"/>
      <c r="D4828" s="28"/>
      <c r="E4828" s="28"/>
      <c r="F4828" s="28"/>
      <c r="G4828" s="28"/>
      <c r="H4828" s="28"/>
      <c r="I4828" s="28"/>
      <c r="J4828" s="28"/>
      <c r="K4828" s="28"/>
      <c r="L4828" s="28"/>
      <c r="M4828" s="28"/>
      <c r="N4828" s="28"/>
      <c r="O4828" s="28"/>
      <c r="P4828" s="28"/>
      <c r="Q4828" s="28"/>
      <c r="R4828" s="28"/>
      <c r="S4828" s="28"/>
    </row>
    <row r="4829" spans="1:19" x14ac:dyDescent="0.25">
      <c r="A4829" s="28"/>
      <c r="B4829" s="28"/>
      <c r="C4829" s="28"/>
      <c r="D4829" s="28"/>
      <c r="E4829" s="28"/>
      <c r="F4829" s="28"/>
      <c r="G4829" s="28"/>
      <c r="H4829" s="28"/>
      <c r="I4829" s="28"/>
      <c r="J4829" s="28"/>
      <c r="K4829" s="28"/>
      <c r="L4829" s="28"/>
      <c r="M4829" s="28"/>
      <c r="N4829" s="28"/>
      <c r="O4829" s="28"/>
      <c r="P4829" s="28"/>
      <c r="Q4829" s="28"/>
      <c r="R4829" s="28"/>
      <c r="S4829" s="28"/>
    </row>
    <row r="4830" spans="1:19" x14ac:dyDescent="0.25">
      <c r="A4830" s="28"/>
      <c r="B4830" s="28"/>
      <c r="C4830" s="28"/>
      <c r="D4830" s="28"/>
      <c r="E4830" s="28"/>
      <c r="F4830" s="28"/>
      <c r="G4830" s="28"/>
      <c r="H4830" s="28"/>
      <c r="I4830" s="28"/>
      <c r="J4830" s="28"/>
      <c r="K4830" s="28"/>
      <c r="L4830" s="28"/>
      <c r="M4830" s="28"/>
      <c r="N4830" s="28"/>
      <c r="O4830" s="28"/>
      <c r="P4830" s="28"/>
      <c r="Q4830" s="28"/>
      <c r="R4830" s="28"/>
      <c r="S4830" s="28"/>
    </row>
    <row r="4831" spans="1:19" x14ac:dyDescent="0.25">
      <c r="A4831" s="28"/>
      <c r="B4831" s="28"/>
      <c r="C4831" s="28"/>
      <c r="D4831" s="28"/>
      <c r="E4831" s="28"/>
      <c r="F4831" s="28"/>
      <c r="G4831" s="28"/>
      <c r="H4831" s="28"/>
      <c r="I4831" s="28"/>
      <c r="J4831" s="28"/>
      <c r="K4831" s="28"/>
      <c r="L4831" s="28"/>
      <c r="M4831" s="28"/>
      <c r="N4831" s="28"/>
      <c r="O4831" s="28"/>
      <c r="P4831" s="28"/>
      <c r="Q4831" s="28"/>
      <c r="R4831" s="28"/>
      <c r="S4831" s="28"/>
    </row>
    <row r="4832" spans="1:19" x14ac:dyDescent="0.25">
      <c r="A4832" s="28"/>
      <c r="B4832" s="28"/>
      <c r="C4832" s="28"/>
      <c r="D4832" s="28"/>
      <c r="E4832" s="28"/>
      <c r="F4832" s="28"/>
      <c r="G4832" s="28"/>
      <c r="H4832" s="28"/>
      <c r="I4832" s="28"/>
      <c r="J4832" s="28"/>
      <c r="K4832" s="28"/>
      <c r="L4832" s="28"/>
      <c r="M4832" s="28"/>
      <c r="N4832" s="28"/>
      <c r="O4832" s="28"/>
      <c r="P4832" s="28"/>
      <c r="Q4832" s="28"/>
      <c r="R4832" s="28"/>
      <c r="S4832" s="28"/>
    </row>
    <row r="4833" spans="1:19" x14ac:dyDescent="0.25">
      <c r="A4833" s="28"/>
      <c r="B4833" s="28"/>
      <c r="C4833" s="28"/>
      <c r="D4833" s="28"/>
      <c r="E4833" s="28"/>
      <c r="F4833" s="28"/>
      <c r="G4833" s="28"/>
      <c r="H4833" s="28"/>
      <c r="I4833" s="28"/>
      <c r="J4833" s="28"/>
      <c r="K4833" s="28"/>
      <c r="L4833" s="28"/>
      <c r="M4833" s="28"/>
      <c r="N4833" s="28"/>
      <c r="O4833" s="28"/>
      <c r="P4833" s="28"/>
      <c r="Q4833" s="28"/>
      <c r="R4833" s="28"/>
      <c r="S4833" s="28"/>
    </row>
    <row r="4834" spans="1:19" x14ac:dyDescent="0.25">
      <c r="A4834" s="28"/>
      <c r="B4834" s="28"/>
      <c r="C4834" s="28"/>
      <c r="D4834" s="28"/>
      <c r="E4834" s="28"/>
      <c r="F4834" s="28"/>
      <c r="G4834" s="28"/>
      <c r="H4834" s="28"/>
      <c r="I4834" s="28"/>
      <c r="J4834" s="28"/>
      <c r="K4834" s="28"/>
      <c r="L4834" s="28"/>
      <c r="M4834" s="28"/>
      <c r="N4834" s="28"/>
      <c r="O4834" s="28"/>
      <c r="P4834" s="28"/>
      <c r="Q4834" s="28"/>
      <c r="R4834" s="28"/>
      <c r="S4834" s="28"/>
    </row>
    <row r="4835" spans="1:19" x14ac:dyDescent="0.25">
      <c r="A4835" s="28"/>
      <c r="B4835" s="28"/>
      <c r="C4835" s="28"/>
      <c r="D4835" s="28"/>
      <c r="E4835" s="28"/>
      <c r="F4835" s="28"/>
      <c r="G4835" s="28"/>
      <c r="H4835" s="28"/>
      <c r="I4835" s="28"/>
      <c r="J4835" s="28"/>
      <c r="K4835" s="28"/>
      <c r="L4835" s="28"/>
      <c r="M4835" s="28"/>
      <c r="N4835" s="28"/>
      <c r="O4835" s="28"/>
      <c r="P4835" s="28"/>
      <c r="Q4835" s="28"/>
      <c r="R4835" s="28"/>
      <c r="S4835" s="28"/>
    </row>
    <row r="4836" spans="1:19" x14ac:dyDescent="0.25">
      <c r="A4836" s="28"/>
      <c r="B4836" s="28"/>
      <c r="C4836" s="28"/>
      <c r="D4836" s="28"/>
      <c r="E4836" s="28"/>
      <c r="F4836" s="28"/>
      <c r="G4836" s="28"/>
      <c r="H4836" s="28"/>
      <c r="I4836" s="28"/>
      <c r="J4836" s="28"/>
      <c r="K4836" s="28"/>
      <c r="L4836" s="28"/>
      <c r="M4836" s="28"/>
      <c r="N4836" s="28"/>
      <c r="O4836" s="28"/>
      <c r="P4836" s="28"/>
      <c r="Q4836" s="28"/>
      <c r="R4836" s="28"/>
      <c r="S4836" s="28"/>
    </row>
    <row r="4837" spans="1:19" x14ac:dyDescent="0.25">
      <c r="A4837" s="28"/>
      <c r="B4837" s="28"/>
      <c r="C4837" s="28"/>
      <c r="D4837" s="28"/>
      <c r="E4837" s="28"/>
      <c r="F4837" s="28"/>
      <c r="G4837" s="28"/>
      <c r="H4837" s="28"/>
      <c r="I4837" s="28"/>
      <c r="J4837" s="28"/>
      <c r="K4837" s="28"/>
      <c r="L4837" s="28"/>
      <c r="M4837" s="28"/>
      <c r="N4837" s="28"/>
      <c r="O4837" s="28"/>
      <c r="P4837" s="28"/>
      <c r="Q4837" s="28"/>
      <c r="R4837" s="28"/>
      <c r="S4837" s="28"/>
    </row>
    <row r="4838" spans="1:19" x14ac:dyDescent="0.25">
      <c r="A4838" s="28"/>
      <c r="B4838" s="28"/>
      <c r="C4838" s="28"/>
      <c r="D4838" s="28"/>
      <c r="E4838" s="28"/>
      <c r="F4838" s="28"/>
      <c r="G4838" s="28"/>
      <c r="H4838" s="28"/>
      <c r="I4838" s="28"/>
      <c r="J4838" s="28"/>
      <c r="K4838" s="28"/>
      <c r="L4838" s="28"/>
      <c r="M4838" s="28"/>
      <c r="N4838" s="28"/>
      <c r="O4838" s="28"/>
      <c r="P4838" s="28"/>
      <c r="Q4838" s="28"/>
      <c r="R4838" s="28"/>
      <c r="S4838" s="28"/>
    </row>
    <row r="4839" spans="1:19" x14ac:dyDescent="0.25">
      <c r="A4839" s="28"/>
      <c r="B4839" s="28"/>
      <c r="C4839" s="28"/>
      <c r="D4839" s="28"/>
      <c r="E4839" s="28"/>
      <c r="F4839" s="28"/>
      <c r="G4839" s="28"/>
      <c r="H4839" s="28"/>
      <c r="I4839" s="28"/>
      <c r="J4839" s="28"/>
      <c r="K4839" s="28"/>
      <c r="L4839" s="28"/>
      <c r="M4839" s="28"/>
      <c r="N4839" s="28"/>
      <c r="O4839" s="28"/>
      <c r="P4839" s="28"/>
      <c r="Q4839" s="28"/>
      <c r="R4839" s="28"/>
      <c r="S4839" s="28"/>
    </row>
    <row r="4840" spans="1:19" x14ac:dyDescent="0.25">
      <c r="A4840" s="28"/>
      <c r="B4840" s="28"/>
      <c r="C4840" s="28"/>
      <c r="D4840" s="28"/>
      <c r="E4840" s="28"/>
      <c r="F4840" s="28"/>
      <c r="G4840" s="28"/>
      <c r="H4840" s="28"/>
      <c r="I4840" s="28"/>
      <c r="J4840" s="28"/>
      <c r="K4840" s="28"/>
      <c r="L4840" s="28"/>
      <c r="M4840" s="28"/>
      <c r="N4840" s="28"/>
      <c r="O4840" s="28"/>
      <c r="P4840" s="28"/>
      <c r="Q4840" s="28"/>
      <c r="R4840" s="28"/>
      <c r="S4840" s="28"/>
    </row>
    <row r="4841" spans="1:19" x14ac:dyDescent="0.25">
      <c r="A4841" s="28"/>
      <c r="B4841" s="28"/>
      <c r="C4841" s="28"/>
      <c r="D4841" s="28"/>
      <c r="E4841" s="28"/>
      <c r="F4841" s="28"/>
      <c r="G4841" s="28"/>
      <c r="H4841" s="28"/>
      <c r="I4841" s="28"/>
      <c r="J4841" s="28"/>
      <c r="K4841" s="28"/>
      <c r="L4841" s="28"/>
      <c r="M4841" s="28"/>
      <c r="N4841" s="28"/>
      <c r="O4841" s="28"/>
      <c r="P4841" s="28"/>
      <c r="Q4841" s="28"/>
      <c r="R4841" s="28"/>
      <c r="S4841" s="28"/>
    </row>
    <row r="4842" spans="1:19" x14ac:dyDescent="0.25">
      <c r="A4842" s="28"/>
      <c r="B4842" s="28"/>
      <c r="C4842" s="28"/>
      <c r="D4842" s="28"/>
      <c r="E4842" s="28"/>
      <c r="F4842" s="28"/>
      <c r="G4842" s="28"/>
      <c r="H4842" s="28"/>
      <c r="I4842" s="28"/>
      <c r="J4842" s="28"/>
      <c r="K4842" s="28"/>
      <c r="L4842" s="28"/>
      <c r="M4842" s="28"/>
      <c r="N4842" s="28"/>
      <c r="O4842" s="28"/>
      <c r="P4842" s="28"/>
      <c r="Q4842" s="28"/>
      <c r="R4842" s="28"/>
      <c r="S4842" s="28"/>
    </row>
    <row r="4843" spans="1:19" x14ac:dyDescent="0.25">
      <c r="A4843" s="28"/>
      <c r="B4843" s="28"/>
      <c r="C4843" s="28"/>
      <c r="D4843" s="28"/>
      <c r="E4843" s="28"/>
      <c r="F4843" s="28"/>
      <c r="G4843" s="28"/>
      <c r="H4843" s="28"/>
      <c r="I4843" s="28"/>
      <c r="J4843" s="28"/>
      <c r="K4843" s="28"/>
      <c r="L4843" s="28"/>
      <c r="M4843" s="28"/>
      <c r="N4843" s="28"/>
      <c r="O4843" s="28"/>
      <c r="P4843" s="28"/>
      <c r="Q4843" s="28"/>
      <c r="R4843" s="28"/>
      <c r="S4843" s="28"/>
    </row>
    <row r="4844" spans="1:19" x14ac:dyDescent="0.25">
      <c r="A4844" s="28"/>
      <c r="B4844" s="28"/>
      <c r="C4844" s="28"/>
      <c r="D4844" s="28"/>
      <c r="E4844" s="28"/>
      <c r="F4844" s="28"/>
      <c r="G4844" s="28"/>
      <c r="H4844" s="28"/>
      <c r="I4844" s="28"/>
      <c r="J4844" s="28"/>
      <c r="K4844" s="28"/>
      <c r="L4844" s="28"/>
      <c r="M4844" s="28"/>
      <c r="N4844" s="28"/>
      <c r="O4844" s="28"/>
      <c r="P4844" s="28"/>
      <c r="Q4844" s="28"/>
      <c r="R4844" s="28"/>
      <c r="S4844" s="28"/>
    </row>
    <row r="4845" spans="1:19" x14ac:dyDescent="0.25">
      <c r="A4845" s="28"/>
      <c r="B4845" s="28"/>
      <c r="C4845" s="28"/>
      <c r="D4845" s="28"/>
      <c r="E4845" s="28"/>
      <c r="F4845" s="28"/>
      <c r="G4845" s="28"/>
      <c r="H4845" s="28"/>
      <c r="I4845" s="28"/>
      <c r="J4845" s="28"/>
      <c r="K4845" s="28"/>
      <c r="L4845" s="28"/>
      <c r="M4845" s="28"/>
      <c r="N4845" s="28"/>
      <c r="O4845" s="28"/>
      <c r="P4845" s="28"/>
      <c r="Q4845" s="28"/>
      <c r="R4845" s="28"/>
      <c r="S4845" s="28"/>
    </row>
    <row r="4846" spans="1:19" x14ac:dyDescent="0.25">
      <c r="A4846" s="28"/>
      <c r="B4846" s="28"/>
      <c r="C4846" s="28"/>
      <c r="D4846" s="28"/>
      <c r="E4846" s="28"/>
      <c r="F4846" s="28"/>
      <c r="G4846" s="28"/>
      <c r="H4846" s="28"/>
      <c r="I4846" s="28"/>
      <c r="J4846" s="28"/>
      <c r="K4846" s="28"/>
      <c r="L4846" s="28"/>
      <c r="M4846" s="28"/>
      <c r="N4846" s="28"/>
      <c r="O4846" s="28"/>
      <c r="P4846" s="28"/>
      <c r="Q4846" s="28"/>
      <c r="R4846" s="28"/>
      <c r="S4846" s="28"/>
    </row>
    <row r="4847" spans="1:19" x14ac:dyDescent="0.25">
      <c r="A4847" s="28"/>
      <c r="B4847" s="28"/>
      <c r="C4847" s="28"/>
      <c r="D4847" s="28"/>
      <c r="E4847" s="28"/>
      <c r="F4847" s="28"/>
      <c r="G4847" s="28"/>
      <c r="H4847" s="28"/>
      <c r="I4847" s="28"/>
      <c r="J4847" s="28"/>
      <c r="K4847" s="28"/>
      <c r="L4847" s="28"/>
      <c r="M4847" s="28"/>
      <c r="N4847" s="28"/>
      <c r="O4847" s="28"/>
      <c r="P4847" s="28"/>
      <c r="Q4847" s="28"/>
      <c r="R4847" s="28"/>
      <c r="S4847" s="28"/>
    </row>
    <row r="4848" spans="1:19" x14ac:dyDescent="0.25">
      <c r="A4848" s="28"/>
      <c r="B4848" s="28"/>
      <c r="C4848" s="28"/>
      <c r="D4848" s="28"/>
      <c r="E4848" s="28"/>
      <c r="F4848" s="28"/>
      <c r="G4848" s="28"/>
      <c r="H4848" s="28"/>
      <c r="I4848" s="28"/>
      <c r="J4848" s="28"/>
      <c r="K4848" s="28"/>
      <c r="L4848" s="28"/>
      <c r="M4848" s="28"/>
      <c r="N4848" s="28"/>
      <c r="O4848" s="28"/>
      <c r="P4848" s="28"/>
      <c r="Q4848" s="28"/>
      <c r="R4848" s="28"/>
      <c r="S4848" s="28"/>
    </row>
    <row r="4849" spans="1:19" x14ac:dyDescent="0.25">
      <c r="A4849" s="28"/>
      <c r="B4849" s="28"/>
      <c r="C4849" s="28"/>
      <c r="D4849" s="28"/>
      <c r="E4849" s="28"/>
      <c r="F4849" s="28"/>
      <c r="G4849" s="28"/>
      <c r="H4849" s="28"/>
      <c r="I4849" s="28"/>
      <c r="J4849" s="28"/>
      <c r="K4849" s="28"/>
      <c r="L4849" s="28"/>
      <c r="M4849" s="28"/>
      <c r="N4849" s="28"/>
      <c r="O4849" s="28"/>
      <c r="P4849" s="28"/>
      <c r="Q4849" s="28"/>
      <c r="R4849" s="28"/>
      <c r="S4849" s="28"/>
    </row>
    <row r="4850" spans="1:19" x14ac:dyDescent="0.25">
      <c r="A4850" s="28"/>
      <c r="B4850" s="28"/>
      <c r="C4850" s="28"/>
      <c r="D4850" s="28"/>
      <c r="E4850" s="28"/>
      <c r="F4850" s="28"/>
      <c r="G4850" s="28"/>
      <c r="H4850" s="28"/>
      <c r="I4850" s="28"/>
      <c r="J4850" s="28"/>
      <c r="K4850" s="28"/>
      <c r="L4850" s="28"/>
      <c r="M4850" s="28"/>
      <c r="N4850" s="28"/>
      <c r="O4850" s="28"/>
      <c r="P4850" s="28"/>
      <c r="Q4850" s="28"/>
      <c r="R4850" s="28"/>
      <c r="S4850" s="28"/>
    </row>
    <row r="4851" spans="1:19" x14ac:dyDescent="0.25">
      <c r="A4851" s="28"/>
      <c r="B4851" s="28"/>
      <c r="C4851" s="28"/>
      <c r="D4851" s="28"/>
      <c r="E4851" s="28"/>
      <c r="F4851" s="28"/>
      <c r="G4851" s="28"/>
      <c r="H4851" s="28"/>
      <c r="I4851" s="28"/>
      <c r="J4851" s="28"/>
      <c r="K4851" s="28"/>
      <c r="L4851" s="28"/>
      <c r="M4851" s="28"/>
      <c r="N4851" s="28"/>
      <c r="O4851" s="28"/>
      <c r="P4851" s="28"/>
      <c r="Q4851" s="28"/>
      <c r="R4851" s="28"/>
      <c r="S4851" s="28"/>
    </row>
    <row r="4852" spans="1:19" x14ac:dyDescent="0.25">
      <c r="A4852" s="28"/>
      <c r="B4852" s="28"/>
      <c r="C4852" s="28"/>
      <c r="D4852" s="28"/>
      <c r="E4852" s="28"/>
      <c r="F4852" s="28"/>
      <c r="G4852" s="28"/>
      <c r="H4852" s="28"/>
      <c r="I4852" s="28"/>
      <c r="J4852" s="28"/>
      <c r="K4852" s="28"/>
      <c r="L4852" s="28"/>
      <c r="M4852" s="28"/>
      <c r="N4852" s="28"/>
      <c r="O4852" s="28"/>
      <c r="P4852" s="28"/>
      <c r="Q4852" s="28"/>
      <c r="R4852" s="28"/>
      <c r="S4852" s="28"/>
    </row>
    <row r="4853" spans="1:19" x14ac:dyDescent="0.25">
      <c r="A4853" s="28"/>
      <c r="B4853" s="28"/>
      <c r="C4853" s="28"/>
      <c r="D4853" s="28"/>
      <c r="E4853" s="28"/>
      <c r="F4853" s="28"/>
      <c r="G4853" s="28"/>
      <c r="H4853" s="28"/>
      <c r="I4853" s="28"/>
      <c r="J4853" s="28"/>
      <c r="K4853" s="28"/>
      <c r="L4853" s="28"/>
      <c r="M4853" s="28"/>
      <c r="N4853" s="28"/>
      <c r="O4853" s="28"/>
      <c r="P4853" s="28"/>
      <c r="Q4853" s="28"/>
      <c r="R4853" s="28"/>
      <c r="S4853" s="28"/>
    </row>
    <row r="4854" spans="1:19" x14ac:dyDescent="0.25">
      <c r="A4854" s="28"/>
      <c r="B4854" s="28"/>
      <c r="C4854" s="28"/>
      <c r="D4854" s="28"/>
      <c r="E4854" s="28"/>
      <c r="F4854" s="28"/>
      <c r="G4854" s="28"/>
      <c r="H4854" s="28"/>
      <c r="I4854" s="28"/>
      <c r="J4854" s="28"/>
      <c r="K4854" s="28"/>
      <c r="L4854" s="28"/>
      <c r="M4854" s="28"/>
      <c r="N4854" s="28"/>
      <c r="O4854" s="28"/>
      <c r="P4854" s="28"/>
      <c r="Q4854" s="28"/>
      <c r="R4854" s="28"/>
      <c r="S4854" s="28"/>
    </row>
    <row r="4855" spans="1:19" x14ac:dyDescent="0.25">
      <c r="A4855" s="28"/>
      <c r="B4855" s="28"/>
      <c r="C4855" s="28"/>
      <c r="D4855" s="28"/>
      <c r="E4855" s="28"/>
      <c r="F4855" s="28"/>
      <c r="G4855" s="28"/>
      <c r="H4855" s="28"/>
      <c r="I4855" s="28"/>
      <c r="J4855" s="28"/>
      <c r="K4855" s="28"/>
      <c r="L4855" s="28"/>
      <c r="M4855" s="28"/>
      <c r="N4855" s="28"/>
      <c r="O4855" s="28"/>
      <c r="P4855" s="28"/>
      <c r="Q4855" s="28"/>
      <c r="R4855" s="28"/>
      <c r="S4855" s="28"/>
    </row>
    <row r="4856" spans="1:19" x14ac:dyDescent="0.25">
      <c r="A4856" s="28"/>
      <c r="B4856" s="28"/>
      <c r="C4856" s="28"/>
      <c r="D4856" s="28"/>
      <c r="E4856" s="28"/>
      <c r="F4856" s="28"/>
      <c r="G4856" s="28"/>
      <c r="H4856" s="28"/>
      <c r="I4856" s="28"/>
      <c r="J4856" s="28"/>
      <c r="K4856" s="28"/>
      <c r="L4856" s="28"/>
      <c r="M4856" s="28"/>
      <c r="N4856" s="28"/>
      <c r="O4856" s="28"/>
      <c r="P4856" s="28"/>
      <c r="Q4856" s="28"/>
      <c r="R4856" s="28"/>
      <c r="S4856" s="28"/>
    </row>
    <row r="4857" spans="1:19" x14ac:dyDescent="0.25">
      <c r="A4857" s="28"/>
      <c r="B4857" s="28"/>
      <c r="C4857" s="28"/>
      <c r="D4857" s="28"/>
      <c r="E4857" s="28"/>
      <c r="F4857" s="28"/>
      <c r="G4857" s="28"/>
      <c r="H4857" s="28"/>
      <c r="I4857" s="28"/>
      <c r="J4857" s="28"/>
      <c r="K4857" s="28"/>
      <c r="L4857" s="28"/>
      <c r="M4857" s="28"/>
      <c r="N4857" s="28"/>
      <c r="O4857" s="28"/>
      <c r="P4857" s="28"/>
      <c r="Q4857" s="28"/>
      <c r="R4857" s="28"/>
      <c r="S4857" s="28"/>
    </row>
    <row r="4858" spans="1:19" x14ac:dyDescent="0.25">
      <c r="A4858" s="28"/>
      <c r="B4858" s="28"/>
      <c r="C4858" s="28"/>
      <c r="D4858" s="28"/>
      <c r="E4858" s="28"/>
      <c r="F4858" s="28"/>
      <c r="G4858" s="28"/>
      <c r="H4858" s="28"/>
      <c r="I4858" s="28"/>
      <c r="J4858" s="28"/>
      <c r="K4858" s="28"/>
      <c r="L4858" s="28"/>
      <c r="M4858" s="28"/>
      <c r="N4858" s="28"/>
      <c r="O4858" s="28"/>
      <c r="P4858" s="28"/>
      <c r="Q4858" s="28"/>
      <c r="R4858" s="28"/>
      <c r="S4858" s="28"/>
    </row>
    <row r="4859" spans="1:19" x14ac:dyDescent="0.25">
      <c r="A4859" s="28"/>
      <c r="B4859" s="28"/>
      <c r="C4859" s="28"/>
      <c r="D4859" s="28"/>
      <c r="E4859" s="28"/>
      <c r="F4859" s="28"/>
      <c r="G4859" s="28"/>
      <c r="H4859" s="28"/>
      <c r="I4859" s="28"/>
      <c r="J4859" s="28"/>
      <c r="K4859" s="28"/>
      <c r="L4859" s="28"/>
      <c r="M4859" s="28"/>
      <c r="N4859" s="28"/>
      <c r="O4859" s="28"/>
      <c r="P4859" s="28"/>
      <c r="Q4859" s="28"/>
      <c r="R4859" s="28"/>
      <c r="S4859" s="28"/>
    </row>
    <row r="4860" spans="1:19" x14ac:dyDescent="0.25">
      <c r="A4860" s="28"/>
      <c r="B4860" s="28"/>
      <c r="C4860" s="28"/>
      <c r="D4860" s="28"/>
      <c r="E4860" s="28"/>
      <c r="F4860" s="28"/>
      <c r="G4860" s="28"/>
      <c r="H4860" s="28"/>
      <c r="I4860" s="28"/>
      <c r="J4860" s="28"/>
      <c r="K4860" s="28"/>
      <c r="L4860" s="28"/>
      <c r="M4860" s="28"/>
      <c r="N4860" s="28"/>
      <c r="O4860" s="28"/>
      <c r="P4860" s="28"/>
      <c r="Q4860" s="28"/>
      <c r="R4860" s="28"/>
      <c r="S4860" s="28"/>
    </row>
    <row r="4861" spans="1:19" x14ac:dyDescent="0.25">
      <c r="A4861" s="28"/>
      <c r="B4861" s="28"/>
      <c r="C4861" s="28"/>
      <c r="D4861" s="28"/>
      <c r="E4861" s="28"/>
      <c r="F4861" s="28"/>
      <c r="G4861" s="28"/>
      <c r="H4861" s="28"/>
      <c r="I4861" s="28"/>
      <c r="J4861" s="28"/>
      <c r="K4861" s="28"/>
      <c r="L4861" s="28"/>
      <c r="M4861" s="28"/>
      <c r="N4861" s="28"/>
      <c r="O4861" s="28"/>
      <c r="P4861" s="28"/>
      <c r="Q4861" s="28"/>
      <c r="R4861" s="28"/>
      <c r="S4861" s="28"/>
    </row>
    <row r="4862" spans="1:19" x14ac:dyDescent="0.25">
      <c r="A4862" s="28"/>
      <c r="B4862" s="28"/>
      <c r="C4862" s="28"/>
      <c r="D4862" s="28"/>
      <c r="E4862" s="28"/>
      <c r="F4862" s="28"/>
      <c r="G4862" s="28"/>
      <c r="H4862" s="28"/>
      <c r="I4862" s="28"/>
      <c r="J4862" s="28"/>
      <c r="K4862" s="28"/>
      <c r="L4862" s="28"/>
      <c r="M4862" s="28"/>
      <c r="N4862" s="28"/>
      <c r="O4862" s="28"/>
      <c r="P4862" s="28"/>
      <c r="Q4862" s="28"/>
      <c r="R4862" s="28"/>
      <c r="S4862" s="28"/>
    </row>
    <row r="4863" spans="1:19" x14ac:dyDescent="0.25">
      <c r="A4863" s="28"/>
      <c r="B4863" s="28"/>
      <c r="C4863" s="28"/>
      <c r="D4863" s="28"/>
      <c r="E4863" s="28"/>
      <c r="F4863" s="28"/>
      <c r="G4863" s="28"/>
      <c r="H4863" s="28"/>
      <c r="I4863" s="28"/>
      <c r="J4863" s="28"/>
      <c r="K4863" s="28"/>
      <c r="L4863" s="28"/>
      <c r="M4863" s="28"/>
      <c r="N4863" s="28"/>
      <c r="O4863" s="28"/>
      <c r="P4863" s="28"/>
      <c r="Q4863" s="28"/>
      <c r="R4863" s="28"/>
      <c r="S4863" s="28"/>
    </row>
    <row r="4864" spans="1:19" x14ac:dyDescent="0.25">
      <c r="A4864" s="28"/>
      <c r="B4864" s="28"/>
      <c r="C4864" s="28"/>
      <c r="D4864" s="28"/>
      <c r="E4864" s="28"/>
      <c r="F4864" s="28"/>
      <c r="G4864" s="28"/>
      <c r="H4864" s="28"/>
      <c r="I4864" s="28"/>
      <c r="J4864" s="28"/>
      <c r="K4864" s="28"/>
      <c r="L4864" s="28"/>
      <c r="M4864" s="28"/>
      <c r="N4864" s="28"/>
      <c r="O4864" s="28"/>
      <c r="P4864" s="28"/>
      <c r="Q4864" s="28"/>
      <c r="R4864" s="28"/>
      <c r="S4864" s="28"/>
    </row>
    <row r="4865" spans="1:19" x14ac:dyDescent="0.25">
      <c r="A4865" s="28"/>
      <c r="B4865" s="28"/>
      <c r="C4865" s="28"/>
      <c r="D4865" s="28"/>
      <c r="E4865" s="28"/>
      <c r="F4865" s="28"/>
      <c r="G4865" s="28"/>
      <c r="H4865" s="28"/>
      <c r="I4865" s="28"/>
      <c r="J4865" s="28"/>
      <c r="K4865" s="28"/>
      <c r="L4865" s="28"/>
      <c r="M4865" s="28"/>
      <c r="N4865" s="28"/>
      <c r="O4865" s="28"/>
      <c r="P4865" s="28"/>
      <c r="Q4865" s="28"/>
      <c r="R4865" s="28"/>
      <c r="S4865" s="28"/>
    </row>
    <row r="4866" spans="1:19" x14ac:dyDescent="0.25">
      <c r="A4866" s="28"/>
      <c r="B4866" s="28"/>
      <c r="C4866" s="28"/>
      <c r="D4866" s="28"/>
      <c r="E4866" s="28"/>
      <c r="F4866" s="28"/>
      <c r="G4866" s="28"/>
      <c r="H4866" s="28"/>
      <c r="I4866" s="28"/>
      <c r="J4866" s="28"/>
      <c r="K4866" s="28"/>
      <c r="L4866" s="28"/>
      <c r="M4866" s="28"/>
      <c r="N4866" s="28"/>
      <c r="O4866" s="28"/>
      <c r="P4866" s="28"/>
      <c r="Q4866" s="28"/>
      <c r="R4866" s="28"/>
      <c r="S4866" s="28"/>
    </row>
    <row r="4867" spans="1:19" x14ac:dyDescent="0.25">
      <c r="A4867" s="28"/>
      <c r="B4867" s="28"/>
      <c r="C4867" s="28"/>
      <c r="D4867" s="28"/>
      <c r="E4867" s="28"/>
      <c r="F4867" s="28"/>
      <c r="G4867" s="28"/>
      <c r="H4867" s="28"/>
      <c r="I4867" s="28"/>
      <c r="J4867" s="28"/>
      <c r="K4867" s="28"/>
      <c r="L4867" s="28"/>
      <c r="M4867" s="28"/>
      <c r="N4867" s="28"/>
      <c r="O4867" s="28"/>
      <c r="P4867" s="28"/>
      <c r="Q4867" s="28"/>
      <c r="R4867" s="28"/>
      <c r="S4867" s="28"/>
    </row>
    <row r="4868" spans="1:19" x14ac:dyDescent="0.25">
      <c r="A4868" s="28"/>
      <c r="B4868" s="28"/>
      <c r="C4868" s="28"/>
      <c r="D4868" s="28"/>
      <c r="E4868" s="28"/>
      <c r="F4868" s="28"/>
      <c r="G4868" s="28"/>
      <c r="H4868" s="28"/>
      <c r="I4868" s="28"/>
      <c r="J4868" s="28"/>
      <c r="K4868" s="28"/>
      <c r="L4868" s="28"/>
      <c r="M4868" s="28"/>
      <c r="N4868" s="28"/>
      <c r="O4868" s="28"/>
      <c r="P4868" s="28"/>
      <c r="Q4868" s="28"/>
      <c r="R4868" s="28"/>
      <c r="S4868" s="28"/>
    </row>
    <row r="4869" spans="1:19" x14ac:dyDescent="0.25">
      <c r="A4869" s="28"/>
      <c r="B4869" s="28"/>
      <c r="C4869" s="28"/>
      <c r="D4869" s="28"/>
      <c r="E4869" s="28"/>
      <c r="F4869" s="28"/>
      <c r="G4869" s="28"/>
      <c r="H4869" s="28"/>
      <c r="I4869" s="28"/>
      <c r="J4869" s="28"/>
      <c r="K4869" s="28"/>
      <c r="L4869" s="28"/>
      <c r="M4869" s="28"/>
      <c r="N4869" s="28"/>
      <c r="O4869" s="28"/>
      <c r="P4869" s="28"/>
      <c r="Q4869" s="28"/>
      <c r="R4869" s="28"/>
      <c r="S4869" s="28"/>
    </row>
    <row r="4870" spans="1:19" x14ac:dyDescent="0.25">
      <c r="A4870" s="28"/>
      <c r="B4870" s="28"/>
      <c r="C4870" s="28"/>
      <c r="D4870" s="28"/>
      <c r="E4870" s="28"/>
      <c r="F4870" s="28"/>
      <c r="G4870" s="28"/>
      <c r="H4870" s="28"/>
      <c r="I4870" s="28"/>
      <c r="J4870" s="28"/>
      <c r="K4870" s="28"/>
      <c r="L4870" s="28"/>
      <c r="M4870" s="28"/>
      <c r="N4870" s="28"/>
      <c r="O4870" s="28"/>
      <c r="P4870" s="28"/>
      <c r="Q4870" s="28"/>
      <c r="R4870" s="28"/>
      <c r="S4870" s="28"/>
    </row>
    <row r="4871" spans="1:19" x14ac:dyDescent="0.25">
      <c r="A4871" s="28"/>
      <c r="B4871" s="28"/>
      <c r="C4871" s="28"/>
      <c r="D4871" s="28"/>
      <c r="E4871" s="28"/>
      <c r="F4871" s="28"/>
      <c r="G4871" s="28"/>
      <c r="H4871" s="28"/>
      <c r="I4871" s="28"/>
      <c r="J4871" s="28"/>
      <c r="K4871" s="28"/>
      <c r="L4871" s="28"/>
      <c r="M4871" s="28"/>
      <c r="N4871" s="28"/>
      <c r="O4871" s="28"/>
      <c r="P4871" s="28"/>
      <c r="Q4871" s="28"/>
      <c r="R4871" s="28"/>
      <c r="S4871" s="28"/>
    </row>
    <row r="4872" spans="1:19" x14ac:dyDescent="0.25">
      <c r="A4872" s="28"/>
      <c r="B4872" s="28"/>
      <c r="C4872" s="28"/>
      <c r="D4872" s="28"/>
      <c r="E4872" s="28"/>
      <c r="F4872" s="28"/>
      <c r="G4872" s="28"/>
      <c r="H4872" s="28"/>
      <c r="I4872" s="28"/>
      <c r="J4872" s="28"/>
      <c r="K4872" s="28"/>
      <c r="L4872" s="28"/>
      <c r="M4872" s="28"/>
      <c r="N4872" s="28"/>
      <c r="O4872" s="28"/>
      <c r="P4872" s="28"/>
      <c r="Q4872" s="28"/>
      <c r="R4872" s="28"/>
      <c r="S4872" s="28"/>
    </row>
    <row r="4873" spans="1:19" x14ac:dyDescent="0.25">
      <c r="A4873" s="28"/>
      <c r="B4873" s="28"/>
      <c r="C4873" s="28"/>
      <c r="D4873" s="28"/>
      <c r="E4873" s="28"/>
      <c r="F4873" s="28"/>
      <c r="G4873" s="28"/>
      <c r="H4873" s="28"/>
      <c r="I4873" s="28"/>
      <c r="J4873" s="28"/>
      <c r="K4873" s="28"/>
      <c r="L4873" s="28"/>
      <c r="M4873" s="28"/>
      <c r="N4873" s="28"/>
      <c r="O4873" s="28"/>
      <c r="P4873" s="28"/>
      <c r="Q4873" s="28"/>
      <c r="R4873" s="28"/>
      <c r="S4873" s="28"/>
    </row>
    <row r="4874" spans="1:19" x14ac:dyDescent="0.25">
      <c r="A4874" s="28"/>
      <c r="B4874" s="28"/>
      <c r="C4874" s="28"/>
      <c r="D4874" s="28"/>
      <c r="E4874" s="28"/>
      <c r="F4874" s="28"/>
      <c r="G4874" s="28"/>
      <c r="H4874" s="28"/>
      <c r="I4874" s="28"/>
      <c r="J4874" s="28"/>
      <c r="K4874" s="28"/>
      <c r="L4874" s="28"/>
      <c r="M4874" s="28"/>
      <c r="N4874" s="28"/>
      <c r="O4874" s="28"/>
      <c r="P4874" s="28"/>
      <c r="Q4874" s="28"/>
      <c r="R4874" s="28"/>
      <c r="S4874" s="28"/>
    </row>
    <row r="4875" spans="1:19" x14ac:dyDescent="0.25">
      <c r="A4875" s="28"/>
      <c r="B4875" s="28"/>
      <c r="C4875" s="28"/>
      <c r="D4875" s="28"/>
      <c r="E4875" s="28"/>
      <c r="F4875" s="28"/>
      <c r="G4875" s="28"/>
      <c r="H4875" s="28"/>
      <c r="I4875" s="28"/>
      <c r="J4875" s="28"/>
      <c r="K4875" s="28"/>
      <c r="L4875" s="28"/>
      <c r="M4875" s="28"/>
      <c r="N4875" s="28"/>
      <c r="O4875" s="28"/>
      <c r="P4875" s="28"/>
      <c r="Q4875" s="28"/>
      <c r="R4875" s="28"/>
      <c r="S4875" s="28"/>
    </row>
    <row r="4876" spans="1:19" x14ac:dyDescent="0.25">
      <c r="A4876" s="28"/>
      <c r="B4876" s="28"/>
      <c r="C4876" s="28"/>
      <c r="D4876" s="28"/>
      <c r="E4876" s="28"/>
      <c r="F4876" s="28"/>
      <c r="G4876" s="28"/>
      <c r="H4876" s="28"/>
      <c r="I4876" s="28"/>
      <c r="J4876" s="28"/>
      <c r="K4876" s="28"/>
      <c r="L4876" s="28"/>
      <c r="M4876" s="28"/>
      <c r="N4876" s="28"/>
      <c r="O4876" s="28"/>
      <c r="P4876" s="28"/>
      <c r="Q4876" s="28"/>
      <c r="R4876" s="28"/>
      <c r="S4876" s="28"/>
    </row>
    <row r="4877" spans="1:19" x14ac:dyDescent="0.25">
      <c r="A4877" s="28"/>
      <c r="B4877" s="28"/>
      <c r="C4877" s="28"/>
      <c r="D4877" s="28"/>
      <c r="E4877" s="28"/>
      <c r="F4877" s="28"/>
      <c r="G4877" s="28"/>
      <c r="H4877" s="28"/>
      <c r="I4877" s="28"/>
      <c r="J4877" s="28"/>
      <c r="K4877" s="28"/>
      <c r="L4877" s="28"/>
      <c r="M4877" s="28"/>
      <c r="N4877" s="28"/>
      <c r="O4877" s="28"/>
      <c r="P4877" s="28"/>
      <c r="Q4877" s="28"/>
      <c r="R4877" s="28"/>
      <c r="S4877" s="28"/>
    </row>
    <row r="4878" spans="1:19" x14ac:dyDescent="0.25">
      <c r="A4878" s="28"/>
      <c r="B4878" s="28"/>
      <c r="C4878" s="28"/>
      <c r="D4878" s="28"/>
      <c r="E4878" s="28"/>
      <c r="F4878" s="28"/>
      <c r="G4878" s="28"/>
      <c r="H4878" s="28"/>
      <c r="I4878" s="28"/>
      <c r="J4878" s="28"/>
      <c r="K4878" s="28"/>
      <c r="L4878" s="28"/>
      <c r="M4878" s="28"/>
      <c r="N4878" s="28"/>
      <c r="O4878" s="28"/>
      <c r="P4878" s="28"/>
      <c r="Q4878" s="28"/>
      <c r="R4878" s="28"/>
      <c r="S4878" s="28"/>
    </row>
    <row r="4879" spans="1:19" x14ac:dyDescent="0.25">
      <c r="A4879" s="28"/>
      <c r="B4879" s="28"/>
      <c r="C4879" s="28"/>
      <c r="D4879" s="28"/>
      <c r="E4879" s="28"/>
      <c r="F4879" s="28"/>
      <c r="G4879" s="28"/>
      <c r="H4879" s="28"/>
      <c r="I4879" s="28"/>
      <c r="J4879" s="28"/>
      <c r="K4879" s="28"/>
      <c r="L4879" s="28"/>
      <c r="M4879" s="28"/>
      <c r="N4879" s="28"/>
      <c r="O4879" s="28"/>
      <c r="P4879" s="28"/>
      <c r="Q4879" s="28"/>
      <c r="R4879" s="28"/>
      <c r="S4879" s="28"/>
    </row>
    <row r="4880" spans="1:19" x14ac:dyDescent="0.25">
      <c r="A4880" s="28"/>
      <c r="B4880" s="28"/>
      <c r="C4880" s="28"/>
      <c r="D4880" s="28"/>
      <c r="E4880" s="28"/>
      <c r="F4880" s="28"/>
      <c r="G4880" s="28"/>
      <c r="H4880" s="28"/>
      <c r="I4880" s="28"/>
      <c r="J4880" s="28"/>
      <c r="K4880" s="28"/>
      <c r="L4880" s="28"/>
      <c r="M4880" s="28"/>
      <c r="N4880" s="28"/>
      <c r="O4880" s="28"/>
      <c r="P4880" s="28"/>
      <c r="Q4880" s="28"/>
      <c r="R4880" s="28"/>
      <c r="S4880" s="28"/>
    </row>
    <row r="4881" spans="1:19" x14ac:dyDescent="0.25">
      <c r="A4881" s="28"/>
      <c r="B4881" s="28"/>
      <c r="C4881" s="28"/>
      <c r="D4881" s="28"/>
      <c r="E4881" s="28"/>
      <c r="F4881" s="28"/>
      <c r="G4881" s="28"/>
      <c r="H4881" s="28"/>
      <c r="I4881" s="28"/>
      <c r="J4881" s="28"/>
      <c r="K4881" s="28"/>
      <c r="L4881" s="28"/>
      <c r="M4881" s="28"/>
      <c r="N4881" s="28"/>
      <c r="O4881" s="28"/>
      <c r="P4881" s="28"/>
      <c r="Q4881" s="28"/>
      <c r="R4881" s="28"/>
      <c r="S4881" s="28"/>
    </row>
    <row r="4882" spans="1:19" x14ac:dyDescent="0.25">
      <c r="A4882" s="28"/>
      <c r="B4882" s="28"/>
      <c r="C4882" s="28"/>
      <c r="D4882" s="28"/>
      <c r="E4882" s="28"/>
      <c r="F4882" s="28"/>
      <c r="G4882" s="28"/>
      <c r="H4882" s="28"/>
      <c r="I4882" s="28"/>
      <c r="J4882" s="28"/>
      <c r="K4882" s="28"/>
      <c r="L4882" s="28"/>
      <c r="M4882" s="28"/>
      <c r="N4882" s="28"/>
      <c r="O4882" s="28"/>
      <c r="P4882" s="28"/>
      <c r="Q4882" s="28"/>
      <c r="R4882" s="28"/>
      <c r="S4882" s="28"/>
    </row>
    <row r="4883" spans="1:19" x14ac:dyDescent="0.25">
      <c r="A4883" s="28"/>
      <c r="B4883" s="28"/>
      <c r="C4883" s="28"/>
      <c r="D4883" s="28"/>
      <c r="E4883" s="28"/>
      <c r="F4883" s="28"/>
      <c r="G4883" s="28"/>
      <c r="H4883" s="28"/>
      <c r="I4883" s="28"/>
      <c r="J4883" s="28"/>
      <c r="K4883" s="28"/>
      <c r="L4883" s="28"/>
      <c r="M4883" s="28"/>
      <c r="N4883" s="28"/>
      <c r="O4883" s="28"/>
      <c r="P4883" s="28"/>
      <c r="Q4883" s="28"/>
      <c r="R4883" s="28"/>
      <c r="S4883" s="28"/>
    </row>
    <row r="4884" spans="1:19" x14ac:dyDescent="0.25">
      <c r="A4884" s="28"/>
      <c r="B4884" s="28"/>
      <c r="C4884" s="28"/>
      <c r="D4884" s="28"/>
      <c r="E4884" s="28"/>
      <c r="F4884" s="28"/>
      <c r="G4884" s="28"/>
      <c r="H4884" s="28"/>
      <c r="I4884" s="28"/>
      <c r="J4884" s="28"/>
      <c r="K4884" s="28"/>
      <c r="L4884" s="28"/>
      <c r="M4884" s="28"/>
      <c r="N4884" s="28"/>
      <c r="O4884" s="28"/>
      <c r="P4884" s="28"/>
      <c r="Q4884" s="28"/>
      <c r="R4884" s="28"/>
      <c r="S4884" s="28"/>
    </row>
    <row r="4885" spans="1:19" x14ac:dyDescent="0.25">
      <c r="A4885" s="28"/>
      <c r="B4885" s="28"/>
      <c r="C4885" s="28"/>
      <c r="D4885" s="28"/>
      <c r="E4885" s="28"/>
      <c r="F4885" s="28"/>
      <c r="G4885" s="28"/>
      <c r="H4885" s="28"/>
      <c r="I4885" s="28"/>
      <c r="J4885" s="28"/>
      <c r="K4885" s="28"/>
      <c r="L4885" s="28"/>
      <c r="M4885" s="28"/>
      <c r="N4885" s="28"/>
      <c r="O4885" s="28"/>
      <c r="P4885" s="28"/>
      <c r="Q4885" s="28"/>
      <c r="R4885" s="28"/>
      <c r="S4885" s="28"/>
    </row>
    <row r="4886" spans="1:19" x14ac:dyDescent="0.25">
      <c r="A4886" s="28"/>
      <c r="B4886" s="28"/>
      <c r="C4886" s="28"/>
      <c r="D4886" s="28"/>
      <c r="E4886" s="28"/>
      <c r="F4886" s="28"/>
      <c r="G4886" s="28"/>
      <c r="H4886" s="28"/>
      <c r="I4886" s="28"/>
      <c r="J4886" s="28"/>
      <c r="K4886" s="28"/>
      <c r="L4886" s="28"/>
      <c r="M4886" s="28"/>
      <c r="N4886" s="28"/>
      <c r="O4886" s="28"/>
      <c r="P4886" s="28"/>
      <c r="Q4886" s="28"/>
      <c r="R4886" s="28"/>
      <c r="S4886" s="28"/>
    </row>
    <row r="4887" spans="1:19" x14ac:dyDescent="0.25">
      <c r="A4887" s="28"/>
      <c r="B4887" s="28"/>
      <c r="C4887" s="28"/>
      <c r="D4887" s="28"/>
      <c r="E4887" s="28"/>
      <c r="F4887" s="28"/>
      <c r="G4887" s="28"/>
      <c r="H4887" s="28"/>
      <c r="I4887" s="28"/>
      <c r="J4887" s="28"/>
      <c r="K4887" s="28"/>
      <c r="L4887" s="28"/>
      <c r="M4887" s="28"/>
      <c r="N4887" s="28"/>
      <c r="O4887" s="28"/>
      <c r="P4887" s="28"/>
      <c r="Q4887" s="28"/>
      <c r="R4887" s="28"/>
      <c r="S4887" s="28"/>
    </row>
    <row r="4888" spans="1:19" x14ac:dyDescent="0.25">
      <c r="A4888" s="28"/>
      <c r="B4888" s="28"/>
      <c r="C4888" s="28"/>
      <c r="D4888" s="28"/>
      <c r="E4888" s="28"/>
      <c r="F4888" s="28"/>
      <c r="G4888" s="28"/>
      <c r="H4888" s="28"/>
      <c r="I4888" s="28"/>
      <c r="J4888" s="28"/>
      <c r="K4888" s="28"/>
      <c r="L4888" s="28"/>
      <c r="M4888" s="28"/>
      <c r="N4888" s="28"/>
      <c r="O4888" s="28"/>
      <c r="P4888" s="28"/>
      <c r="Q4888" s="28"/>
      <c r="R4888" s="28"/>
      <c r="S4888" s="28"/>
    </row>
    <row r="4889" spans="1:19" x14ac:dyDescent="0.25">
      <c r="A4889" s="28"/>
      <c r="B4889" s="28"/>
      <c r="C4889" s="28"/>
      <c r="D4889" s="28"/>
      <c r="E4889" s="28"/>
      <c r="F4889" s="28"/>
      <c r="G4889" s="28"/>
      <c r="H4889" s="28"/>
      <c r="I4889" s="28"/>
      <c r="J4889" s="28"/>
      <c r="K4889" s="28"/>
      <c r="L4889" s="28"/>
      <c r="M4889" s="28"/>
      <c r="N4889" s="28"/>
      <c r="O4889" s="28"/>
      <c r="P4889" s="28"/>
      <c r="Q4889" s="28"/>
      <c r="R4889" s="28"/>
      <c r="S4889" s="28"/>
    </row>
    <row r="4890" spans="1:19" x14ac:dyDescent="0.25">
      <c r="A4890" s="28"/>
      <c r="B4890" s="28"/>
      <c r="C4890" s="28"/>
      <c r="D4890" s="28"/>
      <c r="E4890" s="28"/>
      <c r="F4890" s="28"/>
      <c r="G4890" s="28"/>
      <c r="H4890" s="28"/>
      <c r="I4890" s="28"/>
      <c r="J4890" s="28"/>
      <c r="K4890" s="28"/>
      <c r="L4890" s="28"/>
      <c r="M4890" s="28"/>
      <c r="N4890" s="28"/>
      <c r="O4890" s="28"/>
      <c r="P4890" s="28"/>
      <c r="Q4890" s="28"/>
      <c r="R4890" s="28"/>
      <c r="S4890" s="28"/>
    </row>
    <row r="4891" spans="1:19" x14ac:dyDescent="0.25">
      <c r="A4891" s="28"/>
      <c r="B4891" s="28"/>
      <c r="C4891" s="28"/>
      <c r="D4891" s="28"/>
      <c r="E4891" s="28"/>
      <c r="F4891" s="28"/>
      <c r="G4891" s="28"/>
      <c r="H4891" s="28"/>
      <c r="I4891" s="28"/>
      <c r="J4891" s="28"/>
      <c r="K4891" s="28"/>
      <c r="L4891" s="28"/>
      <c r="M4891" s="28"/>
      <c r="N4891" s="28"/>
      <c r="O4891" s="28"/>
      <c r="P4891" s="28"/>
      <c r="Q4891" s="28"/>
      <c r="R4891" s="28"/>
      <c r="S4891" s="28"/>
    </row>
    <row r="4892" spans="1:19" x14ac:dyDescent="0.25">
      <c r="A4892" s="28"/>
      <c r="B4892" s="28"/>
      <c r="C4892" s="28"/>
      <c r="D4892" s="28"/>
      <c r="E4892" s="28"/>
      <c r="F4892" s="28"/>
      <c r="G4892" s="28"/>
      <c r="H4892" s="28"/>
      <c r="I4892" s="28"/>
      <c r="J4892" s="28"/>
      <c r="K4892" s="28"/>
      <c r="L4892" s="28"/>
      <c r="M4892" s="28"/>
      <c r="N4892" s="28"/>
      <c r="O4892" s="28"/>
      <c r="P4892" s="28"/>
      <c r="Q4892" s="28"/>
      <c r="R4892" s="28"/>
      <c r="S4892" s="28"/>
    </row>
    <row r="4893" spans="1:19" x14ac:dyDescent="0.25">
      <c r="A4893" s="28"/>
      <c r="B4893" s="28"/>
      <c r="C4893" s="28"/>
      <c r="D4893" s="28"/>
      <c r="E4893" s="28"/>
      <c r="F4893" s="28"/>
      <c r="G4893" s="28"/>
      <c r="H4893" s="28"/>
      <c r="I4893" s="28"/>
      <c r="J4893" s="28"/>
      <c r="K4893" s="28"/>
      <c r="L4893" s="28"/>
      <c r="M4893" s="28"/>
      <c r="N4893" s="28"/>
      <c r="O4893" s="28"/>
      <c r="P4893" s="28"/>
      <c r="Q4893" s="28"/>
      <c r="R4893" s="28"/>
      <c r="S4893" s="28"/>
    </row>
    <row r="4894" spans="1:19" x14ac:dyDescent="0.25">
      <c r="A4894" s="28"/>
      <c r="B4894" s="28"/>
      <c r="C4894" s="28"/>
      <c r="D4894" s="28"/>
      <c r="E4894" s="28"/>
      <c r="F4894" s="28"/>
      <c r="G4894" s="28"/>
      <c r="H4894" s="28"/>
      <c r="I4894" s="28"/>
      <c r="J4894" s="28"/>
      <c r="K4894" s="28"/>
      <c r="L4894" s="28"/>
      <c r="M4894" s="28"/>
      <c r="N4894" s="28"/>
      <c r="O4894" s="28"/>
      <c r="P4894" s="28"/>
      <c r="Q4894" s="28"/>
      <c r="R4894" s="28"/>
      <c r="S4894" s="28"/>
    </row>
    <row r="4895" spans="1:19" x14ac:dyDescent="0.25">
      <c r="A4895" s="28"/>
      <c r="B4895" s="28"/>
      <c r="C4895" s="28"/>
      <c r="D4895" s="28"/>
      <c r="E4895" s="28"/>
      <c r="F4895" s="28"/>
      <c r="G4895" s="28"/>
      <c r="H4895" s="28"/>
      <c r="I4895" s="28"/>
      <c r="J4895" s="28"/>
      <c r="K4895" s="28"/>
      <c r="L4895" s="28"/>
      <c r="M4895" s="28"/>
      <c r="N4895" s="28"/>
      <c r="O4895" s="28"/>
      <c r="P4895" s="28"/>
      <c r="Q4895" s="28"/>
      <c r="R4895" s="28"/>
      <c r="S4895" s="28"/>
    </row>
    <row r="4896" spans="1:19" x14ac:dyDescent="0.25">
      <c r="A4896" s="28"/>
      <c r="B4896" s="28"/>
      <c r="C4896" s="28"/>
      <c r="D4896" s="28"/>
      <c r="E4896" s="28"/>
      <c r="F4896" s="28"/>
      <c r="G4896" s="28"/>
      <c r="H4896" s="28"/>
      <c r="I4896" s="28"/>
      <c r="J4896" s="28"/>
      <c r="K4896" s="28"/>
      <c r="L4896" s="28"/>
      <c r="M4896" s="28"/>
      <c r="N4896" s="28"/>
      <c r="O4896" s="28"/>
      <c r="P4896" s="28"/>
      <c r="Q4896" s="28"/>
      <c r="R4896" s="28"/>
      <c r="S4896" s="28"/>
    </row>
    <row r="4897" spans="1:19" x14ac:dyDescent="0.25">
      <c r="A4897" s="28"/>
      <c r="B4897" s="28"/>
      <c r="C4897" s="28"/>
      <c r="D4897" s="28"/>
      <c r="E4897" s="28"/>
      <c r="F4897" s="28"/>
      <c r="G4897" s="28"/>
      <c r="H4897" s="28"/>
      <c r="I4897" s="28"/>
      <c r="J4897" s="28"/>
      <c r="K4897" s="28"/>
      <c r="L4897" s="28"/>
      <c r="M4897" s="28"/>
      <c r="N4897" s="28"/>
      <c r="O4897" s="28"/>
      <c r="P4897" s="28"/>
      <c r="Q4897" s="28"/>
      <c r="R4897" s="28"/>
      <c r="S4897" s="28"/>
    </row>
    <row r="4898" spans="1:19" x14ac:dyDescent="0.25">
      <c r="A4898" s="28"/>
      <c r="B4898" s="28"/>
      <c r="C4898" s="28"/>
      <c r="D4898" s="28"/>
      <c r="E4898" s="28"/>
      <c r="F4898" s="28"/>
      <c r="G4898" s="28"/>
      <c r="H4898" s="28"/>
      <c r="I4898" s="28"/>
      <c r="J4898" s="28"/>
      <c r="K4898" s="28"/>
      <c r="L4898" s="28"/>
      <c r="M4898" s="28"/>
      <c r="N4898" s="28"/>
      <c r="O4898" s="28"/>
      <c r="P4898" s="28"/>
      <c r="Q4898" s="28"/>
      <c r="R4898" s="28"/>
      <c r="S4898" s="28"/>
    </row>
    <row r="4899" spans="1:19" x14ac:dyDescent="0.25">
      <c r="A4899" s="28"/>
      <c r="B4899" s="28"/>
      <c r="C4899" s="28"/>
      <c r="D4899" s="28"/>
      <c r="E4899" s="28"/>
      <c r="F4899" s="28"/>
      <c r="G4899" s="28"/>
      <c r="H4899" s="28"/>
      <c r="I4899" s="28"/>
      <c r="J4899" s="28"/>
      <c r="K4899" s="28"/>
      <c r="L4899" s="28"/>
      <c r="M4899" s="28"/>
      <c r="N4899" s="28"/>
      <c r="O4899" s="28"/>
      <c r="P4899" s="28"/>
      <c r="Q4899" s="28"/>
      <c r="R4899" s="28"/>
      <c r="S4899" s="28"/>
    </row>
    <row r="4900" spans="1:19" x14ac:dyDescent="0.25">
      <c r="A4900" s="28"/>
      <c r="B4900" s="28"/>
      <c r="C4900" s="28"/>
      <c r="D4900" s="28"/>
      <c r="E4900" s="28"/>
      <c r="F4900" s="28"/>
      <c r="G4900" s="28"/>
      <c r="H4900" s="28"/>
      <c r="I4900" s="28"/>
      <c r="J4900" s="28"/>
      <c r="K4900" s="28"/>
      <c r="L4900" s="28"/>
      <c r="M4900" s="28"/>
      <c r="N4900" s="28"/>
      <c r="O4900" s="28"/>
      <c r="P4900" s="28"/>
      <c r="Q4900" s="28"/>
      <c r="R4900" s="28"/>
      <c r="S4900" s="28"/>
    </row>
    <row r="4901" spans="1:19" x14ac:dyDescent="0.25">
      <c r="A4901" s="28"/>
      <c r="B4901" s="28"/>
      <c r="C4901" s="28"/>
      <c r="D4901" s="28"/>
      <c r="E4901" s="28"/>
      <c r="F4901" s="28"/>
      <c r="G4901" s="28"/>
      <c r="H4901" s="28"/>
      <c r="I4901" s="28"/>
      <c r="J4901" s="28"/>
      <c r="K4901" s="28"/>
      <c r="L4901" s="28"/>
      <c r="M4901" s="28"/>
      <c r="N4901" s="28"/>
      <c r="O4901" s="28"/>
      <c r="P4901" s="28"/>
      <c r="Q4901" s="28"/>
      <c r="R4901" s="28"/>
      <c r="S4901" s="28"/>
    </row>
    <row r="4902" spans="1:19" x14ac:dyDescent="0.25">
      <c r="A4902" s="28"/>
      <c r="B4902" s="28"/>
      <c r="C4902" s="28"/>
      <c r="D4902" s="28"/>
      <c r="E4902" s="28"/>
      <c r="F4902" s="28"/>
      <c r="G4902" s="28"/>
      <c r="H4902" s="28"/>
      <c r="I4902" s="28"/>
      <c r="J4902" s="28"/>
      <c r="K4902" s="28"/>
      <c r="L4902" s="28"/>
      <c r="M4902" s="28"/>
      <c r="N4902" s="28"/>
      <c r="O4902" s="28"/>
      <c r="P4902" s="28"/>
      <c r="Q4902" s="28"/>
      <c r="R4902" s="28"/>
      <c r="S4902" s="28"/>
    </row>
    <row r="4903" spans="1:19" x14ac:dyDescent="0.25">
      <c r="A4903" s="28"/>
      <c r="B4903" s="28"/>
      <c r="C4903" s="28"/>
      <c r="D4903" s="28"/>
      <c r="E4903" s="28"/>
      <c r="F4903" s="28"/>
      <c r="G4903" s="28"/>
      <c r="H4903" s="28"/>
      <c r="I4903" s="28"/>
      <c r="J4903" s="28"/>
      <c r="K4903" s="28"/>
      <c r="L4903" s="28"/>
      <c r="M4903" s="28"/>
      <c r="N4903" s="28"/>
      <c r="O4903" s="28"/>
      <c r="P4903" s="28"/>
      <c r="Q4903" s="28"/>
      <c r="R4903" s="28"/>
      <c r="S4903" s="28"/>
    </row>
    <row r="4904" spans="1:19" x14ac:dyDescent="0.25">
      <c r="A4904" s="28"/>
      <c r="B4904" s="28"/>
      <c r="C4904" s="28"/>
      <c r="D4904" s="28"/>
      <c r="E4904" s="28"/>
      <c r="F4904" s="28"/>
      <c r="G4904" s="28"/>
      <c r="H4904" s="28"/>
      <c r="I4904" s="28"/>
      <c r="J4904" s="28"/>
      <c r="K4904" s="28"/>
      <c r="L4904" s="28"/>
      <c r="M4904" s="28"/>
      <c r="N4904" s="28"/>
      <c r="O4904" s="28"/>
      <c r="P4904" s="28"/>
      <c r="Q4904" s="28"/>
      <c r="R4904" s="28"/>
      <c r="S4904" s="28"/>
    </row>
    <row r="4905" spans="1:19" x14ac:dyDescent="0.25">
      <c r="A4905" s="28"/>
      <c r="B4905" s="28"/>
      <c r="C4905" s="28"/>
      <c r="D4905" s="28"/>
      <c r="E4905" s="28"/>
      <c r="F4905" s="28"/>
      <c r="G4905" s="28"/>
      <c r="H4905" s="28"/>
      <c r="I4905" s="28"/>
      <c r="J4905" s="28"/>
      <c r="K4905" s="28"/>
      <c r="L4905" s="28"/>
      <c r="M4905" s="28"/>
      <c r="N4905" s="28"/>
      <c r="O4905" s="28"/>
      <c r="P4905" s="28"/>
      <c r="Q4905" s="28"/>
      <c r="R4905" s="28"/>
      <c r="S4905" s="28"/>
    </row>
    <row r="4906" spans="1:19" x14ac:dyDescent="0.25">
      <c r="A4906" s="28"/>
      <c r="B4906" s="28"/>
      <c r="C4906" s="28"/>
      <c r="D4906" s="28"/>
      <c r="E4906" s="28"/>
      <c r="F4906" s="28"/>
      <c r="G4906" s="28"/>
      <c r="H4906" s="28"/>
      <c r="I4906" s="28"/>
      <c r="J4906" s="28"/>
      <c r="K4906" s="28"/>
      <c r="L4906" s="28"/>
      <c r="M4906" s="28"/>
      <c r="N4906" s="28"/>
      <c r="O4906" s="28"/>
      <c r="P4906" s="28"/>
      <c r="Q4906" s="28"/>
      <c r="R4906" s="28"/>
      <c r="S4906" s="28"/>
    </row>
    <row r="4907" spans="1:19" x14ac:dyDescent="0.25">
      <c r="A4907" s="28"/>
      <c r="B4907" s="28"/>
      <c r="C4907" s="28"/>
      <c r="D4907" s="28"/>
      <c r="E4907" s="28"/>
      <c r="F4907" s="28"/>
      <c r="G4907" s="28"/>
      <c r="H4907" s="28"/>
      <c r="I4907" s="28"/>
      <c r="J4907" s="28"/>
      <c r="K4907" s="28"/>
      <c r="L4907" s="28"/>
      <c r="M4907" s="28"/>
      <c r="N4907" s="28"/>
      <c r="O4907" s="28"/>
      <c r="P4907" s="28"/>
      <c r="Q4907" s="28"/>
      <c r="R4907" s="28"/>
      <c r="S4907" s="28"/>
    </row>
    <row r="4908" spans="1:19" x14ac:dyDescent="0.25">
      <c r="A4908" s="28"/>
      <c r="B4908" s="28"/>
      <c r="C4908" s="28"/>
      <c r="D4908" s="28"/>
      <c r="E4908" s="28"/>
      <c r="F4908" s="28"/>
      <c r="G4908" s="28"/>
      <c r="H4908" s="28"/>
      <c r="I4908" s="28"/>
      <c r="J4908" s="28"/>
      <c r="K4908" s="28"/>
      <c r="L4908" s="28"/>
      <c r="M4908" s="28"/>
      <c r="N4908" s="28"/>
      <c r="O4908" s="28"/>
      <c r="P4908" s="28"/>
      <c r="Q4908" s="28"/>
      <c r="R4908" s="28"/>
      <c r="S4908" s="28"/>
    </row>
    <row r="4909" spans="1:19" x14ac:dyDescent="0.25">
      <c r="A4909" s="28"/>
      <c r="B4909" s="28"/>
      <c r="C4909" s="28"/>
      <c r="D4909" s="28"/>
      <c r="E4909" s="28"/>
      <c r="F4909" s="28"/>
      <c r="G4909" s="28"/>
      <c r="H4909" s="28"/>
      <c r="I4909" s="28"/>
      <c r="J4909" s="28"/>
      <c r="K4909" s="28"/>
      <c r="L4909" s="28"/>
      <c r="M4909" s="28"/>
      <c r="N4909" s="28"/>
      <c r="O4909" s="28"/>
      <c r="P4909" s="28"/>
      <c r="Q4909" s="28"/>
      <c r="R4909" s="28"/>
      <c r="S4909" s="28"/>
    </row>
    <row r="4910" spans="1:19" x14ac:dyDescent="0.25">
      <c r="A4910" s="28"/>
      <c r="B4910" s="28"/>
      <c r="C4910" s="28"/>
      <c r="D4910" s="28"/>
      <c r="E4910" s="28"/>
      <c r="F4910" s="28"/>
      <c r="G4910" s="28"/>
      <c r="H4910" s="28"/>
      <c r="I4910" s="28"/>
      <c r="J4910" s="28"/>
      <c r="K4910" s="28"/>
      <c r="L4910" s="28"/>
      <c r="M4910" s="28"/>
      <c r="N4910" s="28"/>
      <c r="O4910" s="28"/>
      <c r="P4910" s="28"/>
      <c r="Q4910" s="28"/>
      <c r="R4910" s="28"/>
      <c r="S4910" s="28"/>
    </row>
    <row r="4911" spans="1:19" x14ac:dyDescent="0.25">
      <c r="A4911" s="28"/>
      <c r="B4911" s="28"/>
      <c r="C4911" s="28"/>
      <c r="D4911" s="28"/>
      <c r="E4911" s="28"/>
      <c r="F4911" s="28"/>
      <c r="G4911" s="28"/>
      <c r="H4911" s="28"/>
      <c r="I4911" s="28"/>
      <c r="J4911" s="28"/>
      <c r="K4911" s="28"/>
      <c r="L4911" s="28"/>
      <c r="M4911" s="28"/>
      <c r="N4911" s="28"/>
      <c r="O4911" s="28"/>
      <c r="P4911" s="28"/>
      <c r="Q4911" s="28"/>
      <c r="R4911" s="28"/>
      <c r="S4911" s="28"/>
    </row>
    <row r="4912" spans="1:19" x14ac:dyDescent="0.25">
      <c r="A4912" s="28"/>
      <c r="B4912" s="28"/>
      <c r="C4912" s="28"/>
      <c r="D4912" s="28"/>
      <c r="E4912" s="28"/>
      <c r="F4912" s="28"/>
      <c r="G4912" s="28"/>
      <c r="H4912" s="28"/>
      <c r="I4912" s="28"/>
      <c r="J4912" s="28"/>
      <c r="K4912" s="28"/>
      <c r="L4912" s="28"/>
      <c r="M4912" s="28"/>
      <c r="N4912" s="28"/>
      <c r="O4912" s="28"/>
      <c r="P4912" s="28"/>
      <c r="Q4912" s="28"/>
      <c r="R4912" s="28"/>
      <c r="S4912" s="28"/>
    </row>
    <row r="4913" spans="1:19" x14ac:dyDescent="0.25">
      <c r="A4913" s="28"/>
      <c r="B4913" s="28"/>
      <c r="C4913" s="28"/>
      <c r="D4913" s="28"/>
      <c r="E4913" s="28"/>
      <c r="F4913" s="28"/>
      <c r="G4913" s="28"/>
      <c r="H4913" s="28"/>
      <c r="I4913" s="28"/>
      <c r="J4913" s="28"/>
      <c r="K4913" s="28"/>
      <c r="L4913" s="28"/>
      <c r="M4913" s="28"/>
      <c r="N4913" s="28"/>
      <c r="O4913" s="28"/>
      <c r="P4913" s="28"/>
      <c r="Q4913" s="28"/>
      <c r="R4913" s="28"/>
      <c r="S4913" s="28"/>
    </row>
    <row r="4914" spans="1:19" x14ac:dyDescent="0.25">
      <c r="A4914" s="28"/>
      <c r="B4914" s="28"/>
      <c r="C4914" s="28"/>
      <c r="D4914" s="28"/>
      <c r="E4914" s="28"/>
      <c r="F4914" s="28"/>
      <c r="G4914" s="28"/>
      <c r="H4914" s="28"/>
      <c r="I4914" s="28"/>
      <c r="J4914" s="28"/>
      <c r="K4914" s="28"/>
      <c r="L4914" s="28"/>
      <c r="M4914" s="28"/>
      <c r="N4914" s="28"/>
      <c r="O4914" s="28"/>
      <c r="P4914" s="28"/>
      <c r="Q4914" s="28"/>
      <c r="R4914" s="28"/>
      <c r="S4914" s="28"/>
    </row>
    <row r="4915" spans="1:19" x14ac:dyDescent="0.25">
      <c r="A4915" s="28"/>
      <c r="B4915" s="28"/>
      <c r="C4915" s="28"/>
      <c r="D4915" s="28"/>
      <c r="E4915" s="28"/>
      <c r="F4915" s="28"/>
      <c r="G4915" s="28"/>
      <c r="H4915" s="28"/>
      <c r="I4915" s="28"/>
      <c r="J4915" s="28"/>
      <c r="K4915" s="28"/>
      <c r="L4915" s="28"/>
      <c r="M4915" s="28"/>
      <c r="N4915" s="28"/>
      <c r="O4915" s="28"/>
      <c r="P4915" s="28"/>
      <c r="Q4915" s="28"/>
      <c r="R4915" s="28"/>
      <c r="S4915" s="28"/>
    </row>
    <row r="4916" spans="1:19" x14ac:dyDescent="0.25">
      <c r="A4916" s="28"/>
      <c r="B4916" s="28"/>
      <c r="C4916" s="28"/>
      <c r="D4916" s="28"/>
      <c r="E4916" s="28"/>
      <c r="F4916" s="28"/>
      <c r="G4916" s="28"/>
      <c r="H4916" s="28"/>
      <c r="I4916" s="28"/>
      <c r="J4916" s="28"/>
      <c r="K4916" s="28"/>
      <c r="L4916" s="28"/>
      <c r="M4916" s="28"/>
      <c r="N4916" s="28"/>
      <c r="O4916" s="28"/>
      <c r="P4916" s="28"/>
      <c r="Q4916" s="28"/>
      <c r="R4916" s="28"/>
      <c r="S4916" s="28"/>
    </row>
    <row r="4917" spans="1:19" x14ac:dyDescent="0.25">
      <c r="A4917" s="28"/>
      <c r="B4917" s="28"/>
      <c r="C4917" s="28"/>
      <c r="D4917" s="28"/>
      <c r="E4917" s="28"/>
      <c r="F4917" s="28"/>
      <c r="G4917" s="28"/>
      <c r="H4917" s="28"/>
      <c r="I4917" s="28"/>
      <c r="J4917" s="28"/>
      <c r="K4917" s="28"/>
      <c r="L4917" s="28"/>
      <c r="M4917" s="28"/>
      <c r="N4917" s="28"/>
      <c r="O4917" s="28"/>
      <c r="P4917" s="28"/>
      <c r="Q4917" s="28"/>
      <c r="R4917" s="28"/>
      <c r="S4917" s="28"/>
    </row>
    <row r="4918" spans="1:19" x14ac:dyDescent="0.25">
      <c r="A4918" s="28"/>
      <c r="B4918" s="28"/>
      <c r="C4918" s="28"/>
      <c r="D4918" s="28"/>
      <c r="E4918" s="28"/>
      <c r="F4918" s="28"/>
      <c r="G4918" s="28"/>
      <c r="H4918" s="28"/>
      <c r="I4918" s="28"/>
      <c r="J4918" s="28"/>
      <c r="K4918" s="28"/>
      <c r="L4918" s="28"/>
      <c r="M4918" s="28"/>
      <c r="N4918" s="28"/>
      <c r="O4918" s="28"/>
      <c r="P4918" s="28"/>
      <c r="Q4918" s="28"/>
      <c r="R4918" s="28"/>
      <c r="S4918" s="28"/>
    </row>
    <row r="4919" spans="1:19" x14ac:dyDescent="0.25">
      <c r="A4919" s="28"/>
      <c r="B4919" s="28"/>
      <c r="C4919" s="28"/>
      <c r="D4919" s="28"/>
      <c r="E4919" s="28"/>
      <c r="F4919" s="28"/>
      <c r="G4919" s="28"/>
      <c r="H4919" s="28"/>
      <c r="I4919" s="28"/>
      <c r="J4919" s="28"/>
      <c r="K4919" s="28"/>
      <c r="L4919" s="28"/>
      <c r="M4919" s="28"/>
      <c r="N4919" s="28"/>
      <c r="O4919" s="28"/>
      <c r="P4919" s="28"/>
      <c r="Q4919" s="28"/>
      <c r="R4919" s="28"/>
      <c r="S4919" s="28"/>
    </row>
    <row r="4920" spans="1:19" x14ac:dyDescent="0.25">
      <c r="A4920" s="28"/>
      <c r="B4920" s="28"/>
      <c r="C4920" s="28"/>
      <c r="D4920" s="28"/>
      <c r="E4920" s="28"/>
      <c r="F4920" s="28"/>
      <c r="G4920" s="28"/>
      <c r="H4920" s="28"/>
      <c r="I4920" s="28"/>
      <c r="J4920" s="28"/>
      <c r="K4920" s="28"/>
      <c r="L4920" s="28"/>
      <c r="M4920" s="28"/>
      <c r="N4920" s="28"/>
      <c r="O4920" s="28"/>
      <c r="P4920" s="28"/>
      <c r="Q4920" s="28"/>
      <c r="R4920" s="28"/>
      <c r="S4920" s="28"/>
    </row>
    <row r="4921" spans="1:19" x14ac:dyDescent="0.25">
      <c r="A4921" s="28"/>
      <c r="B4921" s="28"/>
      <c r="C4921" s="28"/>
      <c r="D4921" s="28"/>
      <c r="E4921" s="28"/>
      <c r="F4921" s="28"/>
      <c r="G4921" s="28"/>
      <c r="H4921" s="28"/>
      <c r="I4921" s="28"/>
      <c r="J4921" s="28"/>
      <c r="K4921" s="28"/>
      <c r="L4921" s="28"/>
      <c r="M4921" s="28"/>
      <c r="N4921" s="28"/>
      <c r="O4921" s="28"/>
      <c r="P4921" s="28"/>
      <c r="Q4921" s="28"/>
      <c r="R4921" s="28"/>
      <c r="S4921" s="28"/>
    </row>
    <row r="4922" spans="1:19" x14ac:dyDescent="0.25">
      <c r="A4922" s="28"/>
      <c r="B4922" s="28"/>
      <c r="C4922" s="28"/>
      <c r="D4922" s="28"/>
      <c r="E4922" s="28"/>
      <c r="F4922" s="28"/>
      <c r="G4922" s="28"/>
      <c r="H4922" s="28"/>
      <c r="I4922" s="28"/>
      <c r="J4922" s="28"/>
      <c r="K4922" s="28"/>
      <c r="L4922" s="28"/>
      <c r="M4922" s="28"/>
      <c r="N4922" s="28"/>
      <c r="O4922" s="28"/>
      <c r="P4922" s="28"/>
      <c r="Q4922" s="28"/>
      <c r="R4922" s="28"/>
      <c r="S4922" s="28"/>
    </row>
    <row r="4923" spans="1:19" x14ac:dyDescent="0.25">
      <c r="A4923" s="28"/>
      <c r="B4923" s="28"/>
      <c r="C4923" s="28"/>
      <c r="D4923" s="28"/>
      <c r="E4923" s="28"/>
      <c r="F4923" s="28"/>
      <c r="G4923" s="28"/>
      <c r="H4923" s="28"/>
      <c r="I4923" s="28"/>
      <c r="J4923" s="28"/>
      <c r="K4923" s="28"/>
      <c r="L4923" s="28"/>
      <c r="M4923" s="28"/>
      <c r="N4923" s="28"/>
      <c r="O4923" s="28"/>
      <c r="P4923" s="28"/>
      <c r="Q4923" s="28"/>
      <c r="R4923" s="28"/>
      <c r="S4923" s="28"/>
    </row>
    <row r="4924" spans="1:19" x14ac:dyDescent="0.25">
      <c r="A4924" s="28"/>
      <c r="B4924" s="28"/>
      <c r="C4924" s="28"/>
      <c r="D4924" s="28"/>
      <c r="E4924" s="28"/>
      <c r="F4924" s="28"/>
      <c r="G4924" s="28"/>
      <c r="H4924" s="28"/>
      <c r="I4924" s="28"/>
      <c r="J4924" s="28"/>
      <c r="K4924" s="28"/>
      <c r="L4924" s="28"/>
      <c r="M4924" s="28"/>
      <c r="N4924" s="28"/>
      <c r="O4924" s="28"/>
      <c r="P4924" s="28"/>
      <c r="Q4924" s="28"/>
      <c r="R4924" s="28"/>
      <c r="S4924" s="28"/>
    </row>
    <row r="4925" spans="1:19" x14ac:dyDescent="0.25">
      <c r="A4925" s="28"/>
      <c r="B4925" s="28"/>
      <c r="C4925" s="28"/>
      <c r="D4925" s="28"/>
      <c r="E4925" s="28"/>
      <c r="F4925" s="28"/>
      <c r="G4925" s="28"/>
      <c r="H4925" s="28"/>
      <c r="I4925" s="28"/>
      <c r="J4925" s="28"/>
      <c r="K4925" s="28"/>
      <c r="L4925" s="28"/>
      <c r="M4925" s="28"/>
      <c r="N4925" s="28"/>
      <c r="O4925" s="28"/>
      <c r="P4925" s="28"/>
      <c r="Q4925" s="28"/>
      <c r="R4925" s="28"/>
      <c r="S4925" s="28"/>
    </row>
    <row r="4926" spans="1:19" x14ac:dyDescent="0.25">
      <c r="A4926" s="28"/>
      <c r="B4926" s="28"/>
      <c r="C4926" s="28"/>
      <c r="D4926" s="28"/>
      <c r="E4926" s="28"/>
      <c r="F4926" s="28"/>
      <c r="G4926" s="28"/>
      <c r="H4926" s="28"/>
      <c r="I4926" s="28"/>
      <c r="J4926" s="28"/>
      <c r="K4926" s="28"/>
      <c r="L4926" s="28"/>
      <c r="M4926" s="28"/>
      <c r="N4926" s="28"/>
      <c r="O4926" s="28"/>
      <c r="P4926" s="28"/>
      <c r="Q4926" s="28"/>
      <c r="R4926" s="28"/>
      <c r="S4926" s="28"/>
    </row>
    <row r="4927" spans="1:19" x14ac:dyDescent="0.25">
      <c r="A4927" s="28"/>
      <c r="B4927" s="28"/>
      <c r="C4927" s="28"/>
      <c r="D4927" s="28"/>
      <c r="E4927" s="28"/>
      <c r="F4927" s="28"/>
      <c r="G4927" s="28"/>
      <c r="H4927" s="28"/>
      <c r="I4927" s="28"/>
      <c r="J4927" s="28"/>
      <c r="K4927" s="28"/>
      <c r="L4927" s="28"/>
      <c r="M4927" s="28"/>
      <c r="N4927" s="28"/>
      <c r="O4927" s="28"/>
      <c r="P4927" s="28"/>
      <c r="Q4927" s="28"/>
      <c r="R4927" s="28"/>
      <c r="S4927" s="28"/>
    </row>
    <row r="4928" spans="1:19" x14ac:dyDescent="0.25">
      <c r="A4928" s="28"/>
      <c r="B4928" s="28"/>
      <c r="C4928" s="28"/>
      <c r="D4928" s="28"/>
      <c r="E4928" s="28"/>
      <c r="F4928" s="28"/>
      <c r="G4928" s="28"/>
      <c r="H4928" s="28"/>
      <c r="I4928" s="28"/>
      <c r="J4928" s="28"/>
      <c r="K4928" s="28"/>
      <c r="L4928" s="28"/>
      <c r="M4928" s="28"/>
      <c r="N4928" s="28"/>
      <c r="O4928" s="28"/>
      <c r="P4928" s="28"/>
      <c r="Q4928" s="28"/>
      <c r="R4928" s="28"/>
      <c r="S4928" s="28"/>
    </row>
    <row r="4929" spans="1:19" x14ac:dyDescent="0.25">
      <c r="A4929" s="28"/>
      <c r="B4929" s="28"/>
      <c r="C4929" s="28"/>
      <c r="D4929" s="28"/>
      <c r="E4929" s="28"/>
      <c r="F4929" s="28"/>
      <c r="G4929" s="28"/>
      <c r="H4929" s="28"/>
      <c r="I4929" s="28"/>
      <c r="J4929" s="28"/>
      <c r="K4929" s="28"/>
      <c r="L4929" s="28"/>
      <c r="M4929" s="28"/>
      <c r="N4929" s="28"/>
      <c r="O4929" s="28"/>
      <c r="P4929" s="28"/>
      <c r="Q4929" s="28"/>
      <c r="R4929" s="28"/>
      <c r="S4929" s="28"/>
    </row>
    <row r="4930" spans="1:19" x14ac:dyDescent="0.25">
      <c r="A4930" s="28"/>
      <c r="B4930" s="28"/>
      <c r="C4930" s="28"/>
      <c r="D4930" s="28"/>
      <c r="E4930" s="28"/>
      <c r="F4930" s="28"/>
      <c r="G4930" s="28"/>
      <c r="H4930" s="28"/>
      <c r="I4930" s="28"/>
      <c r="J4930" s="28"/>
      <c r="K4930" s="28"/>
      <c r="L4930" s="28"/>
      <c r="M4930" s="28"/>
      <c r="N4930" s="28"/>
      <c r="O4930" s="28"/>
      <c r="P4930" s="28"/>
      <c r="Q4930" s="28"/>
      <c r="R4930" s="28"/>
      <c r="S4930" s="28"/>
    </row>
    <row r="4931" spans="1:19" x14ac:dyDescent="0.25">
      <c r="A4931" s="28"/>
      <c r="B4931" s="28"/>
      <c r="C4931" s="28"/>
      <c r="D4931" s="28"/>
      <c r="E4931" s="28"/>
      <c r="F4931" s="28"/>
      <c r="G4931" s="28"/>
      <c r="H4931" s="28"/>
      <c r="I4931" s="28"/>
      <c r="J4931" s="28"/>
      <c r="K4931" s="28"/>
      <c r="L4931" s="28"/>
      <c r="M4931" s="28"/>
      <c r="N4931" s="28"/>
      <c r="O4931" s="28"/>
      <c r="P4931" s="28"/>
      <c r="Q4931" s="28"/>
      <c r="R4931" s="28"/>
      <c r="S4931" s="28"/>
    </row>
    <row r="4932" spans="1:19" x14ac:dyDescent="0.25">
      <c r="A4932" s="28"/>
      <c r="B4932" s="28"/>
      <c r="C4932" s="28"/>
      <c r="D4932" s="28"/>
      <c r="E4932" s="28"/>
      <c r="F4932" s="28"/>
      <c r="G4932" s="28"/>
      <c r="H4932" s="28"/>
      <c r="I4932" s="28"/>
      <c r="J4932" s="28"/>
      <c r="K4932" s="28"/>
      <c r="L4932" s="28"/>
      <c r="M4932" s="28"/>
      <c r="N4932" s="28"/>
      <c r="O4932" s="28"/>
      <c r="P4932" s="28"/>
      <c r="Q4932" s="28"/>
      <c r="R4932" s="28"/>
      <c r="S4932" s="28"/>
    </row>
    <row r="4933" spans="1:19" x14ac:dyDescent="0.25">
      <c r="A4933" s="28"/>
      <c r="B4933" s="28"/>
      <c r="C4933" s="28"/>
      <c r="D4933" s="28"/>
      <c r="E4933" s="28"/>
      <c r="F4933" s="28"/>
      <c r="G4933" s="28"/>
      <c r="H4933" s="28"/>
      <c r="I4933" s="28"/>
      <c r="J4933" s="28"/>
      <c r="K4933" s="28"/>
      <c r="L4933" s="28"/>
      <c r="M4933" s="28"/>
      <c r="N4933" s="28"/>
      <c r="O4933" s="28"/>
      <c r="P4933" s="28"/>
      <c r="Q4933" s="28"/>
      <c r="R4933" s="28"/>
      <c r="S4933" s="28"/>
    </row>
    <row r="4934" spans="1:19" x14ac:dyDescent="0.25">
      <c r="A4934" s="28"/>
      <c r="B4934" s="28"/>
      <c r="C4934" s="28"/>
      <c r="D4934" s="28"/>
      <c r="E4934" s="28"/>
      <c r="F4934" s="28"/>
      <c r="G4934" s="28"/>
      <c r="H4934" s="28"/>
      <c r="I4934" s="28"/>
      <c r="J4934" s="28"/>
      <c r="K4934" s="28"/>
      <c r="L4934" s="28"/>
      <c r="M4934" s="28"/>
      <c r="N4934" s="28"/>
      <c r="O4934" s="28"/>
      <c r="P4934" s="28"/>
      <c r="Q4934" s="28"/>
      <c r="R4934" s="28"/>
      <c r="S4934" s="28"/>
    </row>
    <row r="4935" spans="1:19" x14ac:dyDescent="0.25">
      <c r="A4935" s="28"/>
      <c r="B4935" s="28"/>
      <c r="C4935" s="28"/>
      <c r="D4935" s="28"/>
      <c r="E4935" s="28"/>
      <c r="F4935" s="28"/>
      <c r="G4935" s="28"/>
      <c r="H4935" s="28"/>
      <c r="I4935" s="28"/>
      <c r="J4935" s="28"/>
      <c r="K4935" s="28"/>
      <c r="L4935" s="28"/>
      <c r="M4935" s="28"/>
      <c r="N4935" s="28"/>
      <c r="O4935" s="28"/>
      <c r="P4935" s="28"/>
      <c r="Q4935" s="28"/>
      <c r="R4935" s="28"/>
      <c r="S4935" s="28"/>
    </row>
    <row r="4936" spans="1:19" x14ac:dyDescent="0.25">
      <c r="A4936" s="28"/>
      <c r="B4936" s="28"/>
      <c r="C4936" s="28"/>
      <c r="D4936" s="28"/>
      <c r="E4936" s="28"/>
      <c r="F4936" s="28"/>
      <c r="G4936" s="28"/>
      <c r="H4936" s="28"/>
      <c r="I4936" s="28"/>
      <c r="J4936" s="28"/>
      <c r="K4936" s="28"/>
      <c r="L4936" s="28"/>
      <c r="M4936" s="28"/>
      <c r="N4936" s="28"/>
      <c r="O4936" s="28"/>
      <c r="P4936" s="28"/>
      <c r="Q4936" s="28"/>
      <c r="R4936" s="28"/>
      <c r="S4936" s="28"/>
    </row>
    <row r="4937" spans="1:19" x14ac:dyDescent="0.25">
      <c r="A4937" s="28"/>
      <c r="B4937" s="28"/>
      <c r="C4937" s="28"/>
      <c r="D4937" s="28"/>
      <c r="E4937" s="28"/>
      <c r="F4937" s="28"/>
      <c r="G4937" s="28"/>
      <c r="H4937" s="28"/>
      <c r="I4937" s="28"/>
      <c r="J4937" s="28"/>
      <c r="K4937" s="28"/>
      <c r="L4937" s="28"/>
      <c r="M4937" s="28"/>
      <c r="N4937" s="28"/>
      <c r="O4937" s="28"/>
      <c r="P4937" s="28"/>
      <c r="Q4937" s="28"/>
      <c r="R4937" s="28"/>
      <c r="S4937" s="28"/>
    </row>
    <row r="4938" spans="1:19" x14ac:dyDescent="0.25">
      <c r="A4938" s="28"/>
      <c r="B4938" s="28"/>
      <c r="C4938" s="28"/>
      <c r="D4938" s="28"/>
      <c r="E4938" s="28"/>
      <c r="F4938" s="28"/>
      <c r="G4938" s="28"/>
      <c r="H4938" s="28"/>
      <c r="I4938" s="28"/>
      <c r="J4938" s="28"/>
      <c r="K4938" s="28"/>
      <c r="L4938" s="28"/>
      <c r="M4938" s="28"/>
      <c r="N4938" s="28"/>
      <c r="O4938" s="28"/>
      <c r="P4938" s="28"/>
      <c r="Q4938" s="28"/>
      <c r="R4938" s="28"/>
      <c r="S4938" s="28"/>
    </row>
    <row r="4939" spans="1:19" x14ac:dyDescent="0.25">
      <c r="A4939" s="28"/>
      <c r="B4939" s="28"/>
      <c r="C4939" s="28"/>
      <c r="D4939" s="28"/>
      <c r="E4939" s="28"/>
      <c r="F4939" s="28"/>
      <c r="G4939" s="28"/>
      <c r="H4939" s="28"/>
      <c r="I4939" s="28"/>
      <c r="J4939" s="28"/>
      <c r="K4939" s="28"/>
      <c r="L4939" s="28"/>
      <c r="M4939" s="28"/>
      <c r="N4939" s="28"/>
      <c r="O4939" s="28"/>
      <c r="P4939" s="28"/>
      <c r="Q4939" s="28"/>
      <c r="R4939" s="28"/>
      <c r="S4939" s="28"/>
    </row>
    <row r="4940" spans="1:19" x14ac:dyDescent="0.25">
      <c r="A4940" s="28"/>
      <c r="B4940" s="28"/>
      <c r="C4940" s="28"/>
      <c r="D4940" s="28"/>
      <c r="E4940" s="28"/>
      <c r="F4940" s="28"/>
      <c r="G4940" s="28"/>
      <c r="H4940" s="28"/>
      <c r="I4940" s="28"/>
      <c r="J4940" s="28"/>
      <c r="K4940" s="28"/>
      <c r="L4940" s="28"/>
      <c r="M4940" s="28"/>
      <c r="N4940" s="28"/>
      <c r="O4940" s="28"/>
      <c r="P4940" s="28"/>
      <c r="Q4940" s="28"/>
      <c r="R4940" s="28"/>
      <c r="S4940" s="28"/>
    </row>
    <row r="4941" spans="1:19" x14ac:dyDescent="0.25">
      <c r="A4941" s="28"/>
      <c r="B4941" s="28"/>
      <c r="C4941" s="28"/>
      <c r="D4941" s="28"/>
      <c r="E4941" s="28"/>
      <c r="F4941" s="28"/>
      <c r="G4941" s="28"/>
      <c r="H4941" s="28"/>
      <c r="I4941" s="28"/>
      <c r="J4941" s="28"/>
      <c r="K4941" s="28"/>
      <c r="L4941" s="28"/>
      <c r="M4941" s="28"/>
      <c r="N4941" s="28"/>
      <c r="O4941" s="28"/>
      <c r="P4941" s="28"/>
      <c r="Q4941" s="28"/>
      <c r="R4941" s="28"/>
      <c r="S4941" s="28"/>
    </row>
    <row r="4942" spans="1:19" x14ac:dyDescent="0.25">
      <c r="A4942" s="28"/>
      <c r="B4942" s="28"/>
      <c r="C4942" s="28"/>
      <c r="D4942" s="28"/>
      <c r="E4942" s="28"/>
      <c r="F4942" s="28"/>
      <c r="G4942" s="28"/>
      <c r="H4942" s="28"/>
      <c r="I4942" s="28"/>
      <c r="J4942" s="28"/>
      <c r="K4942" s="28"/>
      <c r="L4942" s="28"/>
      <c r="M4942" s="28"/>
      <c r="N4942" s="28"/>
      <c r="O4942" s="28"/>
      <c r="P4942" s="28"/>
      <c r="Q4942" s="28"/>
      <c r="R4942" s="28"/>
      <c r="S4942" s="28"/>
    </row>
    <row r="4943" spans="1:19" x14ac:dyDescent="0.25">
      <c r="A4943" s="28"/>
      <c r="B4943" s="28"/>
      <c r="C4943" s="28"/>
      <c r="D4943" s="28"/>
      <c r="E4943" s="28"/>
      <c r="F4943" s="28"/>
      <c r="G4943" s="28"/>
      <c r="H4943" s="28"/>
      <c r="I4943" s="28"/>
      <c r="J4943" s="28"/>
      <c r="K4943" s="28"/>
      <c r="L4943" s="28"/>
      <c r="M4943" s="28"/>
      <c r="N4943" s="28"/>
      <c r="O4943" s="28"/>
      <c r="P4943" s="28"/>
      <c r="Q4943" s="28"/>
      <c r="R4943" s="28"/>
      <c r="S4943" s="28"/>
    </row>
    <row r="4944" spans="1:19" x14ac:dyDescent="0.25">
      <c r="A4944" s="28"/>
      <c r="B4944" s="28"/>
      <c r="C4944" s="28"/>
      <c r="D4944" s="28"/>
      <c r="E4944" s="28"/>
      <c r="F4944" s="28"/>
      <c r="G4944" s="28"/>
      <c r="H4944" s="28"/>
      <c r="I4944" s="28"/>
      <c r="J4944" s="28"/>
      <c r="K4944" s="28"/>
      <c r="L4944" s="28"/>
      <c r="M4944" s="28"/>
      <c r="N4944" s="28"/>
      <c r="O4944" s="28"/>
      <c r="P4944" s="28"/>
      <c r="Q4944" s="28"/>
      <c r="R4944" s="28"/>
      <c r="S4944" s="28"/>
    </row>
    <row r="4945" spans="1:19" x14ac:dyDescent="0.25">
      <c r="A4945" s="28"/>
      <c r="B4945" s="28"/>
      <c r="C4945" s="28"/>
      <c r="D4945" s="28"/>
      <c r="E4945" s="28"/>
      <c r="F4945" s="28"/>
      <c r="G4945" s="28"/>
      <c r="H4945" s="28"/>
      <c r="I4945" s="28"/>
      <c r="J4945" s="28"/>
      <c r="K4945" s="28"/>
      <c r="L4945" s="28"/>
      <c r="M4945" s="28"/>
      <c r="N4945" s="28"/>
      <c r="O4945" s="28"/>
      <c r="P4945" s="28"/>
      <c r="Q4945" s="28"/>
      <c r="R4945" s="28"/>
      <c r="S4945" s="28"/>
    </row>
    <row r="4946" spans="1:19" x14ac:dyDescent="0.25">
      <c r="A4946" s="28"/>
      <c r="B4946" s="28"/>
      <c r="C4946" s="28"/>
      <c r="D4946" s="28"/>
      <c r="E4946" s="28"/>
      <c r="F4946" s="28"/>
      <c r="G4946" s="28"/>
      <c r="H4946" s="28"/>
      <c r="I4946" s="28"/>
      <c r="J4946" s="28"/>
      <c r="K4946" s="28"/>
      <c r="L4946" s="28"/>
      <c r="M4946" s="28"/>
      <c r="N4946" s="28"/>
      <c r="O4946" s="28"/>
      <c r="P4946" s="28"/>
      <c r="Q4946" s="28"/>
      <c r="R4946" s="28"/>
      <c r="S4946" s="28"/>
    </row>
    <row r="4947" spans="1:19" x14ac:dyDescent="0.25">
      <c r="A4947" s="28"/>
      <c r="B4947" s="28"/>
      <c r="C4947" s="28"/>
      <c r="D4947" s="28"/>
      <c r="E4947" s="28"/>
      <c r="F4947" s="28"/>
      <c r="G4947" s="28"/>
      <c r="H4947" s="28"/>
      <c r="I4947" s="28"/>
      <c r="J4947" s="28"/>
      <c r="K4947" s="28"/>
      <c r="L4947" s="28"/>
      <c r="M4947" s="28"/>
      <c r="N4947" s="28"/>
      <c r="O4947" s="28"/>
      <c r="P4947" s="28"/>
      <c r="Q4947" s="28"/>
      <c r="R4947" s="28"/>
      <c r="S4947" s="28"/>
    </row>
    <row r="4948" spans="1:19" x14ac:dyDescent="0.25">
      <c r="A4948" s="28"/>
      <c r="B4948" s="28"/>
      <c r="C4948" s="28"/>
      <c r="D4948" s="28"/>
      <c r="E4948" s="28"/>
      <c r="F4948" s="28"/>
      <c r="G4948" s="28"/>
      <c r="H4948" s="28"/>
      <c r="I4948" s="28"/>
      <c r="J4948" s="28"/>
      <c r="K4948" s="28"/>
      <c r="L4948" s="28"/>
      <c r="M4948" s="28"/>
      <c r="N4948" s="28"/>
      <c r="O4948" s="28"/>
      <c r="P4948" s="28"/>
      <c r="Q4948" s="28"/>
      <c r="R4948" s="28"/>
      <c r="S4948" s="28"/>
    </row>
    <row r="4949" spans="1:19" x14ac:dyDescent="0.25">
      <c r="A4949" s="28"/>
      <c r="B4949" s="28"/>
      <c r="C4949" s="28"/>
      <c r="D4949" s="28"/>
      <c r="E4949" s="28"/>
      <c r="F4949" s="28"/>
      <c r="G4949" s="28"/>
      <c r="H4949" s="28"/>
      <c r="I4949" s="28"/>
      <c r="J4949" s="28"/>
      <c r="K4949" s="28"/>
      <c r="L4949" s="28"/>
      <c r="M4949" s="28"/>
      <c r="N4949" s="28"/>
      <c r="O4949" s="28"/>
      <c r="P4949" s="28"/>
      <c r="Q4949" s="28"/>
      <c r="R4949" s="28"/>
      <c r="S4949" s="28"/>
    </row>
    <row r="4950" spans="1:19" x14ac:dyDescent="0.25">
      <c r="A4950" s="28"/>
      <c r="B4950" s="28"/>
      <c r="C4950" s="28"/>
      <c r="D4950" s="28"/>
      <c r="E4950" s="28"/>
      <c r="F4950" s="28"/>
      <c r="G4950" s="28"/>
      <c r="H4950" s="28"/>
      <c r="I4950" s="28"/>
      <c r="J4950" s="28"/>
      <c r="K4950" s="28"/>
      <c r="L4950" s="28"/>
      <c r="M4950" s="28"/>
      <c r="N4950" s="28"/>
      <c r="O4950" s="28"/>
      <c r="P4950" s="28"/>
      <c r="Q4950" s="28"/>
      <c r="R4950" s="28"/>
      <c r="S4950" s="28"/>
    </row>
    <row r="4951" spans="1:19" x14ac:dyDescent="0.25">
      <c r="A4951" s="28"/>
      <c r="B4951" s="28"/>
      <c r="C4951" s="28"/>
      <c r="D4951" s="28"/>
      <c r="E4951" s="28"/>
      <c r="F4951" s="28"/>
      <c r="G4951" s="28"/>
      <c r="H4951" s="28"/>
      <c r="I4951" s="28"/>
      <c r="J4951" s="28"/>
      <c r="K4951" s="28"/>
      <c r="L4951" s="28"/>
      <c r="M4951" s="28"/>
      <c r="N4951" s="28"/>
      <c r="O4951" s="28"/>
      <c r="P4951" s="28"/>
      <c r="Q4951" s="28"/>
      <c r="R4951" s="28"/>
      <c r="S4951" s="28"/>
    </row>
    <row r="4952" spans="1:19" x14ac:dyDescent="0.25">
      <c r="A4952" s="28"/>
      <c r="B4952" s="28"/>
      <c r="C4952" s="28"/>
      <c r="D4952" s="28"/>
      <c r="E4952" s="28"/>
      <c r="F4952" s="28"/>
      <c r="G4952" s="28"/>
      <c r="H4952" s="28"/>
      <c r="I4952" s="28"/>
      <c r="J4952" s="28"/>
      <c r="K4952" s="28"/>
      <c r="L4952" s="28"/>
      <c r="M4952" s="28"/>
      <c r="N4952" s="28"/>
      <c r="O4952" s="28"/>
      <c r="P4952" s="28"/>
      <c r="Q4952" s="28"/>
      <c r="R4952" s="28"/>
      <c r="S4952" s="28"/>
    </row>
    <row r="4953" spans="1:19" x14ac:dyDescent="0.25">
      <c r="A4953" s="28"/>
      <c r="B4953" s="28"/>
      <c r="C4953" s="28"/>
      <c r="D4953" s="28"/>
      <c r="E4953" s="28"/>
      <c r="F4953" s="28"/>
      <c r="G4953" s="28"/>
      <c r="H4953" s="28"/>
      <c r="I4953" s="28"/>
      <c r="J4953" s="28"/>
      <c r="K4953" s="28"/>
      <c r="L4953" s="28"/>
      <c r="M4953" s="28"/>
      <c r="N4953" s="28"/>
      <c r="O4953" s="28"/>
      <c r="P4953" s="28"/>
      <c r="Q4953" s="28"/>
      <c r="R4953" s="28"/>
      <c r="S4953" s="28"/>
    </row>
    <row r="4954" spans="1:19" x14ac:dyDescent="0.25">
      <c r="A4954" s="28"/>
      <c r="B4954" s="28"/>
      <c r="C4954" s="28"/>
      <c r="D4954" s="28"/>
      <c r="E4954" s="28"/>
      <c r="F4954" s="28"/>
      <c r="G4954" s="28"/>
      <c r="H4954" s="28"/>
      <c r="I4954" s="28"/>
      <c r="J4954" s="28"/>
      <c r="K4954" s="28"/>
      <c r="L4954" s="28"/>
      <c r="M4954" s="28"/>
      <c r="N4954" s="28"/>
      <c r="O4954" s="28"/>
      <c r="P4954" s="28"/>
      <c r="Q4954" s="28"/>
      <c r="R4954" s="28"/>
      <c r="S4954" s="28"/>
    </row>
    <row r="4955" spans="1:19" x14ac:dyDescent="0.25">
      <c r="A4955" s="28"/>
      <c r="B4955" s="28"/>
      <c r="C4955" s="28"/>
      <c r="D4955" s="28"/>
      <c r="E4955" s="28"/>
      <c r="F4955" s="28"/>
      <c r="G4955" s="28"/>
      <c r="H4955" s="28"/>
      <c r="I4955" s="28"/>
      <c r="J4955" s="28"/>
      <c r="K4955" s="28"/>
      <c r="L4955" s="28"/>
      <c r="M4955" s="28"/>
      <c r="N4955" s="28"/>
      <c r="O4955" s="28"/>
      <c r="P4955" s="28"/>
      <c r="Q4955" s="28"/>
      <c r="R4955" s="28"/>
      <c r="S4955" s="28"/>
    </row>
    <row r="4956" spans="1:19" x14ac:dyDescent="0.25">
      <c r="A4956" s="28"/>
      <c r="B4956" s="28"/>
      <c r="C4956" s="28"/>
      <c r="D4956" s="28"/>
      <c r="E4956" s="28"/>
      <c r="F4956" s="28"/>
      <c r="G4956" s="28"/>
      <c r="H4956" s="28"/>
      <c r="I4956" s="28"/>
      <c r="J4956" s="28"/>
      <c r="K4956" s="28"/>
      <c r="L4956" s="28"/>
      <c r="M4956" s="28"/>
      <c r="N4956" s="28"/>
      <c r="O4956" s="28"/>
      <c r="P4956" s="28"/>
      <c r="Q4956" s="28"/>
      <c r="R4956" s="28"/>
      <c r="S4956" s="28"/>
    </row>
    <row r="4957" spans="1:19" x14ac:dyDescent="0.25">
      <c r="A4957" s="28"/>
      <c r="B4957" s="28"/>
      <c r="C4957" s="28"/>
      <c r="D4957" s="28"/>
      <c r="E4957" s="28"/>
      <c r="F4957" s="28"/>
      <c r="G4957" s="28"/>
      <c r="H4957" s="28"/>
      <c r="I4957" s="28"/>
      <c r="J4957" s="28"/>
      <c r="K4957" s="28"/>
      <c r="L4957" s="28"/>
      <c r="M4957" s="28"/>
      <c r="N4957" s="28"/>
      <c r="O4957" s="28"/>
      <c r="P4957" s="28"/>
      <c r="Q4957" s="28"/>
      <c r="R4957" s="28"/>
      <c r="S4957" s="28"/>
    </row>
    <row r="4958" spans="1:19" x14ac:dyDescent="0.25">
      <c r="A4958" s="28"/>
      <c r="B4958" s="28"/>
      <c r="C4958" s="28"/>
      <c r="D4958" s="28"/>
      <c r="E4958" s="28"/>
      <c r="F4958" s="28"/>
      <c r="G4958" s="28"/>
      <c r="H4958" s="28"/>
      <c r="I4958" s="28"/>
      <c r="J4958" s="28"/>
      <c r="K4958" s="28"/>
      <c r="L4958" s="28"/>
      <c r="M4958" s="28"/>
      <c r="N4958" s="28"/>
      <c r="O4958" s="28"/>
      <c r="P4958" s="28"/>
      <c r="Q4958" s="28"/>
      <c r="R4958" s="28"/>
      <c r="S4958" s="28"/>
    </row>
    <row r="4959" spans="1:19" x14ac:dyDescent="0.25">
      <c r="A4959" s="28"/>
      <c r="B4959" s="28"/>
      <c r="C4959" s="28"/>
      <c r="D4959" s="28"/>
      <c r="E4959" s="28"/>
      <c r="F4959" s="28"/>
      <c r="G4959" s="28"/>
      <c r="H4959" s="28"/>
      <c r="I4959" s="28"/>
      <c r="J4959" s="28"/>
      <c r="K4959" s="28"/>
      <c r="L4959" s="28"/>
      <c r="M4959" s="28"/>
      <c r="N4959" s="28"/>
      <c r="O4959" s="28"/>
      <c r="P4959" s="28"/>
      <c r="Q4959" s="28"/>
      <c r="R4959" s="28"/>
      <c r="S4959" s="28"/>
    </row>
    <row r="4960" spans="1:19" x14ac:dyDescent="0.25">
      <c r="A4960" s="28"/>
      <c r="B4960" s="28"/>
      <c r="C4960" s="28"/>
      <c r="D4960" s="28"/>
      <c r="E4960" s="28"/>
      <c r="F4960" s="28"/>
      <c r="G4960" s="28"/>
      <c r="H4960" s="28"/>
      <c r="I4960" s="28"/>
      <c r="J4960" s="28"/>
      <c r="K4960" s="28"/>
      <c r="L4960" s="28"/>
      <c r="M4960" s="28"/>
      <c r="N4960" s="28"/>
      <c r="O4960" s="28"/>
      <c r="P4960" s="28"/>
      <c r="Q4960" s="28"/>
      <c r="R4960" s="28"/>
      <c r="S4960" s="28"/>
    </row>
    <row r="4961" spans="1:19" x14ac:dyDescent="0.25">
      <c r="A4961" s="28"/>
      <c r="B4961" s="28"/>
      <c r="C4961" s="28"/>
      <c r="D4961" s="28"/>
      <c r="E4961" s="28"/>
      <c r="F4961" s="28"/>
      <c r="G4961" s="28"/>
      <c r="H4961" s="28"/>
      <c r="I4961" s="28"/>
      <c r="J4961" s="28"/>
      <c r="K4961" s="28"/>
      <c r="L4961" s="28"/>
      <c r="M4961" s="28"/>
      <c r="N4961" s="28"/>
      <c r="O4961" s="28"/>
      <c r="P4961" s="28"/>
      <c r="Q4961" s="28"/>
      <c r="R4961" s="28"/>
      <c r="S4961" s="28"/>
    </row>
    <row r="4962" spans="1:19" x14ac:dyDescent="0.25">
      <c r="A4962" s="28"/>
      <c r="B4962" s="28"/>
      <c r="C4962" s="28"/>
      <c r="D4962" s="28"/>
      <c r="E4962" s="28"/>
      <c r="F4962" s="28"/>
      <c r="G4962" s="28"/>
      <c r="H4962" s="28"/>
      <c r="I4962" s="28"/>
      <c r="J4962" s="28"/>
      <c r="K4962" s="28"/>
      <c r="L4962" s="28"/>
      <c r="M4962" s="28"/>
      <c r="N4962" s="28"/>
      <c r="O4962" s="28"/>
      <c r="P4962" s="28"/>
      <c r="Q4962" s="28"/>
      <c r="R4962" s="28"/>
      <c r="S4962" s="28"/>
    </row>
    <row r="4963" spans="1:19" x14ac:dyDescent="0.25">
      <c r="A4963" s="28"/>
      <c r="B4963" s="28"/>
      <c r="C4963" s="28"/>
      <c r="D4963" s="28"/>
      <c r="E4963" s="28"/>
      <c r="F4963" s="28"/>
      <c r="G4963" s="28"/>
      <c r="H4963" s="28"/>
      <c r="I4963" s="28"/>
      <c r="J4963" s="28"/>
      <c r="K4963" s="28"/>
      <c r="L4963" s="28"/>
      <c r="M4963" s="28"/>
      <c r="N4963" s="28"/>
      <c r="O4963" s="28"/>
      <c r="P4963" s="28"/>
      <c r="Q4963" s="28"/>
      <c r="R4963" s="28"/>
      <c r="S4963" s="28"/>
    </row>
    <row r="4964" spans="1:19" x14ac:dyDescent="0.25">
      <c r="A4964" s="28"/>
      <c r="B4964" s="28"/>
      <c r="C4964" s="28"/>
      <c r="D4964" s="28"/>
      <c r="E4964" s="28"/>
      <c r="F4964" s="28"/>
      <c r="G4964" s="28"/>
      <c r="H4964" s="28"/>
      <c r="I4964" s="28"/>
      <c r="J4964" s="28"/>
      <c r="K4964" s="28"/>
      <c r="L4964" s="28"/>
      <c r="M4964" s="28"/>
      <c r="N4964" s="28"/>
      <c r="O4964" s="28"/>
      <c r="P4964" s="28"/>
      <c r="Q4964" s="28"/>
      <c r="R4964" s="28"/>
      <c r="S4964" s="28"/>
    </row>
    <row r="4965" spans="1:19" x14ac:dyDescent="0.25">
      <c r="A4965" s="28"/>
      <c r="B4965" s="28"/>
      <c r="C4965" s="28"/>
      <c r="D4965" s="28"/>
      <c r="E4965" s="28"/>
      <c r="F4965" s="28"/>
      <c r="G4965" s="28"/>
      <c r="H4965" s="28"/>
      <c r="I4965" s="28"/>
      <c r="J4965" s="28"/>
      <c r="K4965" s="28"/>
      <c r="L4965" s="28"/>
      <c r="M4965" s="28"/>
      <c r="N4965" s="28"/>
      <c r="O4965" s="28"/>
      <c r="P4965" s="28"/>
      <c r="Q4965" s="28"/>
      <c r="R4965" s="28"/>
      <c r="S4965" s="28"/>
    </row>
    <row r="4966" spans="1:19" x14ac:dyDescent="0.25">
      <c r="A4966" s="28"/>
      <c r="B4966" s="28"/>
      <c r="C4966" s="28"/>
      <c r="D4966" s="28"/>
      <c r="E4966" s="28"/>
      <c r="F4966" s="28"/>
      <c r="G4966" s="28"/>
      <c r="H4966" s="28"/>
      <c r="I4966" s="28"/>
      <c r="J4966" s="28"/>
      <c r="K4966" s="28"/>
      <c r="L4966" s="28"/>
      <c r="M4966" s="28"/>
      <c r="N4966" s="28"/>
      <c r="O4966" s="28"/>
      <c r="P4966" s="28"/>
      <c r="Q4966" s="28"/>
      <c r="R4966" s="28"/>
      <c r="S4966" s="28"/>
    </row>
    <row r="4967" spans="1:19" x14ac:dyDescent="0.25">
      <c r="A4967" s="28"/>
      <c r="B4967" s="28"/>
      <c r="C4967" s="28"/>
      <c r="D4967" s="28"/>
      <c r="E4967" s="28"/>
      <c r="F4967" s="28"/>
      <c r="G4967" s="28"/>
      <c r="H4967" s="28"/>
      <c r="I4967" s="28"/>
      <c r="J4967" s="28"/>
      <c r="K4967" s="28"/>
      <c r="L4967" s="28"/>
      <c r="M4967" s="28"/>
      <c r="N4967" s="28"/>
      <c r="O4967" s="28"/>
      <c r="P4967" s="28"/>
      <c r="Q4967" s="28"/>
      <c r="R4967" s="28"/>
      <c r="S4967" s="28"/>
    </row>
    <row r="4968" spans="1:19" x14ac:dyDescent="0.25">
      <c r="A4968" s="28"/>
      <c r="B4968" s="28"/>
      <c r="C4968" s="28"/>
      <c r="D4968" s="28"/>
      <c r="E4968" s="28"/>
      <c r="F4968" s="28"/>
      <c r="G4968" s="28"/>
      <c r="H4968" s="28"/>
      <c r="I4968" s="28"/>
      <c r="J4968" s="28"/>
      <c r="K4968" s="28"/>
      <c r="L4968" s="28"/>
      <c r="M4968" s="28"/>
      <c r="N4968" s="28"/>
      <c r="O4968" s="28"/>
      <c r="P4968" s="28"/>
      <c r="Q4968" s="28"/>
      <c r="R4968" s="28"/>
      <c r="S4968" s="28"/>
    </row>
    <row r="4969" spans="1:19" x14ac:dyDescent="0.25">
      <c r="A4969" s="28"/>
      <c r="B4969" s="28"/>
      <c r="C4969" s="28"/>
      <c r="D4969" s="28"/>
      <c r="E4969" s="28"/>
      <c r="F4969" s="28"/>
      <c r="G4969" s="28"/>
      <c r="H4969" s="28"/>
      <c r="I4969" s="28"/>
      <c r="J4969" s="28"/>
      <c r="K4969" s="28"/>
      <c r="L4969" s="28"/>
      <c r="M4969" s="28"/>
      <c r="N4969" s="28"/>
      <c r="O4969" s="28"/>
      <c r="P4969" s="28"/>
      <c r="Q4969" s="28"/>
      <c r="R4969" s="28"/>
      <c r="S4969" s="28"/>
    </row>
    <row r="4970" spans="1:19" x14ac:dyDescent="0.25">
      <c r="A4970" s="28"/>
      <c r="B4970" s="28"/>
      <c r="C4970" s="28"/>
      <c r="D4970" s="28"/>
      <c r="E4970" s="28"/>
      <c r="F4970" s="28"/>
      <c r="G4970" s="28"/>
      <c r="H4970" s="28"/>
      <c r="I4970" s="28"/>
      <c r="J4970" s="28"/>
      <c r="K4970" s="28"/>
      <c r="L4970" s="28"/>
      <c r="M4970" s="28"/>
      <c r="N4970" s="28"/>
      <c r="O4970" s="28"/>
      <c r="P4970" s="28"/>
      <c r="Q4970" s="28"/>
      <c r="R4970" s="28"/>
      <c r="S4970" s="28"/>
    </row>
    <row r="4971" spans="1:19" x14ac:dyDescent="0.25">
      <c r="A4971" s="28"/>
      <c r="B4971" s="28"/>
      <c r="C4971" s="28"/>
      <c r="D4971" s="28"/>
      <c r="E4971" s="28"/>
      <c r="F4971" s="28"/>
      <c r="G4971" s="28"/>
      <c r="H4971" s="28"/>
      <c r="I4971" s="28"/>
      <c r="J4971" s="28"/>
      <c r="K4971" s="28"/>
      <c r="L4971" s="28"/>
      <c r="M4971" s="28"/>
      <c r="N4971" s="28"/>
      <c r="O4971" s="28"/>
      <c r="P4971" s="28"/>
      <c r="Q4971" s="28"/>
      <c r="R4971" s="28"/>
      <c r="S4971" s="28"/>
    </row>
    <row r="4972" spans="1:19" x14ac:dyDescent="0.25">
      <c r="A4972" s="28"/>
      <c r="B4972" s="28"/>
      <c r="C4972" s="28"/>
      <c r="D4972" s="28"/>
      <c r="E4972" s="28"/>
      <c r="F4972" s="28"/>
      <c r="G4972" s="28"/>
      <c r="H4972" s="28"/>
      <c r="I4972" s="28"/>
      <c r="J4972" s="28"/>
      <c r="K4972" s="28"/>
      <c r="L4972" s="28"/>
      <c r="M4972" s="28"/>
      <c r="N4972" s="28"/>
      <c r="O4972" s="28"/>
      <c r="P4972" s="28"/>
      <c r="Q4972" s="28"/>
      <c r="R4972" s="28"/>
      <c r="S4972" s="28"/>
    </row>
    <row r="4973" spans="1:19" x14ac:dyDescent="0.25">
      <c r="A4973" s="28"/>
      <c r="B4973" s="28"/>
      <c r="C4973" s="28"/>
      <c r="D4973" s="28"/>
      <c r="E4973" s="28"/>
      <c r="F4973" s="28"/>
      <c r="G4973" s="28"/>
      <c r="H4973" s="28"/>
      <c r="I4973" s="28"/>
      <c r="J4973" s="28"/>
      <c r="K4973" s="28"/>
      <c r="L4973" s="28"/>
      <c r="M4973" s="28"/>
      <c r="N4973" s="28"/>
      <c r="O4973" s="28"/>
      <c r="P4973" s="28"/>
      <c r="Q4973" s="28"/>
      <c r="R4973" s="28"/>
      <c r="S4973" s="28"/>
    </row>
    <row r="4974" spans="1:19" x14ac:dyDescent="0.25">
      <c r="A4974" s="28"/>
      <c r="B4974" s="28"/>
      <c r="C4974" s="28"/>
      <c r="D4974" s="28"/>
      <c r="E4974" s="28"/>
      <c r="F4974" s="28"/>
      <c r="G4974" s="28"/>
      <c r="H4974" s="28"/>
      <c r="I4974" s="28"/>
      <c r="J4974" s="28"/>
      <c r="K4974" s="28"/>
      <c r="L4974" s="28"/>
      <c r="M4974" s="28"/>
      <c r="N4974" s="28"/>
      <c r="O4974" s="28"/>
      <c r="P4974" s="28"/>
      <c r="Q4974" s="28"/>
      <c r="R4974" s="28"/>
      <c r="S4974" s="28"/>
    </row>
    <row r="4975" spans="1:19" x14ac:dyDescent="0.25">
      <c r="A4975" s="28"/>
      <c r="B4975" s="28"/>
      <c r="C4975" s="28"/>
      <c r="D4975" s="28"/>
      <c r="E4975" s="28"/>
      <c r="F4975" s="28"/>
      <c r="G4975" s="28"/>
      <c r="H4975" s="28"/>
      <c r="I4975" s="28"/>
      <c r="J4975" s="28"/>
      <c r="K4975" s="28"/>
      <c r="L4975" s="28"/>
      <c r="M4975" s="28"/>
      <c r="N4975" s="28"/>
      <c r="O4975" s="28"/>
      <c r="P4975" s="28"/>
      <c r="Q4975" s="28"/>
      <c r="R4975" s="28"/>
      <c r="S4975" s="28"/>
    </row>
    <row r="4976" spans="1:19" x14ac:dyDescent="0.25">
      <c r="A4976" s="28"/>
      <c r="B4976" s="28"/>
      <c r="C4976" s="28"/>
      <c r="D4976" s="28"/>
      <c r="E4976" s="28"/>
      <c r="F4976" s="28"/>
      <c r="G4976" s="28"/>
      <c r="H4976" s="28"/>
      <c r="I4976" s="28"/>
      <c r="J4976" s="28"/>
      <c r="K4976" s="28"/>
      <c r="L4976" s="28"/>
      <c r="M4976" s="28"/>
      <c r="N4976" s="28"/>
      <c r="O4976" s="28"/>
      <c r="P4976" s="28"/>
      <c r="Q4976" s="28"/>
      <c r="R4976" s="28"/>
      <c r="S4976" s="28"/>
    </row>
    <row r="4977" spans="1:19" x14ac:dyDescent="0.25">
      <c r="A4977" s="28"/>
      <c r="B4977" s="28"/>
      <c r="C4977" s="28"/>
      <c r="D4977" s="28"/>
      <c r="E4977" s="28"/>
      <c r="F4977" s="28"/>
      <c r="G4977" s="28"/>
      <c r="H4977" s="28"/>
      <c r="I4977" s="28"/>
      <c r="J4977" s="28"/>
      <c r="K4977" s="28"/>
      <c r="L4977" s="28"/>
      <c r="M4977" s="28"/>
      <c r="N4977" s="28"/>
      <c r="O4977" s="28"/>
      <c r="P4977" s="28"/>
      <c r="Q4977" s="28"/>
      <c r="R4977" s="28"/>
      <c r="S4977" s="28"/>
    </row>
    <row r="4978" spans="1:19" x14ac:dyDescent="0.25">
      <c r="A4978" s="28"/>
      <c r="B4978" s="28"/>
      <c r="C4978" s="28"/>
      <c r="D4978" s="28"/>
      <c r="E4978" s="28"/>
      <c r="F4978" s="28"/>
      <c r="G4978" s="28"/>
      <c r="H4978" s="28"/>
      <c r="I4978" s="28"/>
      <c r="J4978" s="28"/>
      <c r="K4978" s="28"/>
      <c r="L4978" s="28"/>
      <c r="M4978" s="28"/>
      <c r="N4978" s="28"/>
      <c r="O4978" s="28"/>
      <c r="P4978" s="28"/>
      <c r="Q4978" s="28"/>
      <c r="R4978" s="28"/>
      <c r="S4978" s="28"/>
    </row>
    <row r="4979" spans="1:19" x14ac:dyDescent="0.25">
      <c r="A4979" s="28"/>
      <c r="B4979" s="28"/>
      <c r="C4979" s="28"/>
      <c r="D4979" s="28"/>
      <c r="E4979" s="28"/>
      <c r="F4979" s="28"/>
      <c r="G4979" s="28"/>
      <c r="H4979" s="28"/>
      <c r="I4979" s="28"/>
      <c r="J4979" s="28"/>
      <c r="K4979" s="28"/>
      <c r="L4979" s="28"/>
      <c r="M4979" s="28"/>
      <c r="N4979" s="28"/>
      <c r="O4979" s="28"/>
      <c r="P4979" s="28"/>
      <c r="Q4979" s="28"/>
      <c r="R4979" s="28"/>
      <c r="S4979" s="28"/>
    </row>
    <row r="4980" spans="1:19" x14ac:dyDescent="0.25">
      <c r="A4980" s="28"/>
      <c r="B4980" s="28"/>
      <c r="C4980" s="28"/>
      <c r="D4980" s="28"/>
      <c r="E4980" s="28"/>
      <c r="F4980" s="28"/>
      <c r="G4980" s="28"/>
      <c r="H4980" s="28"/>
      <c r="I4980" s="28"/>
      <c r="J4980" s="28"/>
      <c r="K4980" s="28"/>
      <c r="L4980" s="28"/>
      <c r="M4980" s="28"/>
      <c r="N4980" s="28"/>
      <c r="O4980" s="28"/>
      <c r="P4980" s="28"/>
      <c r="Q4980" s="28"/>
      <c r="R4980" s="28"/>
      <c r="S4980" s="28"/>
    </row>
    <row r="4981" spans="1:19" x14ac:dyDescent="0.25">
      <c r="A4981" s="28"/>
      <c r="B4981" s="28"/>
      <c r="C4981" s="28"/>
      <c r="D4981" s="28"/>
      <c r="E4981" s="28"/>
      <c r="F4981" s="28"/>
      <c r="G4981" s="28"/>
      <c r="H4981" s="28"/>
      <c r="I4981" s="28"/>
      <c r="J4981" s="28"/>
      <c r="K4981" s="28"/>
      <c r="L4981" s="28"/>
      <c r="M4981" s="28"/>
      <c r="N4981" s="28"/>
      <c r="O4981" s="28"/>
      <c r="P4981" s="28"/>
      <c r="Q4981" s="28"/>
      <c r="R4981" s="28"/>
      <c r="S4981" s="28"/>
    </row>
    <row r="4982" spans="1:19" x14ac:dyDescent="0.25">
      <c r="A4982" s="28"/>
      <c r="B4982" s="28"/>
      <c r="C4982" s="28"/>
      <c r="D4982" s="28"/>
      <c r="E4982" s="28"/>
      <c r="F4982" s="28"/>
      <c r="G4982" s="28"/>
      <c r="H4982" s="28"/>
      <c r="I4982" s="28"/>
      <c r="J4982" s="28"/>
      <c r="K4982" s="28"/>
      <c r="L4982" s="28"/>
      <c r="M4982" s="28"/>
      <c r="N4982" s="28"/>
      <c r="O4982" s="28"/>
      <c r="P4982" s="28"/>
      <c r="Q4982" s="28"/>
      <c r="R4982" s="28"/>
      <c r="S4982" s="28"/>
    </row>
    <row r="4983" spans="1:19" x14ac:dyDescent="0.25">
      <c r="A4983" s="28"/>
      <c r="B4983" s="28"/>
      <c r="C4983" s="28"/>
      <c r="D4983" s="28"/>
      <c r="E4983" s="28"/>
      <c r="F4983" s="28"/>
      <c r="G4983" s="28"/>
      <c r="H4983" s="28"/>
      <c r="I4983" s="28"/>
      <c r="J4983" s="28"/>
      <c r="K4983" s="28"/>
      <c r="L4983" s="28"/>
      <c r="M4983" s="28"/>
      <c r="N4983" s="28"/>
      <c r="O4983" s="28"/>
      <c r="P4983" s="28"/>
      <c r="Q4983" s="28"/>
      <c r="R4983" s="28"/>
      <c r="S4983" s="28"/>
    </row>
    <row r="4984" spans="1:19" x14ac:dyDescent="0.25">
      <c r="A4984" s="28"/>
      <c r="B4984" s="28"/>
      <c r="C4984" s="28"/>
      <c r="D4984" s="28"/>
      <c r="E4984" s="28"/>
      <c r="F4984" s="28"/>
      <c r="G4984" s="28"/>
      <c r="H4984" s="28"/>
      <c r="I4984" s="28"/>
      <c r="J4984" s="28"/>
      <c r="K4984" s="28"/>
      <c r="L4984" s="28"/>
      <c r="M4984" s="28"/>
      <c r="N4984" s="28"/>
      <c r="O4984" s="28"/>
      <c r="P4984" s="28"/>
      <c r="Q4984" s="28"/>
      <c r="R4984" s="28"/>
      <c r="S4984" s="28"/>
    </row>
    <row r="4985" spans="1:19" x14ac:dyDescent="0.25">
      <c r="A4985" s="28"/>
      <c r="B4985" s="28"/>
      <c r="C4985" s="28"/>
      <c r="D4985" s="28"/>
      <c r="E4985" s="28"/>
      <c r="F4985" s="28"/>
      <c r="G4985" s="28"/>
      <c r="H4985" s="28"/>
      <c r="I4985" s="28"/>
      <c r="J4985" s="28"/>
      <c r="K4985" s="28"/>
      <c r="L4985" s="28"/>
      <c r="M4985" s="28"/>
      <c r="N4985" s="28"/>
      <c r="O4985" s="28"/>
      <c r="P4985" s="28"/>
      <c r="Q4985" s="28"/>
      <c r="R4985" s="28"/>
      <c r="S4985" s="28"/>
    </row>
    <row r="4986" spans="1:19" x14ac:dyDescent="0.25">
      <c r="A4986" s="28"/>
      <c r="B4986" s="28"/>
      <c r="C4986" s="28"/>
      <c r="D4986" s="28"/>
      <c r="E4986" s="28"/>
      <c r="F4986" s="28"/>
      <c r="G4986" s="28"/>
      <c r="H4986" s="28"/>
      <c r="I4986" s="28"/>
      <c r="J4986" s="28"/>
      <c r="K4986" s="28"/>
      <c r="L4986" s="28"/>
      <c r="M4986" s="28"/>
      <c r="N4986" s="28"/>
      <c r="O4986" s="28"/>
      <c r="P4986" s="28"/>
      <c r="Q4986" s="28"/>
      <c r="R4986" s="28"/>
      <c r="S4986" s="28"/>
    </row>
    <row r="4987" spans="1:19" x14ac:dyDescent="0.25">
      <c r="A4987" s="28"/>
      <c r="B4987" s="28"/>
      <c r="C4987" s="28"/>
      <c r="D4987" s="28"/>
      <c r="E4987" s="28"/>
      <c r="F4987" s="28"/>
      <c r="G4987" s="28"/>
      <c r="H4987" s="28"/>
      <c r="I4987" s="28"/>
      <c r="J4987" s="28"/>
      <c r="K4987" s="28"/>
      <c r="L4987" s="28"/>
      <c r="M4987" s="28"/>
      <c r="N4987" s="28"/>
      <c r="O4987" s="28"/>
      <c r="P4987" s="28"/>
      <c r="Q4987" s="28"/>
      <c r="R4987" s="28"/>
      <c r="S4987" s="28"/>
    </row>
    <row r="4988" spans="1:19" x14ac:dyDescent="0.25">
      <c r="A4988" s="28"/>
      <c r="B4988" s="28"/>
      <c r="C4988" s="28"/>
      <c r="D4988" s="28"/>
      <c r="E4988" s="28"/>
      <c r="F4988" s="28"/>
      <c r="G4988" s="28"/>
      <c r="H4988" s="28"/>
      <c r="I4988" s="28"/>
      <c r="J4988" s="28"/>
      <c r="K4988" s="28"/>
      <c r="L4988" s="28"/>
      <c r="M4988" s="28"/>
      <c r="N4988" s="28"/>
      <c r="O4988" s="28"/>
      <c r="P4988" s="28"/>
      <c r="Q4988" s="28"/>
      <c r="R4988" s="28"/>
      <c r="S4988" s="28"/>
    </row>
    <row r="4989" spans="1:19" x14ac:dyDescent="0.25">
      <c r="A4989" s="28"/>
      <c r="B4989" s="28"/>
      <c r="C4989" s="28"/>
      <c r="D4989" s="28"/>
      <c r="E4989" s="28"/>
      <c r="F4989" s="28"/>
      <c r="G4989" s="28"/>
      <c r="H4989" s="28"/>
      <c r="I4989" s="28"/>
      <c r="J4989" s="28"/>
      <c r="K4989" s="28"/>
      <c r="L4989" s="28"/>
      <c r="M4989" s="28"/>
      <c r="N4989" s="28"/>
      <c r="O4989" s="28"/>
      <c r="P4989" s="28"/>
      <c r="Q4989" s="28"/>
      <c r="R4989" s="28"/>
      <c r="S4989" s="28"/>
    </row>
    <row r="4990" spans="1:19" x14ac:dyDescent="0.25">
      <c r="A4990" s="28"/>
      <c r="B4990" s="28"/>
      <c r="C4990" s="28"/>
      <c r="D4990" s="28"/>
      <c r="E4990" s="28"/>
      <c r="F4990" s="28"/>
      <c r="G4990" s="28"/>
      <c r="H4990" s="28"/>
      <c r="I4990" s="28"/>
      <c r="J4990" s="28"/>
      <c r="K4990" s="28"/>
      <c r="L4990" s="28"/>
      <c r="M4990" s="28"/>
      <c r="N4990" s="28"/>
      <c r="O4990" s="28"/>
      <c r="P4990" s="28"/>
      <c r="Q4990" s="28"/>
      <c r="R4990" s="28"/>
      <c r="S4990" s="28"/>
    </row>
    <row r="4991" spans="1:19" x14ac:dyDescent="0.25">
      <c r="A4991" s="28"/>
      <c r="B4991" s="28"/>
      <c r="C4991" s="28"/>
      <c r="D4991" s="28"/>
      <c r="E4991" s="28"/>
      <c r="F4991" s="28"/>
      <c r="G4991" s="28"/>
      <c r="H4991" s="28"/>
      <c r="I4991" s="28"/>
      <c r="J4991" s="28"/>
      <c r="K4991" s="28"/>
      <c r="L4991" s="28"/>
      <c r="M4991" s="28"/>
      <c r="N4991" s="28"/>
      <c r="O4991" s="28"/>
      <c r="P4991" s="28"/>
      <c r="Q4991" s="28"/>
      <c r="R4991" s="28"/>
      <c r="S4991" s="28"/>
    </row>
    <row r="4992" spans="1:19" x14ac:dyDescent="0.25">
      <c r="A4992" s="28"/>
      <c r="B4992" s="28"/>
      <c r="C4992" s="28"/>
      <c r="D4992" s="28"/>
      <c r="E4992" s="28"/>
      <c r="F4992" s="28"/>
      <c r="G4992" s="28"/>
      <c r="H4992" s="28"/>
      <c r="I4992" s="28"/>
      <c r="J4992" s="28"/>
      <c r="K4992" s="28"/>
      <c r="L4992" s="28"/>
      <c r="M4992" s="28"/>
      <c r="N4992" s="28"/>
      <c r="O4992" s="28"/>
      <c r="P4992" s="28"/>
      <c r="Q4992" s="28"/>
      <c r="R4992" s="28"/>
      <c r="S4992" s="28"/>
    </row>
    <row r="4993" spans="1:19" x14ac:dyDescent="0.25">
      <c r="A4993" s="28"/>
      <c r="B4993" s="28"/>
      <c r="C4993" s="28"/>
      <c r="D4993" s="28"/>
      <c r="E4993" s="28"/>
      <c r="F4993" s="28"/>
      <c r="G4993" s="28"/>
      <c r="H4993" s="28"/>
      <c r="I4993" s="28"/>
      <c r="J4993" s="28"/>
      <c r="K4993" s="28"/>
      <c r="L4993" s="28"/>
      <c r="M4993" s="28"/>
      <c r="N4993" s="28"/>
      <c r="O4993" s="28"/>
      <c r="P4993" s="28"/>
      <c r="Q4993" s="28"/>
      <c r="R4993" s="28"/>
      <c r="S4993" s="28"/>
    </row>
    <row r="4994" spans="1:19" x14ac:dyDescent="0.25">
      <c r="A4994" s="28"/>
      <c r="B4994" s="28"/>
      <c r="C4994" s="28"/>
      <c r="D4994" s="28"/>
      <c r="E4994" s="28"/>
      <c r="F4994" s="28"/>
      <c r="G4994" s="28"/>
      <c r="H4994" s="28"/>
      <c r="I4994" s="28"/>
      <c r="J4994" s="28"/>
      <c r="K4994" s="28"/>
      <c r="L4994" s="28"/>
      <c r="M4994" s="28"/>
      <c r="N4994" s="28"/>
      <c r="O4994" s="28"/>
      <c r="P4994" s="28"/>
      <c r="Q4994" s="28"/>
      <c r="R4994" s="28"/>
      <c r="S4994" s="28"/>
    </row>
    <row r="4995" spans="1:19" x14ac:dyDescent="0.25">
      <c r="A4995" s="28"/>
      <c r="B4995" s="28"/>
      <c r="C4995" s="28"/>
      <c r="D4995" s="28"/>
      <c r="E4995" s="28"/>
      <c r="F4995" s="28"/>
      <c r="G4995" s="28"/>
      <c r="H4995" s="28"/>
      <c r="I4995" s="28"/>
      <c r="J4995" s="28"/>
      <c r="K4995" s="28"/>
      <c r="L4995" s="28"/>
      <c r="M4995" s="28"/>
      <c r="N4995" s="28"/>
      <c r="O4995" s="28"/>
      <c r="P4995" s="28"/>
      <c r="Q4995" s="28"/>
      <c r="R4995" s="28"/>
      <c r="S4995" s="28"/>
    </row>
    <row r="4996" spans="1:19" x14ac:dyDescent="0.25">
      <c r="A4996" s="28"/>
      <c r="B4996" s="28"/>
      <c r="C4996" s="28"/>
      <c r="D4996" s="28"/>
      <c r="E4996" s="28"/>
      <c r="F4996" s="28"/>
      <c r="G4996" s="28"/>
      <c r="H4996" s="28"/>
      <c r="I4996" s="28"/>
      <c r="J4996" s="28"/>
      <c r="K4996" s="28"/>
      <c r="L4996" s="28"/>
      <c r="M4996" s="28"/>
      <c r="N4996" s="28"/>
      <c r="O4996" s="28"/>
      <c r="P4996" s="28"/>
      <c r="Q4996" s="28"/>
      <c r="R4996" s="28"/>
      <c r="S4996" s="28"/>
    </row>
    <row r="4997" spans="1:19" x14ac:dyDescent="0.25">
      <c r="A4997" s="28"/>
      <c r="B4997" s="28"/>
      <c r="C4997" s="28"/>
      <c r="D4997" s="28"/>
      <c r="E4997" s="28"/>
      <c r="F4997" s="28"/>
      <c r="G4997" s="28"/>
      <c r="H4997" s="28"/>
      <c r="I4997" s="28"/>
      <c r="J4997" s="28"/>
      <c r="K4997" s="28"/>
      <c r="L4997" s="28"/>
      <c r="M4997" s="28"/>
      <c r="N4997" s="28"/>
      <c r="O4997" s="28"/>
      <c r="P4997" s="28"/>
      <c r="Q4997" s="28"/>
      <c r="R4997" s="28"/>
      <c r="S4997" s="28"/>
    </row>
    <row r="4998" spans="1:19" x14ac:dyDescent="0.25">
      <c r="A4998" s="28"/>
      <c r="B4998" s="28"/>
      <c r="C4998" s="28"/>
      <c r="D4998" s="28"/>
      <c r="E4998" s="28"/>
      <c r="F4998" s="28"/>
      <c r="G4998" s="28"/>
      <c r="H4998" s="28"/>
      <c r="I4998" s="28"/>
      <c r="J4998" s="28"/>
      <c r="K4998" s="28"/>
      <c r="L4998" s="28"/>
      <c r="M4998" s="28"/>
      <c r="N4998" s="28"/>
      <c r="O4998" s="28"/>
      <c r="P4998" s="28"/>
      <c r="Q4998" s="28"/>
      <c r="R4998" s="28"/>
      <c r="S4998" s="28"/>
    </row>
    <row r="4999" spans="1:19" x14ac:dyDescent="0.25">
      <c r="A4999" s="28"/>
      <c r="B4999" s="28"/>
      <c r="C4999" s="28"/>
      <c r="D4999" s="28"/>
      <c r="E4999" s="28"/>
      <c r="F4999" s="28"/>
      <c r="G4999" s="28"/>
      <c r="H4999" s="28"/>
      <c r="I4999" s="28"/>
      <c r="J4999" s="28"/>
      <c r="K4999" s="28"/>
      <c r="L4999" s="28"/>
      <c r="M4999" s="28"/>
      <c r="N4999" s="28"/>
      <c r="O4999" s="28"/>
      <c r="P4999" s="28"/>
      <c r="Q4999" s="28"/>
      <c r="R4999" s="28"/>
      <c r="S4999" s="28"/>
    </row>
    <row r="5000" spans="1:19" x14ac:dyDescent="0.25">
      <c r="A5000" s="28"/>
      <c r="B5000" s="28"/>
      <c r="C5000" s="28"/>
      <c r="D5000" s="28"/>
      <c r="E5000" s="28"/>
      <c r="F5000" s="28"/>
      <c r="G5000" s="28"/>
      <c r="H5000" s="28"/>
      <c r="I5000" s="28"/>
      <c r="J5000" s="28"/>
      <c r="K5000" s="28"/>
      <c r="L5000" s="28"/>
      <c r="M5000" s="28"/>
      <c r="N5000" s="28"/>
      <c r="O5000" s="28"/>
      <c r="P5000" s="28"/>
      <c r="Q5000" s="28"/>
      <c r="R5000" s="28"/>
      <c r="S5000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Input</vt:lpstr>
      <vt:lpstr>Intrim</vt:lpstr>
      <vt:lpstr>intrim2</vt:lpstr>
      <vt:lpstr>intrim3</vt:lpstr>
      <vt:lpstr>Output (Per facility)</vt:lpstr>
      <vt:lpstr>Output All</vt:lpstr>
    </vt:vector>
  </TitlesOfParts>
  <Company>Bank of China Hong Kong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李俊昇</dc:creator>
  <cp:lastModifiedBy>李俊昇</cp:lastModifiedBy>
  <dcterms:created xsi:type="dcterms:W3CDTF">2020-10-30T06:14:56Z</dcterms:created>
  <dcterms:modified xsi:type="dcterms:W3CDTF">2021-04-14T06:18:20Z</dcterms:modified>
</cp:coreProperties>
</file>